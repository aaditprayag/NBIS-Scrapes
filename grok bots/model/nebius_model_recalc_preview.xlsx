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Funding" sheetId="4" state="visible" r:id="rId6"/>
    <sheet name="Outputs" sheetId="5" state="visible" r:id="rId7"/>
    <sheet name="Checks" sheetId="6" state="visible" r:id="rId8"/>
    <sheet name="Inputs" sheetId="7" state="visible" r:id="rId9"/>
    <sheet name="Timeline" sheetId="8" state="visible" r:id="rId10"/>
    <sheet name="Hist" sheetId="9" state="visible" r:id="rId11"/>
    <sheet name="Sites" sheetId="10" state="visible" r:id="rId12"/>
    <sheet name="Pricing" sheetId="11" state="visible" r:id="rId13"/>
    <sheet name="Contracts" sheetId="12" state="visible" r:id="rId14"/>
    <sheet name="Revenue" sheetId="13" state="visible" r:id="rId15"/>
    <sheet name="Capex_DA" sheetId="14" state="visible" r:id="rId16"/>
    <sheet name="Financing" sheetId="15" state="visible" r:id="rId17"/>
    <sheet name="PnL" sheetId="16" state="visible" r:id="rId18"/>
    <sheet name="CashFlow" sheetId="17" state="visible" r:id="rId19"/>
    <sheet name="Shares" sheetId="18" state="visible" r:id="rId20"/>
    <sheet name="Valuation" sheetId="19" state="visible" r:id="rId21"/>
    <sheet name="KPIs" sheetId="20" state="visible" r:id="rId22"/>
    <sheet name="Sensitivity" sheetId="21" state="visible" r:id="rId23"/>
    <sheet name="Sources" sheetId="22" state="visible" r:id="rId24"/>
  </sheets>
  <definedNames>
    <definedName function="false" hidden="false" name="ACV_2026" vbProcedure="false">Inputs!$F$124</definedName>
    <definedName function="false" hidden="false" name="ACV_Q2" vbProcedure="false">Inputs!$F$125</definedName>
    <definedName function="false" hidden="false" name="AIRev" vbProcedure="false">Revenue!$F$76:$AG$76</definedName>
    <definedName function="false" hidden="false" name="AIRev_E" vbProcedure="false">Revenue!$E$76</definedName>
    <definedName function="false" hidden="false" name="AI_Model" vbProcedure="false">Revenue!$F$72:$AG$72</definedName>
    <definedName function="false" hidden="false" name="AI_Model_E" vbProcedure="false">Revenue!$E$72</definedName>
    <definedName function="false" hidden="false" name="ARR_JunMo" vbProcedure="false">Revenue!$E$94</definedName>
    <definedName function="false" hidden="false" name="ARR_Q2Mo" vbProcedure="false">Revenue!$E$95</definedName>
    <definedName function="false" hidden="false" name="ARR_Rep" vbProcedure="false">Revenue!$E$87</definedName>
    <definedName function="false" hidden="false" name="ARR_Res" vbProcedure="false">Revenue!$E$92</definedName>
    <definedName function="false" hidden="false" name="ARR_ResMW" vbProcedure="false">Revenue!$E$93</definedName>
    <definedName function="false" hidden="false" name="ARR_ResMW_THi" vbProcedure="false">Revenue!$E$101</definedName>
    <definedName function="false" hidden="false" name="ARR_ResMW_TLo" vbProcedure="false">Revenue!$E$100</definedName>
    <definedName function="false" hidden="false" name="ARR_ResTB_Hi" vbProcedure="false">Revenue!$E$99</definedName>
    <definedName function="false" hidden="false" name="ARR_ResTB_Lo" vbProcedure="false">Revenue!$E$98</definedName>
    <definedName function="false" hidden="false" name="ARR_ResTeamHi" vbProcedure="false">Inputs!$F$32</definedName>
    <definedName function="false" hidden="false" name="ARR_ResTeamLo" vbProcedure="false">Inputs!$F$31</definedName>
    <definedName function="false" hidden="false" name="ARR_RR" vbProcedure="false">Revenue!$E$90</definedName>
    <definedName function="false" hidden="false" name="ARR_RRa" vbProcedure="false">Revenue!$E$88</definedName>
    <definedName function="false" hidden="false" name="ARR_RRbc" vbProcedure="false">Revenue!$E$89</definedName>
    <definedName function="false" hidden="false" name="ARR_RRMW" vbProcedure="false">Revenue!$E$91</definedName>
    <definedName function="false" hidden="false" name="ARR_RRMW_Hi" vbProcedure="false">Inputs!$F$30</definedName>
    <definedName function="false" hidden="false" name="ARR_RRMW_Lo" vbProcedure="false">Inputs!$F$29</definedName>
    <definedName function="false" hidden="false" name="ARR_Step" vbProcedure="false">Revenue!$E$96</definedName>
    <definedName function="false" hidden="false" name="ARR_StepMW" vbProcedure="false">Revenue!$E$97</definedName>
    <definedName function="false" hidden="false" name="AssetLight" vbProcedure="false">Inputs!$C$305:$I$305</definedName>
    <definedName function="false" hidden="false" name="ATMOn" vbProcedure="false">Inputs!$F$211</definedName>
    <definedName function="false" hidden="false" name="ATM_Q3" vbProcedure="false">Inputs!$F$245</definedName>
    <definedName function="false" hidden="false" name="ATM_Rem" vbProcedure="false">Inputs!$F$254</definedName>
    <definedName function="false" hidden="false" name="AugGross" vbProcedure="false">Inputs!$F$212</definedName>
    <definedName function="false" hidden="false" name="AugNet" vbProcedure="false">Inputs!$F$242</definedName>
    <definedName function="false" hidden="false" name="AvailIdx_B200" vbProcedure="false">Inputs!$F$168</definedName>
    <definedName function="false" hidden="false" name="AvailIdx_GB300" vbProcedure="false">Inputs!$F$169</definedName>
    <definedName function="false" hidden="false" name="AvailIdx_H200" vbProcedure="false">Inputs!$F$167</definedName>
    <definedName function="false" hidden="false" name="AvailIdx_VR" vbProcedure="false">Inputs!$F$170</definedName>
    <definedName function="false" hidden="false" name="AV_Hi" vbProcedure="false">Inputs!$F$284</definedName>
    <definedName function="false" hidden="false" name="AV_Lo" vbProcedure="false">Inputs!$F$283</definedName>
    <definedName function="false" hidden="false" name="A_BillMW" vbProcedure="false">Contracts!$F$150:$AG$150</definedName>
    <definedName function="false" hidden="false" name="A_BillMW_E" vbProcedure="false">Contracts!$E$150</definedName>
    <definedName function="false" hidden="false" name="A_GPU_B" vbProcedure="false">Contracts!$F$156:$AG$156</definedName>
    <definedName function="false" hidden="false" name="A_GPU_B_E" vbProcedure="false">Contracts!$E$156</definedName>
    <definedName function="false" hidden="false" name="A_GPU_H" vbProcedure="false">Contracts!$F$155:$AG$155</definedName>
    <definedName function="false" hidden="false" name="A_GPU_H_E" vbProcedure="false">Contracts!$E$155</definedName>
    <definedName function="false" hidden="false" name="A_GPU_N" vbProcedure="false">Contracts!$F$157:$AG$157</definedName>
    <definedName function="false" hidden="false" name="A_GPU_N_E" vbProcedure="false">Contracts!$E$157</definedName>
    <definedName function="false" hidden="false" name="A_LD" vbProcedure="false">Contracts!$F$151:$AG$151</definedName>
    <definedName function="false" hidden="false" name="A_LD_E" vbProcedure="false">Contracts!$E$151</definedName>
    <definedName function="false" hidden="false" name="A_MW" vbProcedure="false">Contracts!$F$153:$AG$153</definedName>
    <definedName function="false" hidden="false" name="A_MW_E" vbProcedure="false">Contracts!$E$153</definedName>
    <definedName function="false" hidden="false" name="A_Post" vbProcedure="false">Contracts!$F$152:$AG$152</definedName>
    <definedName function="false" hidden="false" name="A_PostMW" vbProcedure="false">Contracts!$F$154:$AG$154</definedName>
    <definedName function="false" hidden="false" name="A_PostMW_E" vbProcedure="false">Contracts!$E$154</definedName>
    <definedName function="false" hidden="false" name="A_Post_E" vbProcedure="false">Contracts!$E$152</definedName>
    <definedName function="false" hidden="false" name="A_Rev" vbProcedure="false">Contracts!$F$149:$AG$149</definedName>
    <definedName function="false" hidden="false" name="A_Rev_E" vbProcedure="false">Contracts!$E$149</definedName>
    <definedName function="false" hidden="false" name="BaseRateMW" vbProcedure="false">Inputs!$F$175</definedName>
    <definedName function="false" hidden="false" name="BillLag" vbProcedure="false">Inputs!$F$165</definedName>
    <definedName function="false" hidden="false" name="BloomIdx" vbProcedure="false">Inputs!$F$129</definedName>
    <definedName function="false" hidden="false" name="BloomOn" vbProcedure="false">Inputs!$F$128</definedName>
    <definedName function="false" hidden="false" name="BloomSlipOn" vbProcedure="false">Inputs!$F$49</definedName>
    <definedName function="false" hidden="false" name="Book_A" vbProcedure="false">Revenue!$F$26:$AG$26</definedName>
    <definedName function="false" hidden="false" name="Book_A_E" vbProcedure="false">Revenue!$E$26</definedName>
    <definedName function="false" hidden="false" name="Book_B" vbProcedure="false">Revenue!$F$50:$AG$50</definedName>
    <definedName function="false" hidden="false" name="Book_B_E" vbProcedure="false">Revenue!$E$50</definedName>
    <definedName function="false" hidden="false" name="Book_C" vbProcedure="false">Revenue!$F$51:$AG$51</definedName>
    <definedName function="false" hidden="false" name="Book_C_E" vbProcedure="false">Revenue!$E$51</definedName>
    <definedName function="false" hidden="false" name="Book_Post" vbProcedure="false">Revenue!$F$27:$AG$27</definedName>
    <definedName function="false" hidden="false" name="Book_Post_E" vbProcedure="false">Revenue!$E$27</definedName>
    <definedName function="false" hidden="false" name="BR_Chk" vbProcedure="false">Contracts!$E$175</definedName>
    <definedName function="false" hidden="false" name="BR_Cons" vbProcedure="false">Contracts!$E$160</definedName>
    <definedName function="false" hidden="false" name="BR_Gap" vbProcedure="false">Contracts!$E$162</definedName>
    <definedName function="false" hidden="false" name="BR_MetaInc" vbProcedure="false">Contracts!$E$167</definedName>
    <definedName function="false" hidden="false" name="BR_MetaQ2" vbProcedure="false">Contracts!$E$166</definedName>
    <definedName function="false" hidden="false" name="BR_Model" vbProcedure="false">Contracts!$E$176</definedName>
    <definedName function="false" hidden="false" name="BR_MSInc" vbProcedure="false">Contracts!$E$165</definedName>
    <definedName function="false" hidden="false" name="BR_MSQ2" vbProcedure="false">Contracts!$E$163</definedName>
    <definedName function="false" hidden="false" name="BR_MSQ4" vbProcedure="false">Contracts!$E$164</definedName>
    <definedName function="false" hidden="false" name="BR_MW12" vbProcedure="false">Contracts!$E$174</definedName>
    <definedName function="false" hidden="false" name="BR_MW20" vbProcedure="false">Contracts!$E$173</definedName>
    <definedName function="false" hidden="false" name="BR_MW25" vbProcedure="false">Contracts!$E$172</definedName>
    <definedName function="false" hidden="false" name="BR_PxHi" vbProcedure="false">Contracts!$E$169</definedName>
    <definedName function="false" hidden="false" name="BR_PxLo" vbProcedure="false">Contracts!$E$168</definedName>
    <definedName function="false" hidden="false" name="BR_ResHi" vbProcedure="false">Contracts!$E$171</definedName>
    <definedName function="false" hidden="false" name="BR_ResLo" vbProcedure="false">Contracts!$E$170</definedName>
    <definedName function="false" hidden="false" name="BR_vsCons" vbProcedure="false">Contracts!$E$177</definedName>
    <definedName function="false" hidden="false" name="Calib" vbProcedure="false">Revenue!$F$77:$AG$77</definedName>
    <definedName function="false" hidden="false" name="Calib_E" vbProcedure="false">Revenue!$E$77</definedName>
    <definedName function="false" hidden="false" name="Capex" vbProcedure="false">Capex_DA!$F$32:$AG$32</definedName>
    <definedName function="false" hidden="false" name="CapexChk" vbProcedure="false">Capex_DA!$F$34:$AG$34</definedName>
    <definedName function="false" hidden="false" name="CapexChk_E" vbProcedure="false">Capex_DA!$E$34</definedName>
    <definedName function="false" hidden="false" name="CapexMethod" vbProcedure="false">Inputs!$F$14</definedName>
    <definedName function="false" hidden="false" name="CapexMode" vbProcedure="false">Inputs!$F$176</definedName>
    <definedName function="false" hidden="false" name="Capex_E" vbProcedure="false">Capex_DA!$E$32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Capex_DA!$F$59:$AG$59</definedName>
    <definedName function="false" hidden="false" name="CapIntLife" vbProcedure="false">Inputs!$F$178</definedName>
    <definedName function="false" hidden="false" name="CapIntPct" vbProcedure="false">Inputs!$F$177</definedName>
    <definedName function="false" hidden="false" name="CapInt_E" vbProcedure="false">Capex_DA!$E$59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Capex_DA!$F$33:$AG$33</definedName>
    <definedName function="false" hidden="false" name="CapNew_E" vbProcedure="false">Capex_DA!$E$33</definedName>
    <definedName function="false" hidden="false" name="CapRepl" vbProcedure="false">Capex_DA!$F$29:$AG$29</definedName>
    <definedName function="false" hidden="false" name="CapRepl_E" vbProcedure="false">Capex_DA!$E$29</definedName>
    <definedName function="false" hidden="false" name="CapTie" vbProcedure="false">Sites!$F$114:$AG$114</definedName>
    <definedName function="false" hidden="false" name="CapTie_E" vbProcedure="false">Sites!$E$114</definedName>
    <definedName function="false" hidden="false" name="CashYield" vbProcedure="false">Inputs!$F$233</definedName>
    <definedName function="false" hidden="false" name="CF_Cash" vbProcedure="false">CashFlow!$F$40:$AG$40</definedName>
    <definedName function="false" hidden="false" name="CF_Cash_E" vbProcedure="false">CashFlow!$E$40</definedName>
    <definedName function="false" hidden="false" name="CF_EqSh" vbProcedure="false">CashFlow!$F$39:$AG$39</definedName>
    <definedName function="false" hidden="false" name="CF_EqSh_E" vbProcedure="false">CashFlow!$E$39</definedName>
    <definedName function="false" hidden="false" name="CF_FCF" vbProcedure="false">CashFlow!$F$27:$AG$27</definedName>
    <definedName function="false" hidden="false" name="CF_FCF_E" vbProcedure="false">CashFlow!$E$27</definedName>
    <definedName function="false" hidden="false" name="CF_GrossDebt" vbProcedure="false">CashFlow!$F$44:$AG$44</definedName>
    <definedName function="false" hidden="false" name="CF_GrossDebt_E" vbProcedure="false">CashFlow!$E$44</definedName>
    <definedName function="false" hidden="false" name="CF_IntInc" vbProcedure="false">CashFlow!$F$21:$AG$21</definedName>
    <definedName function="false" hidden="false" name="CF_IntInc_E" vbProcedure="false">CashFlow!$E$21</definedName>
    <definedName function="false" hidden="false" name="CF_NetDebt" vbProcedure="false">CashFlow!$F$46:$AG$46</definedName>
    <definedName function="false" hidden="false" name="CF_NetDebt_E" vbProcedure="false">CashFlow!$E$46</definedName>
    <definedName function="false" hidden="false" name="CF_OthInv" vbProcedure="false">CashFlow!$F$26:$AG$26</definedName>
    <definedName function="false" hidden="false" name="CF_OthInv_E" vbProcedure="false">CashFlow!$E$26</definedName>
    <definedName function="false" hidden="false" name="CF_PlugBal" vbProcedure="false">CashFlow!$F$43:$AG$43</definedName>
    <definedName function="false" hidden="false" name="CF_PlugBal_E" vbProcedure="false">CashFlow!$E$43</definedName>
    <definedName function="false" hidden="false" name="CF_PlugInt" vbProcedure="false">CashFlow!$F$22:$AG$22</definedName>
    <definedName function="false" hidden="false" name="CF_PlugIntRow" vbProcedure="false">CashFlow!$F$22:$AG$22</definedName>
    <definedName function="false" hidden="false" name="CF_PlugIntRow_E" vbProcedure="false">CashFlow!$E$22</definedName>
    <definedName function="false" hidden="false" name="CF_PlugInt_E" vbProcedure="false">CashFlow!$E$22</definedName>
    <definedName function="false" hidden="false" name="CF_Prepay" vbProcedure="false">CashFlow!$F$15:$AG$15</definedName>
    <definedName function="false" hidden="false" name="CF_Prepay_E" vbProcedure="false">CashFlow!$E$15</definedName>
    <definedName function="false" hidden="false" name="CF_UFCF" vbProcedure="false">CashFlow!$F$28:$AG$28</definedName>
    <definedName function="false" hidden="false" name="CF_UFCF_E" vbProcedure="false">CashFlow!$E$28</definedName>
    <definedName function="false" hidden="false" name="Chk_RevEnMW" vbProcedure="false">Inputs!$F$231</definedName>
    <definedName function="false" hidden="false" name="Chk_RevGPUhr" vbProcedure="false">Inputs!$F$228</definedName>
    <definedName function="false" hidden="false" name="Chk_RevSrv" vbProcedure="false">Inputs!$F$229</definedName>
    <definedName function="false" hidden="false" name="Chk_SrvCap" vbProcedure="false">Inputs!$F$230</definedName>
    <definedName function="false" hidden="false" name="Chk_SrvHi" vbProcedure="false">Inputs!$F$83</definedName>
    <definedName function="false" hidden="false" name="Chk_SrvLo" vbProcedure="false">Inputs!$F$82</definedName>
    <definedName function="false" hidden="false" name="CH_Hi" vbProcedure="false">Inputs!$F$280</definedName>
    <definedName function="false" hidden="false" name="CH_Lo" vbProcedure="false">Inputs!$F$279</definedName>
    <definedName function="false" hidden="false" name="CIPRel1" vbProcedure="false">Inputs!$F$179</definedName>
    <definedName function="false" hidden="false" name="CIPRel2" vbProcedure="false">Inputs!$F$180</definedName>
    <definedName function="false" hidden="false" name="CLT1Prepay" vbProcedure="false">Inputs!$F$40</definedName>
    <definedName function="false" hidden="false" name="CLT1Rent" vbProcedure="false">Inputs!$F$39</definedName>
    <definedName function="false" hidden="false" name="CLT1_En" vbProcedure="false">Sites!$F$231:$AG$231</definedName>
    <definedName function="false" hidden="false" name="CLT1_En_E" vbProcedure="false">Sites!$E$231</definedName>
    <definedName function="false" hidden="false" name="CoMWQ2" vbProcedure="false">Inputs!$F$38</definedName>
    <definedName function="false" hidden="false" name="Cons_Cx" vbProcedure="false">Inputs!$C$308:$I$308</definedName>
    <definedName function="false" hidden="false" name="Cons_EB" vbProcedure="false">Inputs!$C$307:$I$307</definedName>
    <definedName function="false" hidden="false" name="Cons_Q4" vbProcedure="false">Inputs!$F$171</definedName>
    <definedName function="false" hidden="false" name="Cons_Rev" vbProcedure="false">Inputs!$C$306:$I$306</definedName>
    <definedName function="false" hidden="false" name="CPM_Lease" vbProcedure="false">Inputs!$F$19</definedName>
    <definedName function="false" hidden="false" name="CPM_Lease_GB300" vbProcedure="false">Inputs!$F$20</definedName>
    <definedName function="false" hidden="false" name="CPM_Lease_VR" vbProcedure="false">Inputs!$F$21</definedName>
    <definedName function="false" hidden="false" name="CPM_Own_GB200" vbProcedure="false">Inputs!$F$15</definedName>
    <definedName function="false" hidden="false" name="CPM_Own_GB300" vbProcedure="false">Inputs!$F$16</definedName>
    <definedName function="false" hidden="false" name="CPM_Own_Other" vbProcedure="false">Inputs!$F$18</definedName>
    <definedName function="false" hidden="false" name="CPM_Own_VR" vbProcedure="false">Inputs!$F$17</definedName>
    <definedName function="false" hidden="false" name="CPM_SP" vbProcedure="false">Inputs!$F$84</definedName>
    <definedName function="false" hidden="false" name="CRWV_Commit" vbProcedure="false">Inputs!$F$263</definedName>
    <definedName function="false" hidden="false" name="CRWV_Contr" vbProcedure="false">Inputs!$F$261</definedName>
    <definedName function="false" hidden="false" name="CRWV_EV" vbProcedure="false">Inputs!$F$259</definedName>
    <definedName function="false" hidden="false" name="CRWV_EVEB27" vbProcedure="false">Inputs!$F$227</definedName>
    <definedName function="false" hidden="false" name="CRWV_Lease" vbProcedure="false">Inputs!$F$262</definedName>
    <definedName function="false" hidden="false" name="CRWV_MW" vbProcedure="false">Inputs!$F$260</definedName>
    <definedName function="false" hidden="false" name="CS_Cash" vbProcedure="false">Inputs!$F$213</definedName>
    <definedName function="false" hidden="false" name="CS_ConvCarry" vbProcedure="false">Inputs!$F$215</definedName>
    <definedName function="false" hidden="false" name="CS_CurDebt" vbProcedure="false">Inputs!$F$216</definedName>
    <definedName function="false" hidden="false" name="CS_Restr" vbProcedure="false">Inputs!$F$214</definedName>
    <definedName function="false" hidden="false" name="Curve" vbProcedure="false">Inputs!$C$317:$J$317</definedName>
    <definedName function="false" hidden="false" name="Curve_Base" vbProcedure="false">Inputs!$C$315:$J$315</definedName>
    <definedName function="false" hidden="false" name="CVb_0" vbProcedure="false">Financing!$F$27:$AG$27</definedName>
    <definedName function="false" hidden="false" name="CVb_0_E" vbProcedure="false">Financing!$E$27</definedName>
    <definedName function="false" hidden="false" name="CVb_1" vbProcedure="false">Financing!$F$35:$AG$35</definedName>
    <definedName function="false" hidden="false" name="CVb_1_E" vbProcedure="false">Financing!$E$35</definedName>
    <definedName function="false" hidden="false" name="CVb_2" vbProcedure="false">Financing!$F$43:$AG$43</definedName>
    <definedName function="false" hidden="false" name="CVb_2_E" vbProcedure="false">Financing!$E$43</definedName>
    <definedName function="false" hidden="false" name="CVb_3" vbProcedure="false">Financing!$F$51:$AG$51</definedName>
    <definedName function="false" hidden="false" name="CVb_3_E" vbProcedure="false">Financing!$E$51</definedName>
    <definedName function="false" hidden="false" name="CVb_4" vbProcedure="false">Financing!$F$59:$AG$59</definedName>
    <definedName function="false" hidden="false" name="CVb_4_E" vbProcedure="false">Financing!$E$59</definedName>
    <definedName function="false" hidden="false" name="CVb_5" vbProcedure="false">Financing!$F$67:$AG$67</definedName>
    <definedName function="false" hidden="false" name="CVb_5_E" vbProcedure="false">Financing!$E$67</definedName>
    <definedName function="false" hidden="false" name="CVb_6" vbProcedure="false">Financing!$F$75:$AG$75</definedName>
    <definedName function="false" hidden="false" name="CVb_6_E" vbProcedure="false">Financing!$E$75</definedName>
    <definedName function="false" hidden="false" name="CVb_7" vbProcedure="false">Financing!$F$83:$AG$83</definedName>
    <definedName function="false" hidden="false" name="CVb_7_E" vbProcedure="false">Financing!$E$83</definedName>
    <definedName function="false" hidden="false" name="CVd_0" vbProcedure="false">Financing!$F$30:$AG$30</definedName>
    <definedName function="false" hidden="false" name="CVd_0_E" vbProcedure="false">Financing!$E$30</definedName>
    <definedName function="false" hidden="false" name="CVd_1" vbProcedure="false">Financing!$F$38:$AG$38</definedName>
    <definedName function="false" hidden="false" name="CVd_1_E" vbProcedure="false">Financing!$E$38</definedName>
    <definedName function="false" hidden="false" name="CVd_2" vbProcedure="false">Financing!$F$46:$AG$46</definedName>
    <definedName function="false" hidden="false" name="CVd_2_E" vbProcedure="false">Financing!$E$46</definedName>
    <definedName function="false" hidden="false" name="CVd_3" vbProcedure="false">Financing!$F$54:$AG$54</definedName>
    <definedName function="false" hidden="false" name="CVd_3_E" vbProcedure="false">Financing!$E$54</definedName>
    <definedName function="false" hidden="false" name="CVd_4" vbProcedure="false">Financing!$F$62:$AG$62</definedName>
    <definedName function="false" hidden="false" name="CVd_4_E" vbProcedure="false">Financing!$E$62</definedName>
    <definedName function="false" hidden="false" name="CVd_5" vbProcedure="false">Financing!$F$70:$AG$70</definedName>
    <definedName function="false" hidden="false" name="CVd_5_E" vbProcedure="false">Financing!$E$70</definedName>
    <definedName function="false" hidden="false" name="CVd_6" vbProcedure="false">Financing!$F$78:$AG$78</definedName>
    <definedName function="false" hidden="false" name="CVd_6_E" vbProcedure="false">Financing!$E$78</definedName>
    <definedName function="false" hidden="false" name="CVd_7" vbProcedure="false">Financing!$F$86:$AG$86</definedName>
    <definedName function="false" hidden="false" name="CVd_7_E" vbProcedure="false">Financing!$E$86</definedName>
    <definedName function="false" hidden="false" name="CVo_0" vbProcedure="false">Financing!$F$24:$AG$24</definedName>
    <definedName function="false" hidden="false" name="CVo_0_E" vbProcedure="false">Financing!$E$24</definedName>
    <definedName function="false" hidden="false" name="CVo_1" vbProcedure="false">Financing!$F$32:$AG$32</definedName>
    <definedName function="false" hidden="false" name="CVo_1_E" vbProcedure="false">Financing!$E$32</definedName>
    <definedName function="false" hidden="false" name="CVo_2" vbProcedure="false">Financing!$F$40:$AG$40</definedName>
    <definedName function="false" hidden="false" name="CVo_2_E" vbProcedure="false">Financing!$E$40</definedName>
    <definedName function="false" hidden="false" name="CVo_3" vbProcedure="false">Financing!$F$48:$AG$48</definedName>
    <definedName function="false" hidden="false" name="CVo_3_E" vbProcedure="false">Financing!$E$48</definedName>
    <definedName function="false" hidden="false" name="CVo_4" vbProcedure="false">Financing!$F$56:$AG$56</definedName>
    <definedName function="false" hidden="false" name="CVo_4_E" vbProcedure="false">Financing!$E$56</definedName>
    <definedName function="false" hidden="false" name="CVo_5" vbProcedure="false">Financing!$F$64:$AG$64</definedName>
    <definedName function="false" hidden="false" name="CVo_5_E" vbProcedure="false">Financing!$E$64</definedName>
    <definedName function="false" hidden="false" name="CVo_6" vbProcedure="false">Financing!$F$72:$AG$72</definedName>
    <definedName function="false" hidden="false" name="CVo_6_E" vbProcedure="false">Financing!$E$72</definedName>
    <definedName function="false" hidden="false" name="CVo_7" vbProcedure="false">Financing!$F$80:$AG$80</definedName>
    <definedName function="false" hidden="false" name="CVo_7_E" vbProcedure="false">Financing!$E$80</definedName>
    <definedName function="false" hidden="false" name="CVx_0" vbProcedure="false">Financing!$F$31:$AG$31</definedName>
    <definedName function="false" hidden="false" name="CVx_0_E" vbProcedure="false">Financing!$E$31</definedName>
    <definedName function="false" hidden="false" name="CVx_1" vbProcedure="false">Financing!$F$39:$AG$39</definedName>
    <definedName function="false" hidden="false" name="CVx_1_E" vbProcedure="false">Financing!$E$39</definedName>
    <definedName function="false" hidden="false" name="CVx_2" vbProcedure="false">Financing!$F$47:$AG$47</definedName>
    <definedName function="false" hidden="false" name="CVx_2_E" vbProcedure="false">Financing!$E$47</definedName>
    <definedName function="false" hidden="false" name="CVx_3" vbProcedure="false">Financing!$F$55:$AG$55</definedName>
    <definedName function="false" hidden="false" name="CVx_3_E" vbProcedure="false">Financing!$E$55</definedName>
    <definedName function="false" hidden="false" name="CVx_4" vbProcedure="false">Financing!$F$63:$AG$63</definedName>
    <definedName function="false" hidden="false" name="CVx_4_E" vbProcedure="false">Financing!$E$63</definedName>
    <definedName function="false" hidden="false" name="CVx_5" vbProcedure="false">Financing!$F$71:$AG$71</definedName>
    <definedName function="false" hidden="false" name="CVx_5_E" vbProcedure="false">Financing!$E$71</definedName>
    <definedName function="false" hidden="false" name="CVx_6" vbProcedure="false">Financing!$F$79:$AG$79</definedName>
    <definedName function="false" hidden="false" name="CVx_6_E" vbProcedure="false">Financing!$E$79</definedName>
    <definedName function="false" hidden="false" name="CVx_7" vbProcedure="false">Financing!$F$87:$AG$87</definedName>
    <definedName function="false" hidden="false" name="CVx_7_E" vbProcedure="false">Financing!$E$87</definedName>
    <definedName function="false" hidden="false" name="CV_acc" vbProcedure="false">Financing!$F$92:$AG$92</definedName>
    <definedName function="false" hidden="false" name="CV_acc_E" vbProcedure="false">Financing!$E$92</definedName>
    <definedName function="false" hidden="false" name="CV_bal" vbProcedure="false">Financing!$F$93:$AG$93</definedName>
    <definedName function="false" hidden="false" name="CV_bal_E" vbProcedure="false">Financing!$E$93</definedName>
    <definedName function="false" hidden="false" name="CV_cpn" vbProcedure="false">Financing!$F$91:$AG$91</definedName>
    <definedName function="false" hidden="false" name="CV_cpn_E" vbProcedure="false">Financing!$E$91</definedName>
    <definedName function="false" hidden="false" name="CV_csh" vbProcedure="false">Financing!$F$95:$AG$95</definedName>
    <definedName function="false" hidden="false" name="CV_csh_E" vbProcedure="false">Financing!$E$95</definedName>
    <definedName function="false" hidden="false" name="CV_debt" vbProcedure="false">Financing!$F$97:$AG$97</definedName>
    <definedName function="false" hidden="false" name="CV_debt_E" vbProcedure="false">Financing!$E$97</definedName>
    <definedName function="false" hidden="false" name="CV_dil" vbProcedure="false">Financing!$F$96:$AG$96</definedName>
    <definedName function="false" hidden="false" name="CV_dil_E" vbProcedure="false">Financing!$E$96</definedName>
    <definedName function="false" hidden="false" name="CV_out" vbProcedure="false">Financing!$F$90:$AG$90</definedName>
    <definedName function="false" hidden="false" name="CV_out_E" vbProcedure="false">Financing!$E$90</definedName>
    <definedName function="false" hidden="false" name="CV_Px" vbProcedure="false">Financing!$L$12:$L$19</definedName>
    <definedName function="false" hidden="false" name="CV_Rate" vbProcedure="false">Financing!$K$12:$K$19</definedName>
    <definedName function="false" hidden="false" name="CV_rep" vbProcedure="false">Financing!$F$94:$AG$94</definedName>
    <definedName function="false" hidden="false" name="CV_rep_E" vbProcedure="false">Financing!$E$94</definedName>
    <definedName function="false" hidden="false" name="DA" vbProcedure="false">Capex_DA!$F$66:$AG$66</definedName>
    <definedName function="false" hidden="false" name="DACalib" vbProcedure="false">Capex_DA!$F$67:$AG$67</definedName>
    <definedName function="false" hidden="false" name="DACalib_E" vbProcedure="false">Capex_DA!$E$67</definedName>
    <definedName function="false" hidden="false" name="DA_E" vbProcedure="false">Capex_DA!$E$66</definedName>
    <definedName function="false" hidden="false" name="DA_Model" vbProcedure="false">Capex_DA!$F$65:$AG$65</definedName>
    <definedName function="false" hidden="false" name="DA_Model_E" vbProcedure="false">Capex_DA!$E$65</definedName>
    <definedName function="false" hidden="false" name="DCFWeight" vbProcedure="false">Inputs!$F$276</definedName>
    <definedName function="false" hidden="false" name="DCLead" vbProcedure="false">Inputs!$F$183</definedName>
    <definedName function="false" hidden="false" name="DelivFactor" vbProcedure="false">Inputs!$F$126</definedName>
    <definedName function="false" hidden="false" name="DepYld" vbProcedure="false">Capex_DA!$F$79:$AG$79</definedName>
    <definedName function="false" hidden="false" name="DepYldFlag" vbProcedure="false">Capex_DA!$F$80:$AG$80</definedName>
    <definedName function="false" hidden="false" name="DepYldFlag_E" vbProcedure="false">Capex_DA!$E$80</definedName>
    <definedName function="false" hidden="false" name="DepYld_E" vbProcedure="false">Capex_DA!$E$79</definedName>
    <definedName function="false" hidden="false" name="Dep_B" vbProcedure="false">Capex_DA!$F$44:$AG$44</definedName>
    <definedName function="false" hidden="false" name="Dep_B_E" vbProcedure="false">Capex_DA!$E$44</definedName>
    <definedName function="false" hidden="false" name="Dep_GPU" vbProcedure="false">Capex_DA!$F$64:$AG$64</definedName>
    <definedName function="false" hidden="false" name="Dep_GPU_E" vbProcedure="false">Capex_DA!$E$64</definedName>
    <definedName function="false" hidden="false" name="Dep_H" vbProcedure="false">Capex_DA!$F$39:$AG$39</definedName>
    <definedName function="false" hidden="false" name="Dep_H_E" vbProcedure="false">Capex_DA!$E$39</definedName>
    <definedName function="false" hidden="false" name="Dep_N" vbProcedure="false">Capex_DA!$F$49:$AG$49</definedName>
    <definedName function="false" hidden="false" name="Dep_N_E" vbProcedure="false">Capex_DA!$E$49</definedName>
    <definedName function="false" hidden="false" name="Dep_Pow" vbProcedure="false">Capex_DA!$F$55:$AG$55</definedName>
    <definedName function="false" hidden="false" name="Dep_Pow_E" vbProcedure="false">Capex_DA!$E$55</definedName>
    <definedName function="false" hidden="false" name="Dep_Repl" vbProcedure="false">Capex_DA!$F$57:$AG$57</definedName>
    <definedName function="false" hidden="false" name="Dep_Repl_E" vbProcedure="false">Capex_DA!$E$57</definedName>
    <definedName function="false" hidden="false" name="Dep_Shell" vbProcedure="false">Capex_DA!$F$54:$AG$54</definedName>
    <definedName function="false" hidden="false" name="Dep_Shell_E" vbProcedure="false">Capex_DA!$E$54</definedName>
    <definedName function="false" hidden="false" name="DilMethod" vbProcedure="false">Inputs!$F$246</definedName>
    <definedName function="false" hidden="false" name="DilPx" vbProcedure="false">Valuation!$E$116</definedName>
    <definedName function="false" hidden="false" name="DilPxMode" vbProcedure="false">Inputs!$F$264</definedName>
    <definedName function="false" hidden="false" name="DR_AmortQ" vbProcedure="false">Inputs!$F$208</definedName>
    <definedName function="false" hidden="false" name="DR_Open" vbProcedure="false">Inputs!$F$204</definedName>
    <definedName function="false" hidden="false" name="DR_YE25" vbProcedure="false">Inputs!$F$205</definedName>
    <definedName function="false" hidden="false" name="Eigen" vbProcedure="false">Inputs!$F$252</definedName>
    <definedName function="false" hidden="false" name="EigenIn" vbProcedure="false">Inputs!$F$253</definedName>
    <definedName function="false" hidden="false" name="EnBaseIT" vbProcedure="false">Sites!$F$220:$AG$220</definedName>
    <definedName function="false" hidden="false" name="EnBaseIT_E" vbProcedure="false">Sites!$E$220</definedName>
    <definedName function="false" hidden="false" name="EnLag" vbProcedure="false">Inputs!$F$13</definedName>
    <definedName function="false" hidden="false" name="EnNewIT" vbProcedure="false">Sites!$F$179:$AG$179</definedName>
    <definedName function="false" hidden="false" name="EnNewIT_E" vbProcedure="false">Sites!$E$179</definedName>
    <definedName function="false" hidden="false" name="EqDisc" vbProcedure="false">Inputs!$F$241</definedName>
    <definedName function="false" hidden="false" name="ExchIdx" vbProcedure="false">Inputs!$F$244</definedName>
    <definedName function="false" hidden="false" name="ExchShares" vbProcedure="false">Inputs!$F$243</definedName>
    <definedName function="false" hidden="false" name="ExitMult" vbProcedure="false">Inputs!$F$275</definedName>
    <definedName function="false" hidden="false" name="FD_Filings" vbProcedure="false">Inputs!$F$255</definedName>
    <definedName function="false" hidden="false" name="FD_FilingsATM" vbProcedure="false">Inputs!$F$256</definedName>
    <definedName function="false" hidden="false" name="FileGPU_B" vbProcedure="false">Sites!$F$217:$AG$217</definedName>
    <definedName function="false" hidden="false" name="FileGPU_B_E" vbProcedure="false">Sites!$E$217</definedName>
    <definedName function="false" hidden="false" name="FileGPU_H" vbProcedure="false">Sites!$F$216:$AG$216</definedName>
    <definedName function="false" hidden="false" name="FileGPU_H_E" vbProcedure="false">Sites!$E$216</definedName>
    <definedName function="false" hidden="false" name="FileGPU_N" vbProcedure="false">Sites!$F$218:$AG$218</definedName>
    <definedName function="false" hidden="false" name="FileGPU_N_E" vbProcedure="false">Sites!$E$218</definedName>
    <definedName function="false" hidden="false" name="FixMgmt" vbProcedure="false">Inputs!$F$22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Prem" vbProcedure="false">Inputs!$F$107</definedName>
    <definedName function="false" hidden="false" name="GensetMW" vbProcedure="false">Inputs!$F$127</definedName>
    <definedName function="false" hidden="false" name="GPUAnchorD" vbProcedure="false">Sites!$F$219</definedName>
    <definedName function="false" hidden="false" name="GPUAnchorOn" vbProcedure="false">Inputs!$F$58</definedName>
    <definedName function="false" hidden="false" name="GPUCost_B" vbProcedure="false">Inputs!$F$158</definedName>
    <definedName function="false" hidden="false" name="GPUCost_H" vbProcedure="false">Inputs!$F$157</definedName>
    <definedName function="false" hidden="false" name="GPUCost_N" vbProcedure="false">Inputs!$F$159</definedName>
    <definedName function="false" hidden="false" name="GPULead" vbProcedure="false">Inputs!$F$163</definedName>
    <definedName function="false" hidden="false" name="GPUMW_B" vbProcedure="false">Inputs!$F$94</definedName>
    <definedName function="false" hidden="false" name="GPUMW_H" vbProcedure="false">Inputs!$F$93</definedName>
    <definedName function="false" hidden="false" name="GPUMW_N" vbProcedure="false">Inputs!$F$95</definedName>
    <definedName function="false" hidden="false" name="GPU_Add_B" vbProcedure="false">Revenue!$F$15:$AG$15</definedName>
    <definedName function="false" hidden="false" name="GPU_Add_B_E" vbProcedure="false">Revenue!$E$15</definedName>
    <definedName function="false" hidden="false" name="GPU_Add_H" vbProcedure="false">Revenue!$F$14:$AG$14</definedName>
    <definedName function="false" hidden="false" name="GPU_Add_H_E" vbProcedure="false">Revenue!$E$14</definedName>
    <definedName function="false" hidden="false" name="GPU_Add_N" vbProcedure="false">Revenue!$F$16:$AG$16</definedName>
    <definedName function="false" hidden="false" name="GPU_Add_N_E" vbProcedure="false">Revenue!$E$16</definedName>
    <definedName function="false" hidden="false" name="GPU_Avg" vbProcedure="false">Revenue!$F$21:$AG$21</definedName>
    <definedName function="false" hidden="false" name="GPU_Avg_E" vbProcedure="false">Revenue!$E$21</definedName>
    <definedName function="false" hidden="false" name="GPU_End" vbProcedure="false">Revenue!$F$20:$AG$20</definedName>
    <definedName function="false" hidden="false" name="GPU_End_B" vbProcedure="false">Revenue!$F$18:$AG$18</definedName>
    <definedName function="false" hidden="false" name="GPU_End_B_E" vbProcedure="false">Revenue!$E$18</definedName>
    <definedName function="false" hidden="false" name="GPU_End_E" vbProcedure="false">Revenue!$E$20</definedName>
    <definedName function="false" hidden="false" name="GPU_End_H" vbProcedure="false">Revenue!$F$17:$AG$17</definedName>
    <definedName function="false" hidden="false" name="GPU_End_H_E" vbProcedure="false">Revenue!$E$17</definedName>
    <definedName function="false" hidden="false" name="GPU_End_N" vbProcedure="false">Revenue!$F$19:$AG$19</definedName>
    <definedName function="false" hidden="false" name="GPU_End_N_E" vbProcedure="false">Revenue!$E$19</definedName>
    <definedName function="false" hidden="false" name="GPU_Q125" vbProcedure="false">Inputs!$F$59</definedName>
    <definedName function="false" hidden="false" name="HeadStart" vbProcedure="false">Inputs!$F$111</definedName>
    <definedName function="false" hidden="false" name="HistGPUsh" vbProcedure="false">Inputs!$F$185</definedName>
    <definedName function="false" hidden="false" name="HistMWBasis" vbProcedure="false">Inputs!$F$37</definedName>
    <definedName function="false" hidden="false" name="HistPowSh" vbProcedure="false">Inputs!$F$187</definedName>
    <definedName function="false" hidden="false" name="HistShellSh" vbProcedure="false">Inputs!$F$186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mp" vbProcedure="false">Capex_DA!$F$68:$AG$68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Inputs!$F$198</definedName>
    <definedName function="false" hidden="false" name="ImpPct_H" vbProcedure="false">Inputs!$F$196</definedName>
    <definedName function="false" hidden="false" name="ImpPct_N" vbProcedure="false">Inputs!$F$200</definedName>
    <definedName function="false" hidden="false" name="ImpQ_B" vbProcedure="false">Inputs!$F$197</definedName>
    <definedName function="false" hidden="false" name="ImpQ_H" vbProcedure="false">Inputs!$F$195</definedName>
    <definedName function="false" hidden="false" name="ImpQ_N" vbProcedure="false">Inputs!$F$199</definedName>
    <definedName function="false" hidden="false" name="Imp_B" vbProcedure="false">Capex_DA!$F$45:$AG$45</definedName>
    <definedName function="false" hidden="false" name="Imp_B_E" vbProcedure="false">Capex_DA!$E$45</definedName>
    <definedName function="false" hidden="false" name="Imp_E" vbProcedure="false">Capex_DA!$E$68</definedName>
    <definedName function="false" hidden="false" name="Imp_H" vbProcedure="false">Capex_DA!$F$40:$AG$40</definedName>
    <definedName function="false" hidden="false" name="Imp_H_E" vbProcedure="false">Capex_DA!$E$40</definedName>
    <definedName function="false" hidden="false" name="Imp_N" vbProcedure="false">Capex_DA!$F$50:$AG$50</definedName>
    <definedName function="false" hidden="false" name="Imp_N_E" vbProcedure="false">Capex_DA!$E$50</definedName>
    <definedName function="false" hidden="false" name="InferizeAmt" vbProcedure="false">Inputs!$F$42</definedName>
    <definedName function="false" hidden="false" name="InferizeOn" vbProcedure="false">Inputs!$F$41</definedName>
    <definedName function="false" hidden="false" name="ISG" vbProcedure="false">Capex_DA!$F$75:$AG$75</definedName>
    <definedName function="false" hidden="false" name="ISG_E" vbProcedure="false">Capex_DA!$E$75</definedName>
    <definedName function="false" hidden="false" name="ITCapexMW" vbProcedure="false">Inputs!$F$160</definedName>
    <definedName function="false" hidden="false" name="ITM_Prin_Chk" vbProcedure="false">Inputs!$F$258</definedName>
    <definedName function="false" hidden="false" name="ITM_Sh_Chk" vbProcedure="false">Inputs!$F$257</definedName>
    <definedName function="false" hidden="false" name="JuneExitOn" vbProcedure="false">Inputs!$F$43</definedName>
    <definedName function="false" hidden="false" name="JuneOv" vbProcedure="false">Revenue!$F$71:$AG$71</definedName>
    <definedName function="false" hidden="false" name="JuneOv_E" vbProcedure="false">Revenue!$E$71</definedName>
    <definedName function="false" hidden="false" name="Ke" vbProcedure="false">Inputs!$F$269</definedName>
    <definedName function="false" hidden="false" name="LastHist" vbProcedure="false">Inputs!$F$9</definedName>
    <definedName function="false" hidden="false" name="LaunchOn" vbProcedure="false">Inputs!$F$109</definedName>
    <definedName function="false" hidden="false" name="LaunchPrem" vbProcedure="false">Inputs!$F$110</definedName>
    <definedName function="false" hidden="false" name="LD_Pct" vbProcedure="false">Inputs!$F$147</definedName>
    <definedName function="false" hidden="false" name="LifeChgFY26" vbProcedure="false">Inputs!$F$166</definedName>
    <definedName function="false" hidden="false" name="LifeOverride" vbProcedure="false">Inputs!$F$191</definedName>
    <definedName function="false" hidden="false" name="Life_B" vbProcedure="false">Inputs!$F$189</definedName>
    <definedName function="false" hidden="false" name="Life_H" vbProcedure="false">Inputs!$F$188</definedName>
    <definedName function="false" hidden="false" name="Life_Maint" vbProcedure="false">Inputs!$F$194</definedName>
    <definedName function="false" hidden="false" name="Life_N" vbProcedure="false">Inputs!$F$190</definedName>
    <definedName function="false" hidden="false" name="Life_Pow" vbProcedure="false">Inputs!$F$193</definedName>
    <definedName function="false" hidden="false" name="Life_Shell" vbProcedure="false">Inputs!$F$192</definedName>
    <definedName function="false" hidden="false" name="Liq" vbProcedure="false">CashFlow!$F$55:$AG$55</definedName>
    <definedName function="false" hidden="false" name="Liq_Cmp" vbProcedure="false">CashFlow!$E$61:$H$62</definedName>
    <definedName function="false" hidden="false" name="Liq_E" vbProcedure="false">CashFlow!$E$55</definedName>
    <definedName function="false" hidden="false" name="Liq_NegQ" vbProcedure="false">CashFlow!$E$57</definedName>
    <definedName function="false" hidden="false" name="Liq_Start" vbProcedure="false">CashFlow!$E$56</definedName>
    <definedName function="false" hidden="false" name="LoadFactor" vbProcedure="false">Inputs!$F$92</definedName>
    <definedName function="false" hidden="false" name="LoanOn" vbProcedure="false">Inputs!$F$210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Inputs!$F$184</definedName>
    <definedName function="false" hidden="false" name="MaintRatio" vbProcedure="false">Inputs!$F$277</definedName>
    <definedName function="false" hidden="false" name="MarginCons28" vbProcedure="false">Inputs!$F$33</definedName>
    <definedName function="false" hidden="false" name="MarginPeer" vbProcedure="false">Inputs!$F$34</definedName>
    <definedName function="false" hidden="false" name="MarMo" vbProcedure="false">Inputs!$F$44</definedName>
    <definedName function="false" hidden="false" name="Meta1Q" vbProcedure="false">Inputs!$F$133</definedName>
    <definedName function="false" hidden="false" name="MinCash" vbProcedure="false">Inputs!$F$232</definedName>
    <definedName function="false" hidden="false" name="MixA_Q2" vbProcedure="false">Inputs!$F$141</definedName>
    <definedName function="false" hidden="false" name="MixB_Q2" vbProcedure="false">Inputs!$F$142</definedName>
    <definedName function="false" hidden="false" name="MixC_Q2" vbProcedure="false">Inputs!$F$143</definedName>
    <definedName function="false" hidden="false" name="Mix_B" vbProcedure="false">Inputs!$C$300:$I$300</definedName>
    <definedName function="false" hidden="false" name="Mix_H" vbProcedure="false">Inputs!$C$299:$I$299</definedName>
    <definedName function="false" hidden="false" name="Mix_N" vbProcedure="false">Inputs!$C$301:$I$301</definedName>
    <definedName function="false" hidden="false" name="MSFT_Ceil" vbProcedure="false">Inputs!$F$130</definedName>
    <definedName function="false" hidden="false" name="MSFT_Chk" vbProcedure="false">Contracts!$K$31</definedName>
    <definedName function="false" hidden="false" name="MSFT_MW" vbProcedure="false">Inputs!$F$122</definedName>
    <definedName function="false" hidden="false" name="MSFT_N" vbProcedure="false">Inputs!$F$123</definedName>
    <definedName function="false" hidden="false" name="MSFT_TCV" vbProcedure="false">Inputs!$F$121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Contracts!$F$147:$AG$147</definedName>
    <definedName function="false" hidden="false" name="MS_CeilChk_E" vbProcedure="false">Contracts!$E$147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Inputs!$F$132</definedName>
    <definedName function="false" hidden="false" name="MS_Rev" vbProcedure="false">Contracts!$F$144:$AG$144</definedName>
    <definedName function="false" hidden="false" name="MS_Rev_E" vbProcedure="false">Contracts!$E$144</definedName>
    <definedName function="false" hidden="false" name="MWSel" vbProcedure="false">Inputs!$F$12</definedName>
    <definedName function="false" hidden="false" name="MWUp" vbProcedure="false">Sites!$F$232</definedName>
    <definedName function="false" hidden="false" name="MW_Act" vbProcedure="false">Sites!$F$233:$AG$233</definedName>
    <definedName function="false" hidden="false" name="MW_Act_E" vbProcedure="false">Sites!$E$233</definedName>
    <definedName function="false" hidden="false" name="MW_Add31" vbProcedure="false">Sites!$E$183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Sites!$F$236:$AG$236</definedName>
    <definedName function="false" hidden="false" name="MW_Contr_E" vbProcedure="false">Sites!$E$236</definedName>
    <definedName function="false" hidden="false" name="MW_Delay" vbProcedure="false">Inputs!$F$90</definedName>
    <definedName function="false" hidden="false" name="MW_En" vbProcedure="false">Sites!$F$173:$AG$173</definedName>
    <definedName function="false" hidden="false" name="MW_En_E" vbProcedure="false">Sites!$E$173</definedName>
    <definedName function="false" hidden="false" name="MW_Fac" vbProcedure="false">Sites!$F$235:$AG$235</definedName>
    <definedName function="false" hidden="false" name="MW_Fac_E" vbProcedure="false">Sites!$E$235</definedName>
    <definedName function="false" hidden="false" name="MW_Gd" vbProcedure="false">Sites!$F$212:$AG$212</definedName>
    <definedName function="false" hidden="false" name="MW_Gd_E" vbProcedure="false">Sites!$E$212</definedName>
    <definedName function="false" hidden="false" name="MW_Haircut" vbProcedure="false">Inputs!$F$89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Revenue!$F$36:$AG$36</definedName>
    <definedName function="false" hidden="false" name="MW_Over_E" vbProcedure="false">Revenue!$E$36</definedName>
    <definedName function="false" hidden="false" name="MW_OwnSh" vbProcedure="false">Sites!$F$234:$AG$234</definedName>
    <definedName function="false" hidden="false" name="MW_OwnSh_E" vbProcedure="false">Sites!$E$234</definedName>
    <definedName function="false" hidden="false" name="MYRate" vbProcedure="false">Inputs!$F$52</definedName>
    <definedName function="false" hidden="false" name="NBV" vbProcedure="false">Capex_DA!$F$69:$AG$69</definedName>
    <definedName function="false" hidden="false" name="NBV_B" vbProcedure="false">Capex_DA!$F$46:$AG$46</definedName>
    <definedName function="false" hidden="false" name="NBV_B_E" vbProcedure="false">Capex_DA!$E$46</definedName>
    <definedName function="false" hidden="false" name="NBV_E" vbProcedure="false">Capex_DA!$E$69</definedName>
    <definedName function="false" hidden="false" name="NBV_H" vbProcedure="false">Capex_DA!$F$41:$AG$41</definedName>
    <definedName function="false" hidden="false" name="NBV_H_E" vbProcedure="false">Capex_DA!$E$41</definedName>
    <definedName function="false" hidden="false" name="NBV_N" vbProcedure="false">Capex_DA!$F$51:$AG$51</definedName>
    <definedName function="false" hidden="false" name="NBV_N_E" vbProcedure="false">Capex_DA!$E$51</definedName>
    <definedName function="false" hidden="false" name="NCA_B" vbProcedure="false">Revenue!$F$34:$AG$34</definedName>
    <definedName function="false" hidden="false" name="NCA_B_E" vbProcedure="false">Revenue!$E$34</definedName>
    <definedName function="false" hidden="false" name="NCA_H" vbProcedure="false">Revenue!$F$33:$AG$33</definedName>
    <definedName function="false" hidden="false" name="NCA_H_E" vbProcedure="false">Revenue!$E$33</definedName>
    <definedName function="false" hidden="false" name="NCA_N" vbProcedure="false">Revenue!$F$35:$AG$35</definedName>
    <definedName function="false" hidden="false" name="NCA_N_E" vbProcedure="false">Revenue!$E$35</definedName>
    <definedName function="false" hidden="false" name="NCE_B" vbProcedure="false">Revenue!$F$31:$AG$31</definedName>
    <definedName function="false" hidden="false" name="NCE_B_E" vbProcedure="false">Revenue!$E$31</definedName>
    <definedName function="false" hidden="false" name="NCE_H" vbProcedure="false">Revenue!$F$30:$AG$30</definedName>
    <definedName function="false" hidden="false" name="NCE_H_E" vbProcedure="false">Revenue!$E$30</definedName>
    <definedName function="false" hidden="false" name="NCE_N" vbProcedure="false">Revenue!$F$32:$AG$32</definedName>
    <definedName function="false" hidden="false" name="NCE_N_E" vbProcedure="false">Revenue!$E$32</definedName>
    <definedName function="false" hidden="false" name="ND_Adj" vbProcedure="false">Revenue!$F$65:$AG$65</definedName>
    <definedName function="false" hidden="false" name="ND_Adj_E" vbProcedure="false">Revenue!$E$65</definedName>
    <definedName function="false" hidden="false" name="ND_MW" vbProcedure="false">Revenue!$F$58:$AG$58</definedName>
    <definedName function="false" hidden="false" name="ND_MW_E" vbProcedure="false">Revenue!$E$58</definedName>
    <definedName function="false" hidden="false" name="ND_MYRate" vbProcedure="false">Revenue!$F$60:$AG$60</definedName>
    <definedName function="false" hidden="false" name="ND_MYRate_E" vbProcedure="false">Revenue!$E$60</definedName>
    <definedName function="false" hidden="false" name="ND_RevMW" vbProcedure="false">Revenue!$F$66:$AG$66</definedName>
    <definedName function="false" hidden="false" name="ND_RevMW_E" vbProcedure="false">Revenue!$E$66</definedName>
    <definedName function="false" hidden="false" name="ND_STRate" vbProcedure="false">Revenue!$F$62:$AG$62</definedName>
    <definedName function="false" hidden="false" name="ND_STRate_E" vbProcedure="false">Revenue!$E$62</definedName>
    <definedName function="false" hidden="false" name="NewDealHi" vbProcedure="false">Inputs!$F$174</definedName>
    <definedName function="false" hidden="false" name="NewDealIdx" vbProcedure="false">Inputs!$F$51</definedName>
    <definedName function="false" hidden="false" name="NewDealLo" vbProcedure="false">Inputs!$F$173</definedName>
    <definedName function="false" hidden="false" name="NewDealOn" vbProcedure="false">Inputs!$F$50</definedName>
    <definedName function="false" hidden="false" name="NextLaunchIdx" vbProcedure="false">Inputs!$F$112</definedName>
    <definedName function="false" hidden="false" name="NVDA_Idx" vbProcedure="false">Inputs!$F$248</definedName>
    <definedName function="false" hidden="false" name="NVDA_W" vbProcedure="false">Inputs!$F$247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Inputs!$F$28</definedName>
    <definedName function="false" hidden="false" name="ODq_N" vbProcedure="false">Pricing!$J$23</definedName>
    <definedName function="false" hidden="false" name="OffBSWt" vbProcedure="false">Inputs!$F$290</definedName>
    <definedName function="false" hidden="false" name="OffBS_Energy" vbProcedure="false">Inputs!$F$287</definedName>
    <definedName function="false" hidden="false" name="OffBS_Lease" vbProcedure="false">Inputs!$F$288</definedName>
    <definedName function="false" hidden="false" name="OM_MW" vbProcedure="false">Inputs!$F$25</definedName>
    <definedName function="false" hidden="false" name="OpenGPU_H" vbProcedure="false">Inputs!$F$201</definedName>
    <definedName function="false" hidden="false" name="OpexHold" vbProcedure="false">Inputs!$F$61</definedName>
    <definedName function="false" hidden="false" name="OpLease" vbProcedure="false">Inputs!$F$289</definedName>
    <definedName function="false" hidden="false" name="Options" vbProcedure="false">Inputs!$F$249</definedName>
    <definedName function="false" hidden="false" name="OptK" vbProcedure="false">Inputs!$F$250</definedName>
    <definedName function="false" hidden="false" name="OtherCOR" vbProcedure="false">Inputs!$F$154</definedName>
    <definedName function="false" hidden="false" name="OtherDA" vbProcedure="false">Inputs!$F$202</definedName>
    <definedName function="false" hidden="false" name="Other_Val" vbProcedure="false">Inputs!$F$285</definedName>
    <definedName function="false" hidden="false" name="OthRev_g" vbProcedure="false">Inputs!$F$149</definedName>
    <definedName function="false" hidden="false" name="OwnedSh" vbProcedure="false">Inputs!$C$298:$I$298</definedName>
    <definedName function="false" hidden="false" name="PathIT" vbProcedure="false">Sites!$F$177:$AG$177</definedName>
    <definedName function="false" hidden="false" name="PathIT_E" vbProcedure="false">Sites!$E$177</definedName>
    <definedName function="false" hidden="false" name="PathRateIT" vbProcedure="false">Sites!$F$180:$AG$180</definedName>
    <definedName function="false" hidden="false" name="PathRateIT_E" vbProcedure="false">Sites!$E$180</definedName>
    <definedName function="false" hidden="false" name="PathRateSP" vbProcedure="false">Sites!$F$181:$AG$181</definedName>
    <definedName function="false" hidden="false" name="PathRateSP_E" vbProcedure="false">Sites!$E$181</definedName>
    <definedName function="false" hidden="false" name="PathSP" vbProcedure="false">Sites!$F$178:$AG$178</definedName>
    <definedName function="false" hidden="false" name="PathSP_E" vbProcedure="false">Sites!$E$178</definedName>
    <definedName function="false" hidden="false" name="PDpct" vbProcedure="false">Inputs!$C$309:$I$309</definedName>
    <definedName function="false" hidden="false" name="PeerEVMW" vbProcedure="false">Inputs!$F$278</definedName>
    <definedName function="false" hidden="false" name="PeerMarginOn" vbProcedure="false">Inputs!$F$45</definedName>
    <definedName function="false" hidden="false" name="PeerMarginYr" vbProcedure="false">Inputs!$F$46</definedName>
    <definedName function="false" hidden="false" name="PISLag" vbProcedure="false">Inputs!$F$164</definedName>
    <definedName function="false" hidden="false" name="PlugDebtSh" vbProcedure="false">Inputs!$F$240</definedName>
    <definedName function="false" hidden="false" name="PlugSpread" vbProcedure="false">Inputs!$F$239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Inputs!$F$162</definedName>
    <definedName function="false" hidden="false" name="PowerPx" vbProcedure="false">Inputs!$F$151</definedName>
    <definedName function="false" hidden="false" name="Prepay26" vbProcedure="false">Inputs!$F$206</definedName>
    <definedName function="false" hidden="false" name="PrepayBase" vbProcedure="false">Inputs!$F$57</definedName>
    <definedName function="false" hidden="false" name="PrepayOn" vbProcedure="false">Inputs!$F$56</definedName>
    <definedName function="false" hidden="false" name="PrepayPct" vbProcedure="false">Inputs!$F$207</definedName>
    <definedName function="false" hidden="false" name="PUE" vbProcedure="false">Inputs!$F$91</definedName>
    <definedName function="false" hidden="false" name="PUE_B" vbProcedure="false">Inputs!$D$91</definedName>
    <definedName function="false" hidden="false" name="PwrLooseDecl" vbProcedure="false">Inputs!$F$101</definedName>
    <definedName function="false" hidden="false" name="PwrLooseIdx" vbProcedure="false">Inputs!$F$102</definedName>
    <definedName function="false" hidden="false" name="PwrLooseOn" vbProcedure="false">Inputs!$F$100</definedName>
    <definedName function="false" hidden="false" name="PxBaseIdx" vbProcedure="false">Inputs!$F$106</definedName>
    <definedName function="false" hidden="false" name="PxChg_B" vbProcedure="false">Inputs!$F$104</definedName>
    <definedName function="false" hidden="false" name="PxChg_H" vbProcedure="false">Inputs!$F$103</definedName>
    <definedName function="false" hidden="false" name="PxChg_N" vbProcedure="false">Inputs!$F$105</definedName>
    <definedName function="false" hidden="false" name="PxCyc" vbProcedure="false">Inputs!$F$86</definedName>
    <definedName function="false" hidden="false" name="PxCycIdx" vbProcedure="false">Inputs!$F$87</definedName>
    <definedName function="false" hidden="false" name="PxCycleOn" vbProcedure="false">Inputs!$F$85</definedName>
    <definedName function="false" hidden="false" name="PxLine_Hi" vbProcedure="false">Inputs!$F$135</definedName>
    <definedName function="false" hidden="false" name="PxLine_Lo" vbProcedure="false">Inputs!$F$134</definedName>
    <definedName function="false" hidden="false" name="PxMult" vbProcedure="false">Inputs!$F$98</definedName>
    <definedName function="false" hidden="false" name="PxPathMode" vbProcedure="false">Inputs!$F$99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Inputs!$F$172</definedName>
    <definedName function="false" hidden="false" name="Q3TransAct" vbProcedure="false">Inputs!$F$181</definedName>
    <definedName function="false" hidden="false" name="Q3TransChk" vbProcedure="false">Capex_DA!$P$81</definedName>
    <definedName function="false" hidden="false" name="Q3TransMin" vbProcedure="false">Inputs!$F$182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mpMS" vbProcedure="false">Inputs!$F$113</definedName>
    <definedName function="false" hidden="false" name="RampMS_B" vbProcedure="false">Inputs!$D$113</definedName>
    <definedName function="false" hidden="false" name="RealOD" vbProcedure="false">Inputs!$F$114</definedName>
    <definedName function="false" hidden="false" name="RealOD_B" vbProcedure="false">Inputs!$D$114</definedName>
    <definedName function="false" hidden="false" name="RealRes" vbProcedure="false">Inputs!$F$115</definedName>
    <definedName function="false" hidden="false" name="RealRes_B" vbProcedure="false">Inputs!$D$115</definedName>
    <definedName function="false" hidden="false" name="RedSites" vbProcedure="false">Sites!$F$237</definedName>
    <definedName function="false" hidden="false" name="RenewIdx" vbProcedure="false">Inputs!$F$64</definedName>
    <definedName function="false" hidden="false" name="RenewRate" vbProcedure="false">Inputs!$F$63</definedName>
    <definedName function="false" hidden="false" name="RenewUp" vbProcedure="false">Inputs!$F$27</definedName>
    <definedName function="false" hidden="false" name="RentMW" vbProcedure="false">Inputs!$F$152</definedName>
    <definedName function="false" hidden="false" name="ReplOn" vbProcedure="false">Inputs!$F$36</definedName>
    <definedName function="false" hidden="false" name="ReplPxOn" vbProcedure="false">Inputs!$F$60</definedName>
    <definedName function="false" hidden="false" name="RepriceOn" vbProcedure="false">Inputs!$F$26</definedName>
    <definedName function="false" hidden="false" name="ResDisc" vbProcedure="false">Inputs!$F$97</definedName>
    <definedName function="false" hidden="false" name="ResidBearCut" vbProcedure="false">Inputs!$F$146</definedName>
    <definedName function="false" hidden="false" name="ResidUtil" vbProcedure="false">Inputs!$F$119</definedName>
    <definedName function="false" hidden="false" name="ResLag" vbProcedure="false">Inputs!$F$140</definedName>
    <definedName function="false" hidden="false" name="ResSh" vbProcedure="false">Inputs!$C$302:$I$302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Revenue!$F$75:$AG$75</definedName>
    <definedName function="false" hidden="false" name="Rev_E" vbProcedure="false">Revenue!$E$75</definedName>
    <definedName function="false" hidden="false" name="Rev_Model" vbProcedure="false">Revenue!$F$74:$AG$74</definedName>
    <definedName function="false" hidden="false" name="Rev_Model_E" vbProcedure="false">Revenue!$E$74</definedName>
    <definedName function="false" hidden="false" name="Rev_PxSens" vbProcedure="false">Revenue!$F$84:$AG$84</definedName>
    <definedName function="false" hidden="false" name="Rev_PxSens_E" vbProcedure="false">Revenue!$E$84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SU" vbProcedure="false">Inputs!$F$251</definedName>
    <definedName function="false" hidden="false" name="Rubin_Prem" vbProcedure="false">Inputs!$F$108</definedName>
    <definedName function="false" hidden="false" name="SBCpct" vbProcedure="false">Inputs!$F$155</definedName>
    <definedName function="false" hidden="false" name="SBCsh" vbProcedure="false">Inputs!$F$265</definedName>
    <definedName function="false" hidden="false" name="Scen" vbProcedure="false">Inputs!$D$4</definedName>
    <definedName function="false" hidden="false" name="SecAmt" vbProcedure="false">Inputs!$F$236</definedName>
    <definedName function="false" hidden="false" name="SecIdx" vbProcedure="false">Inputs!$F$237</definedName>
    <definedName function="false" hidden="false" name="SecMatIdx" vbProcedure="false">Inputs!$F$238</definedName>
    <definedName function="false" hidden="false" name="SecSpread" vbProcedure="false">Inputs!$F$235</definedName>
    <definedName function="false" hidden="false" name="Sec_Bal" vbProcedure="false">Financing!$F$100:$AG$100</definedName>
    <definedName function="false" hidden="false" name="Sec_Bal_E" vbProcedure="false">Financing!$E$100</definedName>
    <definedName function="false" hidden="false" name="Sec_Flow" vbProcedure="false">Financing!$F$102:$AG$102</definedName>
    <definedName function="false" hidden="false" name="Sec_Flow_E" vbProcedure="false">Financing!$E$102</definedName>
    <definedName function="false" hidden="false" name="Sec_Int" vbProcedure="false">Financing!$F$101:$AG$101</definedName>
    <definedName function="false" hidden="false" name="Sec_Int_E" vbProcedure="false">Financing!$E$101</definedName>
    <definedName function="false" hidden="false" name="SGApct" vbProcedure="false">Inputs!$C$310:$I$310</definedName>
    <definedName function="false" hidden="false" name="SharePx" vbProcedure="false">Inputs!$F$11</definedName>
    <definedName function="false" hidden="false" name="ShellMW" vbProcedure="false">Inputs!$F$161</definedName>
    <definedName function="false" hidden="false" name="Sh_Basic" vbProcedure="false">Shares!$F$9:$AG$9</definedName>
    <definedName function="false" hidden="false" name="Sh_Basic_E" vbProcedure="false">Shares!$E$9</definedName>
    <definedName function="false" hidden="false" name="Sh_Dil" vbProcedure="false">Shares!$F$15:$AG$15</definedName>
    <definedName function="false" hidden="false" name="Sh_Dil_E" vbProcedure="false">Shares!$E$15</definedName>
    <definedName function="false" hidden="false" name="Sh_EconBasic" vbProcedure="false">Shares!$F$11:$AG$11</definedName>
    <definedName function="false" hidden="false" name="Sh_EconBasic_E" vbProcedure="false">Shares!$E$11</definedName>
    <definedName function="false" hidden="false" name="Sk3C_YE27" vbProcedure="false">Inputs!$F$75</definedName>
    <definedName function="false" hidden="false" name="Sk3C_ZeroQ" vbProcedure="false">Inputs!$F$74</definedName>
    <definedName function="false" hidden="false" name="Sk3H_YE27" vbProcedure="false">Inputs!$F$72</definedName>
    <definedName function="false" hidden="false" name="Sk3H_YE28" vbProcedure="false">Inputs!$F$73</definedName>
    <definedName function="false" hidden="false" name="Sk3H_ZeroQ" vbProcedure="false">Inputs!$F$71</definedName>
    <definedName function="false" hidden="false" name="Sk3L_YE27" vbProcedure="false">Inputs!$F$69</definedName>
    <definedName function="false" hidden="false" name="Sk3L_YE28" vbProcedure="false">Inputs!$F$70</definedName>
    <definedName function="false" hidden="false" name="Sk3L_ZeroQ" vbProcedure="false">Inputs!$F$68</definedName>
    <definedName function="false" hidden="false" name="Sk3_DCF4" vbProcedure="false">Inputs!$F$76</definedName>
    <definedName function="false" hidden="false" name="Sk3_DCF5" vbProcedure="false">Inputs!$F$77</definedName>
    <definedName function="false" hidden="false" name="Sk3_DCF6" vbProcedure="false">Inputs!$F$78</definedName>
    <definedName function="false" hidden="false" name="Sk3_PC27" vbProcedure="false">Inputs!$F$79</definedName>
    <definedName function="false" hidden="false" name="Sk3_PC27Bear" vbProcedure="false">Inputs!$F$80</definedName>
    <definedName function="false" hidden="false" name="Sk3_PC28" vbProcedure="false">Inputs!$F$81</definedName>
    <definedName function="false" hidden="false" name="Sk3_YE27" vbProcedure="false">Inputs!$F$66</definedName>
    <definedName function="false" hidden="false" name="Sk3_YE28" vbProcedure="false">Inputs!$F$67</definedName>
    <definedName function="false" hidden="false" name="Sk3_ZeroQ" vbProcedure="false">Inputs!$F$65</definedName>
    <definedName function="false" hidden="false" name="SkEBIT4" vbProcedure="false">Inputs!$F$291</definedName>
    <definedName function="false" hidden="false" name="SkEBIT5" vbProcedure="false">Inputs!$F$292</definedName>
    <definedName function="false" hidden="false" name="SkEBIT6" vbProcedure="false">Inputs!$F$293</definedName>
    <definedName function="false" hidden="false" name="Sk_EVEB27" vbProcedure="false">Inputs!$F$226</definedName>
    <definedName function="false" hidden="false" name="Sk_Q127" vbProcedure="false">Inputs!$F$218</definedName>
    <definedName function="false" hidden="false" name="Sk_Q227" vbProcedure="false">Inputs!$F$219</definedName>
    <definedName function="false" hidden="false" name="Sk_Rev27Base" vbProcedure="false">Inputs!$F$222</definedName>
    <definedName function="false" hidden="false" name="Sk_Rev27Hi" vbProcedure="false">Inputs!$F$223</definedName>
    <definedName function="false" hidden="false" name="Sk_Rev27Lo" vbProcedure="false">Inputs!$F$221</definedName>
    <definedName function="false" hidden="false" name="Sk_Rev27St" vbProcedure="false">Inputs!$F$224</definedName>
    <definedName function="false" hidden="false" name="Sk_Rev28" vbProcedure="false">Inputs!$F$225</definedName>
    <definedName function="false" hidden="false" name="Sk_Start" vbProcedure="false">Inputs!$F$217</definedName>
    <definedName function="false" hidden="false" name="Sk_YE27" vbProcedure="false">Inputs!$F$220</definedName>
    <definedName function="false" hidden="false" name="SOFR" vbProcedure="false">Inputs!$F$234</definedName>
    <definedName function="false" hidden="false" name="SOTPPt" vbProcedure="false">Inputs!$F$286</definedName>
    <definedName function="false" hidden="false" name="SOTP_Disc" vbProcedure="false">Inputs!$F$294</definedName>
    <definedName function="false" hidden="false" name="SpotSh" vbProcedure="false">Inputs!$C$303:$I$303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Rate" vbProcedure="false">Inputs!$F$54</definedName>
    <definedName function="false" hidden="false" name="STRecov" vbProcedure="false">Inputs!$F$55</definedName>
    <definedName function="false" hidden="false" name="STShare" vbProcedure="false">Inputs!$F$53</definedName>
    <definedName function="false" hidden="false" name="StudioUp" vbProcedure="false">Inputs!$C$304:$I$304</definedName>
    <definedName function="false" hidden="false" name="TaxRate" vbProcedure="false">Inputs!$F$266</definedName>
    <definedName function="false" hidden="false" name="TCV_Model" vbProcedure="false">Contracts!$K$30</definedName>
    <definedName function="false" hidden="false" name="TermBase" vbProcedure="false">Inputs!$F$23</definedName>
    <definedName function="false" hidden="false" name="TermMode" vbProcedure="false">Inputs!$F$62</definedName>
    <definedName function="false" hidden="false" name="TermRONC" vbProcedure="false">Inputs!$F$272</definedName>
    <definedName function="false" hidden="false" name="TermRR" vbProcedure="false">Inputs!$F$273</definedName>
    <definedName function="false" hidden="false" name="TG" vbProcedure="false">Inputs!$F$270</definedName>
    <definedName function="false" hidden="false" name="TGCap" vbProcedure="false">Inputs!$F$274</definedName>
    <definedName function="false" hidden="false" name="TGMode" vbProcedure="false">Inputs!$F$271</definedName>
    <definedName function="false" hidden="false" name="TopCust" vbProcedure="false">Inputs!$F$131</definedName>
    <definedName function="false" hidden="false" name="TO_Hi" vbProcedure="false">Inputs!$F$282</definedName>
    <definedName function="false" hidden="false" name="TO_Lo" vbProcedure="false">Inputs!$F$281</definedName>
    <definedName function="false" hidden="false" name="Transfer" vbProcedure="false">Capex_DA!$F$73:$AG$73</definedName>
    <definedName function="false" hidden="false" name="Transfer_E" vbProcedure="false">Capex_DA!$E$73</definedName>
    <definedName function="false" hidden="false" name="TVFloor" vbProcedure="false">Inputs!$F$24</definedName>
    <definedName function="false" hidden="false" name="UnseenChkHi" vbProcedure="false">Inputs!$F$145</definedName>
    <definedName function="false" hidden="false" name="UnseenChkLo" vbProcedure="false">Inputs!$F$144</definedName>
    <definedName function="false" hidden="false" name="Unseen_MN" vbProcedure="false">Inputs!$F$137</definedName>
    <definedName function="false" hidden="false" name="Unseen_OK" vbProcedure="false">Inputs!$F$136</definedName>
    <definedName function="false" hidden="false" name="Unseen_OT" vbProcedure="false">Inputs!$F$138</definedName>
    <definedName function="false" hidden="false" name="UtilFlag" vbProcedure="false">Revenue!$F$47</definedName>
    <definedName function="false" hidden="false" name="UtilQ2" vbProcedure="false">Revenue!$E$47</definedName>
    <definedName function="false" hidden="false" name="Util_OD" vbProcedure="false">Inputs!$F$116</definedName>
    <definedName function="false" hidden="false" name="Util_Res" vbProcedure="false">Inputs!$F$117</definedName>
    <definedName function="false" hidden="false" name="Util_Spot" vbProcedure="false">Inputs!$F$118</definedName>
    <definedName function="false" hidden="false" name="ValDate" vbProcedure="false">Inputs!$F$8</definedName>
    <definedName function="false" hidden="false" name="VinCapOn" vbProcedure="false">Inputs!$F$35</definedName>
    <definedName function="false" hidden="false" name="VinEnIT" vbProcedure="false">Sites!$F$182:$AG$182</definedName>
    <definedName function="false" hidden="false" name="VinEnIT_E" vbProcedure="false">Sites!$E$182</definedName>
    <definedName function="false" hidden="false" name="VinExpQ4" vbProcedure="false">Contracts!$Q$146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Inputs!$F$153</definedName>
    <definedName function="false" hidden="false" name="VinPUE" vbProcedure="false">Inputs!$F$139</definedName>
    <definedName function="false" hidden="false" name="VinRevMW" vbProcedure="false">Inputs!$F$48</definedName>
    <definedName function="false" hidden="false" name="VinShutSel" vbProcedure="false">Inputs!$F$47</definedName>
    <definedName function="false" hidden="false" name="V_AV" vbProcedure="false">Valuation!$E$65</definedName>
    <definedName function="false" hidden="false" name="V_BASIC" vbProcedure="false">Valuation!$E$83</definedName>
    <definedName function="false" hidden="false" name="V_CASH" vbProcedure="false">Valuation!$E$81</definedName>
    <definedName function="false" hidden="false" name="V_CH" vbProcedure="false">Valuation!$E$63</definedName>
    <definedName function="false" hidden="false" name="V_CONV" vbProcedure="false">Valuation!$E$103</definedName>
    <definedName function="false" hidden="false" name="V_CTMW" vbProcedure="false">Valuation!$E$142</definedName>
    <definedName function="false" hidden="false" name="V_CVDEBT" vbProcedure="false">Valuation!$F$106</definedName>
    <definedName function="false" hidden="false" name="V_CVDmkt" vbProcedure="false">Valuation!$E$127</definedName>
    <definedName function="false" hidden="false" name="V_CXChk" vbProcedure="false">Valuation!$E$30</definedName>
    <definedName function="false" hidden="false" name="V_CXReq" vbProcedure="false">Valuation!$E$28</definedName>
    <definedName function="false" hidden="false" name="V_CXT" vbProcedure="false">Valuation!$E$29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Valuation!$E$45</definedName>
    <definedName function="false" hidden="false" name="V_Dss" vbProcedure="false">Valuation!$E$32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Valuation!$E$141</definedName>
    <definedName function="false" hidden="false" name="V_EQ" vbProcedure="false">Valuation!$F$109</definedName>
    <definedName function="false" hidden="false" name="V_EV" vbProcedure="false">Valuation!$E$48</definedName>
    <definedName function="false" hidden="false" name="V_EVBaseS" vbProcedure="false">Valuation!$E$52</definedName>
    <definedName function="false" hidden="false" name="V_EVBearS" vbProcedure="false">Valuation!$E$54</definedName>
    <definedName function="false" hidden="false" name="V_EVBullS" vbProcedure="false">Valuation!$E$53</definedName>
    <definedName function="false" hidden="false" name="V_EVCMW" vbProcedure="false">Valuation!$E$149</definedName>
    <definedName function="false" hidden="false" name="V_EVEB27" vbProcedure="false">Valuation!$E$152</definedName>
    <definedName function="false" hidden="false" name="V_EVMemo" vbProcedure="false">Valuation!$E$50</definedName>
    <definedName function="false" hidden="false" name="V_EVMW1" vbProcedure="false">Valuation!$E$146</definedName>
    <definedName function="false" hidden="false" name="V_EVMW2" vbProcedure="false">Valuation!$E$147</definedName>
    <definedName function="false" hidden="false" name="V_EVMW3" vbProcedure="false">Valuation!$E$148</definedName>
    <definedName function="false" hidden="false" name="V_FDmkt" vbProcedure="false">Valuation!$E$124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owCx" vbProcedure="false">Valuation!$E$27</definedName>
    <definedName function="false" hidden="false" name="V_ImpMult" vbProcedure="false">Valuation!$E$39</definedName>
    <definedName function="false" hidden="false" name="V_ITMprin" vbProcedure="false">Valuation!$E$126</definedName>
    <definedName function="false" hidden="false" name="V_ITMsh" vbProcedure="false">Valuation!$E$125</definedName>
    <definedName function="false" hidden="false" name="V_M30" vbProcedure="false">Valuation!$E$40</definedName>
    <definedName function="false" hidden="false" name="V_MKTEQ" vbProcedure="false">Valuation!$E$130</definedName>
    <definedName function="false" hidden="false" name="V_MKTEV" vbProcedure="false">Valuation!$E$138</definedName>
    <definedName function="false" hidden="false" name="V_MKTEV_FD" vbProcedure="false">Valuation!$E$139</definedName>
    <definedName function="false" hidden="false" name="V_ND" vbProcedure="false">Valuation!$E$115</definedName>
    <definedName function="false" hidden="false" name="V_NDm" vbProcedure="false">Valuation!$E$62</definedName>
    <definedName function="false" hidden="false" name="V_NonGPU" vbProcedure="false">Valuation!$E$26</definedName>
    <definedName function="false" hidden="false" name="V_NOPAT" vbProcedure="false">Valuation!$E$33</definedName>
    <definedName function="false" hidden="false" name="V_NTM" vbProcedure="false">Valuation!$E$119</definedName>
    <definedName function="false" hidden="false" name="V_ODEBT" vbProcedure="false">Valuation!$E$82</definedName>
    <definedName function="false" hidden="false" name="V_OFF" vbProcedure="false">Valuation!$E$68</definedName>
    <definedName function="false" hidden="false" name="V_OT" vbProcedure="false">Valuation!$E$66</definedName>
    <definedName function="false" hidden="false" name="V_PEEREV" vbProcedure="false">Valuation!$E$150</definedName>
    <definedName function="false" hidden="false" name="V_PS" vbProcedure="false">Valuation!$F$104</definedName>
    <definedName function="false" hidden="false" name="V_PSB" vbProcedure="false">Valuation!$F$110</definedName>
    <definedName function="false" hidden="false" name="V_PSMemo" vbProcedure="false">Valuation!$E$51</definedName>
    <definedName function="false" hidden="false" name="V_PSolve" vbProcedure="false">Valuation!$F$102</definedName>
    <definedName function="false" hidden="false" name="V_PT" vbProcedure="false">Valuation!$F$111</definedName>
    <definedName function="false" hidden="false" name="V_PT36" vbProcedure="false">Valuation!$F$113</definedName>
    <definedName function="false" hidden="false" name="V_PT6" vbProcedure="false">Valuation!$F$112</definedName>
    <definedName function="false" hidden="false" name="V_PVF" vbProcedure="false">Valuation!$E$47</definedName>
    <definedName function="false" hidden="false" name="V_PVTV" vbProcedure="false">Valuation!$E$46</definedName>
    <definedName function="false" hidden="false" name="V_Q" vbProcedure="false">Valuation!$E$60</definedName>
    <definedName function="false" hidden="false" name="V_Rev30" vbProcedure="false">Valuation!$E$18</definedName>
    <definedName function="false" hidden="false" name="V_ROIC" vbProcedure="false">Valuation!$E$35</definedName>
    <definedName function="false" hidden="false" name="V_RRimp" vbProcedure="false">Valuation!$E$34</definedName>
    <definedName function="false" hidden="false" name="V_RSU" vbProcedure="false">Valuation!$E$84</definedName>
    <definedName function="false" hidden="false" name="V_SH" vbProcedure="false">Valuation!$F$108</definedName>
    <definedName function="false" hidden="false" name="V_SHq" vbProcedure="false">Valuation!$E$69</definedName>
    <definedName function="false" hidden="false" name="V_SOTP" vbProcedure="false">Valuation!$E$67</definedName>
    <definedName function="false" hidden="false" name="V_TO" vbProcedure="false">Valuation!$E$64</definedName>
    <definedName function="false" hidden="false" name="V_TScale" vbProcedure="false">Valuation!$E$21</definedName>
    <definedName function="false" hidden="false" name="V_TV" vbProcedure="false">Valuation!$E$43</definedName>
    <definedName function="false" hidden="false" name="V_TVB" vbProcedure="false">Valuation!$E$41</definedName>
    <definedName function="false" hidden="false" name="V_TVBasis" vbProcedure="false">Valuation!$E$44</definedName>
    <definedName function="false" hidden="false" name="V_TVG" vbProcedure="false">Valuation!$E$37</definedName>
    <definedName function="false" hidden="false" name="V_TVM" vbProcedure="false">Valuation!$E$38</definedName>
    <definedName function="false" hidden="false" name="V_TVRO" vbProcedure="false">Valuation!$E$42</definedName>
    <definedName function="false" hidden="false" name="V_TXT" vbProcedure="false">Valuation!$E$31</definedName>
    <definedName function="false" hidden="false" name="V_UFT" vbProcedure="false">Valuation!$E$36</definedName>
    <definedName function="false" hidden="false" name="V_UP" vbProcedure="false">Valuation!$F$114</definedName>
    <definedName function="false" hidden="false" name="V_UtBaseS" vbProcedure="false">Valuation!$E$55</definedName>
    <definedName function="false" hidden="false" name="V_UtBearS" vbProcedure="false">Valuation!$E$57</definedName>
    <definedName function="false" hidden="false" name="V_UtBullS" vbProcedure="false">Valuation!$E$56</definedName>
    <definedName function="false" hidden="false" name="WACC" vbProcedure="false">Inputs!$F$268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<sst xmlns="http://schemas.openxmlformats.org/spreadsheetml/2006/main" count="6011" uniqueCount="2239">
  <si>
    <t xml:space="preserve">Nebius (NBIS) driver-based model</t>
  </si>
  <si>
    <t xml:space="preserve">VERSION v0.4 - PROVISIONAL (not final; open items below)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</si>
  <si>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</si>
  <si>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v0.4 changes: split capex lead (shell/power 3 qtrs, GPUs 2 qtrs ahead of billing); price path year 2+ decline (-2.5/-6/-9.5%) + post-Rubin cut in all scenarios; terminal g from fundamentals (g = RR x RONC, reinvestment deducted); Rubin premium vs GB300 open input at per-MW parity; MW-basis selector; CLT1 rent/prepay; Inferize, June-exit, Vineland-shutdown and peer-margin switches; Funding and Bridge tabs. Also: new-deal pricing for 2027+ MW (multi-year $22M/IT MW-yr + 10% short-term $45M with post-Rubin cut/recovery); customer prepayments 38.5% of new-build capex (toggle); Vineland shutdown wired to Capacity table at $14.5M/IT MW-yr + Bloom-slip toggle; Capacity proposed MW path as MWSel 4 scenario (not base); GPU history anchored to ~30k at 3/31/25.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</si>
  <si>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</si>
  <si>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</si>
  <si>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</si>
  <si>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</si>
  <si>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</si>
  <si>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</si>
  <si>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</si>
  <si>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</si>
  <si>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</si>
  <si>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</si>
  <si>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OPEN: first negative-liquidity quarter (Q2'27 uniform 3-qtr lead vs Q3'27 split lead) is PROVISIONAL pending June MW.</t>
  </si>
  <si>
    <t xml:space="preserve">Owner: Capacity</t>
  </si>
  <si>
    <t xml:space="preserve">OPEN: Rubin $/GPU-hr premium vs GB300 (no public price; default per-MW parity). New-deal pricing check vs IREN ~$20M/IT MW-yr flags model GB300 contract rate.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</si>
  <si>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</si>
  <si>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</si>
  <si>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</si>
  <si>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</si>
  <si>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</si>
  <si>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</si>
  <si>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</si>
  <si>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</si>
  <si>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</si>
  <si>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bull EV &gt; 3x base (bull: multi-year $25M + short-term $50M/IT MW-yr, 6.25% cut); FY30 adj. EBITDA margin 69.9% (just inside peer +8pp; 64.9% if PD/SG&amp;A held at FY28 %); FY26 capex $16.7B below $20-25B guide; bear EV &lt; 0 (equity floored at 0). See Checks.</t>
  </si>
  <si>
    <t xml:space="preserve">Owner: Modeling / GPU Market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</si>
  <si>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</si>
  <si>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</si>
  <si>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</si>
  <si>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</si>
  <si>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</si>
  <si>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</si>
  <si>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</si>
  <si>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</si>
  <si>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</si>
  <si>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</si>
  <si>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</si>
  <si>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</si>
  <si>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</si>
  <si>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</si>
  <si>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</si>
  <si>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</si>
  <si>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</si>
  <si>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</si>
  <si>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</si>
  <si>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</si>
  <si>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</si>
  <si>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</si>
  <si>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</si>
  <si>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</si>
  <si>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</si>
  <si>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</si>
  <si>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</si>
  <si>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</si>
  <si>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</si>
  <si>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</si>
  <si>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</si>
  <si>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</si>
  <si>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</si>
  <si>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</si>
  <si>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</si>
  <si>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</si>
  <si>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</si>
  <si>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</si>
  <si>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</si>
  <si>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</si>
  <si>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</si>
  <si>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</si>
  <si>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</si>
  <si>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</si>
  <si>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</si>
  <si>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</si>
  <si>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</si>
  <si>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</si>
  <si>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</si>
  <si>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</si>
  <si>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</si>
  <si>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</si>
  <si>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</si>
  <si>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</si>
  <si>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</si>
  <si>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</si>
  <si>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Funding plan for the liquidity gap - parametric,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</si>
  <si>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</si>
  <si>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</si>
  <si>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</si>
  <si>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</si>
  <si>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</si>
  <si>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</si>
  <si>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</si>
  <si>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</si>
  <si>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</si>
  <si>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</si>
  <si>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</si>
  <si>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</si>
  <si>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</si>
  <si>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</si>
  <si>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</si>
  <si>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</si>
  <si>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</si>
  <si>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</si>
  <si>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</si>
  <si>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</si>
  <si>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</si>
  <si>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</si>
  <si>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</si>
  <si>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</si>
  <si>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</si>
  <si>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</si>
  <si>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</si>
  <si>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</si>
  <si>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</si>
  <si>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</si>
  <si>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</si>
  <si>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</si>
  <si>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</si>
  <si>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</si>
  <si>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</si>
  <si>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</si>
  <si>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</si>
  <si>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</si>
  <si>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</si>
  <si>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</si>
  <si>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</si>
  <si>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</si>
  <si>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</si>
  <si>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</si>
  <si>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</si>
  <si>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</si>
  <si>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</si>
  <si>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</si>
  <si>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</si>
  <si>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</si>
  <si>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</si>
  <si>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</si>
  <si>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</si>
  <si>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</si>
  <si>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</si>
  <si>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</si>
  <si>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</si>
  <si>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</si>
  <si>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</si>
  <si>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</si>
  <si>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</si>
  <si>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</si>
  <si>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</si>
  <si>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</si>
  <si>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</si>
  <si>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</si>
  <si>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</si>
  <si>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</si>
  <si>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</si>
  <si>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</si>
  <si>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</si>
  <si>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</si>
  <si>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</si>
  <si>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</si>
  <si>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</si>
  <si>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</si>
  <si>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</si>
  <si>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</si>
  <si>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</si>
  <si>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</si>
  <si>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</si>
  <si>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</si>
  <si>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</si>
  <si>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</si>
  <si>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</si>
  <si>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</si>
  <si>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</si>
  <si>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</si>
  <si>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</si>
  <si>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</si>
  <si>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</si>
  <si>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</si>
  <si>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</si>
  <si>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</si>
  <si>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</si>
  <si>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</si>
  <si>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</si>
  <si>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</si>
  <si>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</si>
  <si>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</si>
  <si>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</si>
  <si>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</si>
  <si>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</si>
  <si>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</si>
  <si>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</si>
  <si>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</si>
  <si>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</si>
  <si>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</si>
  <si>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</si>
  <si>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</si>
  <si>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</si>
  <si>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</si>
  <si>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</si>
  <si>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</si>
  <si>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</si>
  <si>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</si>
  <si>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</si>
  <si>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</si>
  <si>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</si>
  <si>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</si>
  <si>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</si>
  <si>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</si>
  <si>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</si>
  <si>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</si>
  <si>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</si>
  <si>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</si>
  <si>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</si>
  <si>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</si>
  <si>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</si>
  <si>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</si>
  <si>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</si>
  <si>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</si>
  <si>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</si>
  <si>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</si>
  <si>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</si>
  <si>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</si>
  <si>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</si>
  <si>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</si>
  <si>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</si>
  <si>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</si>
  <si>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</si>
  <si>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</si>
  <si>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</si>
  <si>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</si>
  <si>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</si>
  <si>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</si>
  <si>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</si>
  <si>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</si>
  <si>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</si>
  <si>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</si>
  <si>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</si>
  <si>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</si>
  <si>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</si>
  <si>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</si>
  <si>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</si>
  <si>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</si>
  <si>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</si>
  <si>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</si>
  <si>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principal + debt-counted principal must equal total accreted balance;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</si>
  <si>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</si>
  <si>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</si>
  <si>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</si>
  <si>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</si>
  <si>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</si>
  <si>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</si>
  <si>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</si>
  <si>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</si>
  <si>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</si>
  <si>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</si>
  <si>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</si>
  <si>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</si>
  <si>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</si>
  <si>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</si>
  <si>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</si>
  <si>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</si>
  <si>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</si>
  <si>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</si>
  <si>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</si>
  <si>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</si>
  <si>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</si>
  <si>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</si>
  <si>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</si>
  <si>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</si>
  <si>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</si>
  <si>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</si>
  <si>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</si>
  <si>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</si>
  <si>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</si>
  <si>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</si>
  <si>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</si>
  <si>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</si>
  <si>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</si>
  <si>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</si>
  <si>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</si>
  <si>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</si>
  <si>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</si>
  <si>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</si>
  <si>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</si>
  <si>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</si>
  <si>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</si>
  <si>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</si>
  <si>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</si>
  <si>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</si>
  <si>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</si>
  <si>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</si>
  <si>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</si>
  <si>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</si>
  <si>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</si>
  <si>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</si>
  <si>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</si>
  <si>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</si>
  <si>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</si>
  <si>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</si>
  <si>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</si>
  <si>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</si>
  <si>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</si>
  <si>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</si>
  <si>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</si>
  <si>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</si>
  <si>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</si>
  <si>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</si>
  <si>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</si>
  <si>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</si>
  <si>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</si>
  <si>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</si>
  <si>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$/GPU-hr premium vs GB300 (model) vs per-MW parity (GPUs/MW GB300 / Rubin)</t>
  </si>
  <si>
    <t xml:space="preserve">Sensitivity 1.0x / 1.25x / 1.53x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</si>
  <si>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</si>
  <si>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</si>
  <si>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</si>
  <si>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</si>
  <si>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</si>
  <si>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</si>
  <si>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(no plug)</t>
  </si>
  <si>
    <t xml:space="preserve">Skeptic: Q2'27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</si>
  <si>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</si>
  <si>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</si>
  <si>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</si>
  <si>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</si>
  <si>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</si>
  <si>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</si>
  <si>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</si>
  <si>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</si>
  <si>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</si>
  <si>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</si>
  <si>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</si>
  <si>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</si>
  <si>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</si>
  <si>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</si>
  <si>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</si>
  <si>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</si>
  <si>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</si>
  <si>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</si>
  <si>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</si>
  <si>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</si>
  <si>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</si>
  <si>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</si>
  <si>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</si>
  <si>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</si>
  <si>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</si>
  <si>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</si>
  <si>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</si>
  <si>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</si>
  <si>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</si>
  <si>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</si>
  <si>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</si>
  <si>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</si>
  <si>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</si>
  <si>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</si>
  <si>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</si>
  <si>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</si>
  <si>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</si>
  <si>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</si>
  <si>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</si>
  <si>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</si>
  <si>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</si>
  <si>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</si>
  <si>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Owned site all-in capex per IT MW - GB300</t>
  </si>
  <si>
    <t xml:space="preserve">as above</t>
  </si>
  <si>
    <t xml:space="preserve">Owned site all-in capex per IT MW - Vera Rubin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</si>
  <si>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</si>
  <si>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</si>
  <si>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</si>
  <si>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</si>
  <si>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(Vineland, most leased builds)</t>
  </si>
  <si>
    <t xml:space="preserve">Leased/colo capex per IT MW - Vera Rubin</t>
  </si>
  <si>
    <t xml:space="preserve">midpoint $31-33M; gpu_mw_capex.xlsx (Capacity)</t>
  </si>
  <si>
    <t xml:space="preserve">v0.2 fix: GPU fleet MW-ratio only in forecast + capex follows DRIVER MW (1 = on)</t>
  </si>
  <si>
    <t xml:space="preserve">0/1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</si>
  <si>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</si>
  <si>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</si>
  <si>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</si>
  <si>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</si>
  <si>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</si>
  <si>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</si>
  <si>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</si>
  <si>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</si>
  <si>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</si>
  <si>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</si>
  <si>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H2'26 repricing: Q2 list avg (H100 $2.95-&gt;$3.85 Jun-26), legacy reserved book renews +30% at 50%/12 months, new GPUs at current list (1 = on)</t>
  </si>
  <si>
    <t xml:space="preserve">GPU Market</t>
  </si>
  <si>
    <t xml:space="preserve">Off = v0.1 (Q2 at Jun list; reserved = lagged list)</t>
  </si>
  <si>
    <t xml:space="preserve">Reserved renewal repricing vs expiring contract</t>
  </si>
  <si>
    <t xml:space="preserve">%</t>
  </si>
  <si>
    <t xml:space="preserve">Filings</t>
  </si>
  <si>
    <t xml:space="preserve">Q2'26 letter: &gt;30% repricing on renewals</t>
  </si>
  <si>
    <t xml:space="preserve">H100 on-demand list - Q2'26 average</t>
  </si>
  <si>
    <t xml:space="preserve">$/GPU-hr</t>
  </si>
  <si>
    <t xml:space="preserve">Derived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</si>
  <si>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</si>
  <si>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</si>
  <si>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</si>
  <si>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</si>
  <si>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</si>
  <si>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</si>
  <si>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$M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</si>
  <si>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</si>
  <si>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</si>
  <si>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</si>
  <si>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</si>
  <si>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</si>
  <si>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</si>
  <si>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</si>
  <si>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</si>
  <si>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</si>
  <si>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</si>
  <si>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</si>
  <si>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Capacity/Skeptic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</si>
  <si>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</si>
  <si>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</si>
  <si>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</si>
  <si>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</si>
  <si>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</si>
  <si>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</si>
  <si>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</si>
  <si>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</si>
  <si>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</si>
  <si>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</si>
  <si>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</si>
  <si>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</si>
  <si>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</si>
  <si>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</si>
  <si>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</si>
  <si>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</si>
  <si>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</si>
  <si>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</si>
  <si>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</si>
  <si>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</si>
  <si>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</si>
  <si>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</si>
  <si>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</si>
  <si>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</si>
  <si>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</si>
  <si>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</si>
  <si>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</si>
  <si>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idx</t>
  </si>
  <si>
    <t xml:space="preserve">Q1'27</t>
  </si>
  <si>
    <t xml:space="preserve">Multi-year tranche ACV per IT MW-yr (at Q1'27 signing; later vintages follow Blackwell list path incl. post-Rubin cut)</t>
  </si>
  <si>
    <t xml:space="preserve">$20-25M landmark deals; base 22</t>
  </si>
  <si>
    <t xml:space="preserve">Short-term (&lt;=6-month) tranche share of new 2027+ MW</t>
  </si>
  <si>
    <t xml:space="preserve">Mgmt may hold some 2027 capacity for short deals (one signed)</t>
  </si>
  <si>
    <t xml:space="preserve">Short-term tranche $/IT MW-yr (near on-demand)</t>
  </si>
  <si>
    <t xml:space="preserve">Q2'26 letter: Q3 short-term deals &gt;$40M; $40-50M range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</si>
  <si>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</si>
  <si>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</si>
  <si>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</si>
  <si>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</si>
  <si>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</si>
  <si>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</si>
  <si>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</si>
  <si>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</si>
  <si>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</si>
  <si>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</si>
  <si>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</si>
  <si>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</si>
  <si>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</si>
  <si>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</si>
  <si>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</si>
  <si>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</si>
  <si>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</si>
  <si>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</si>
  <si>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</si>
  <si>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</si>
  <si>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</si>
  <si>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</si>
  <si>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</si>
  <si>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</si>
  <si>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</si>
  <si>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</si>
  <si>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</si>
  <si>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</si>
  <si>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</si>
  <si>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</si>
  <si>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</si>
  <si>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</si>
  <si>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</si>
  <si>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</si>
  <si>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</si>
  <si>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</si>
  <si>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</si>
  <si>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</si>
  <si>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</si>
  <si>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</si>
  <si>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</si>
  <si>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</si>
  <si>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</si>
  <si>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</si>
  <si>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</si>
  <si>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</si>
  <si>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Shell + power portion of owned capex per IT MW</t>
  </si>
  <si>
    <t xml:space="preserve">~$10-12.5M midpoint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</si>
  <si>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</si>
  <si>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</si>
  <si>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</si>
  <si>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</si>
  <si>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</si>
  <si>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</si>
  <si>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</si>
  <si>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</si>
  <si>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x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</si>
  <si>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</si>
  <si>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</si>
  <si>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</si>
  <si>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</si>
  <si>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</si>
  <si>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</si>
  <si>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</si>
  <si>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</si>
  <si>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GPU/MW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</si>
  <si>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</si>
  <si>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</si>
  <si>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</si>
  <si>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</si>
  <si>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</si>
  <si>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</si>
  <si>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</si>
  <si>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</si>
  <si>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</si>
  <si>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</si>
  <si>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</si>
  <si>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</si>
  <si>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</si>
  <si>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</si>
  <si>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%/yr</t>
  </si>
  <si>
    <t xml:space="preserve">Placeholder pending Skeptic's source</t>
  </si>
  <si>
    <t xml:space="preserve">Power-loosening start quarter</t>
  </si>
  <si>
    <t xml:space="preserve">Q1'28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</si>
  <si>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</si>
  <si>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</si>
  <si>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</si>
  <si>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</si>
  <si>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</si>
  <si>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</si>
  <si>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</si>
  <si>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</si>
  <si>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</si>
  <si>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</si>
  <si>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OPEN: Vera Rubin $/GPU-hr premium vs GB300 NVL72</t>
  </si>
  <si>
    <t xml:space="preserve">OPEN - no public Rubin $/GPU-hr. Default = per-MW parity = GPUs/MW GB300 / Rubin (model 500/320 = 1.56x; ~1.53x at 491/320). v0.3 implicitly 1.23x (1.50x HGX B300). Sensitivity 1.0x / 1.25x / 1.53x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</si>
  <si>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</si>
  <si>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</si>
  <si>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</si>
  <si>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</si>
  <si>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</si>
  <si>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</si>
  <si>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</si>
  <si>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</si>
  <si>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</si>
  <si>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</si>
  <si>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</si>
  <si>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</si>
  <si>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</si>
  <si>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</si>
  <si>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</si>
  <si>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</si>
  <si>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</si>
  <si>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</si>
  <si>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</si>
  <si>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</si>
  <si>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</si>
  <si>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</si>
  <si>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</si>
  <si>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</si>
  <si>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</si>
  <si>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</si>
  <si>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</si>
  <si>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</si>
  <si>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</si>
  <si>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</si>
  <si>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</si>
  <si>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</si>
  <si>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</si>
  <si>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</si>
  <si>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</si>
  <si>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</si>
  <si>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</si>
  <si>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</si>
  <si>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</si>
  <si>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</si>
  <si>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</si>
  <si>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</si>
  <si>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</si>
  <si>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</si>
  <si>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$M/qtr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</si>
  <si>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</si>
  <si>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</si>
  <si>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</si>
  <si>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</si>
  <si>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</si>
  <si>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</si>
  <si>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</si>
  <si>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</si>
  <si>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</si>
  <si>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</si>
  <si>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</si>
  <si>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</si>
  <si>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</si>
  <si>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</si>
  <si>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</si>
  <si>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</si>
  <si>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</si>
  <si>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</si>
  <si>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</si>
  <si>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</si>
  <si>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</si>
  <si>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</si>
  <si>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</si>
  <si>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</si>
  <si>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</si>
  <si>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</si>
  <si>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</si>
  <si>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</si>
  <si>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</si>
  <si>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</si>
  <si>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</si>
  <si>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</si>
  <si>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</si>
  <si>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</si>
  <si>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</si>
  <si>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</si>
  <si>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</si>
  <si>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</si>
  <si>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</si>
  <si>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</si>
  <si>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</si>
  <si>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</si>
  <si>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</si>
  <si>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</si>
  <si>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</si>
  <si>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</si>
  <si>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</si>
  <si>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</si>
  <si>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</si>
  <si>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</si>
  <si>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</si>
  <si>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</si>
  <si>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</si>
  <si>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</si>
  <si>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</si>
  <si>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</si>
  <si>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</si>
  <si>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</si>
  <si>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</t>
  </si>
  <si>
    <t xml:space="preserve">Owned sites only; leased sites pay rent instead</t>
  </si>
  <si>
    <t xml:space="preserve">Owned power/electrical/mechanical capex per IT MW</t>
  </si>
  <si>
    <t xml:space="preserve">Owned sites only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</si>
  <si>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</si>
  <si>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</si>
  <si>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</si>
  <si>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</si>
  <si>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</si>
  <si>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</si>
  <si>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</si>
  <si>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</si>
  <si>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</si>
  <si>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</si>
  <si>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</si>
  <si>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</si>
  <si>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</si>
  <si>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</si>
  <si>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</si>
  <si>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</si>
  <si>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</si>
  <si>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</si>
  <si>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</si>
  <si>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</si>
  <si>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</si>
  <si>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</si>
  <si>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</si>
  <si>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</si>
  <si>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</si>
  <si>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</si>
  <si>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yrs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</si>
  <si>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</si>
  <si>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</si>
  <si>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</si>
  <si>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</si>
  <si>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</si>
  <si>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</si>
  <si>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</si>
  <si>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</si>
  <si>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</si>
  <si>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</si>
  <si>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</si>
  <si>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</si>
  <si>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</si>
  <si>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</si>
  <si>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</si>
  <si>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</si>
  <si>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</si>
  <si>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</si>
  <si>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</si>
  <si>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</si>
  <si>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</si>
  <si>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</si>
  <si>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</si>
  <si>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</si>
  <si>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</si>
  <si>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</si>
  <si>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</si>
  <si>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</si>
  <si>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</si>
  <si>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</si>
  <si>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</si>
  <si>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</si>
  <si>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</si>
  <si>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</si>
  <si>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</si>
  <si>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</si>
  <si>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</si>
  <si>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</si>
  <si>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</si>
  <si>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</si>
  <si>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</si>
  <si>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</si>
  <si>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</si>
  <si>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</si>
  <si>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</si>
  <si>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</si>
  <si>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</si>
  <si>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</si>
  <si>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</si>
  <si>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Deferred-revenue release period</t>
  </si>
  <si>
    <t xml:space="preserve">Avg remaining term of prepaid contracts</t>
  </si>
  <si>
    <t xml:space="preserve">Financing &amp; capital structure (convert tranches on Financing tab)</t>
  </si>
  <si>
    <t xml:space="preserve">Runway: include $775M secured loan - ASSUMES FULLY DRAWN (draw status unconfirmed)</t>
  </si>
  <si>
    <t xml:space="preserve">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</si>
  <si>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</si>
  <si>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</si>
  <si>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</si>
  <si>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</si>
  <si>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</si>
  <si>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</si>
  <si>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</si>
  <si>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</si>
  <si>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</si>
  <si>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</si>
  <si>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</si>
  <si>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</si>
  <si>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</si>
  <si>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</si>
  <si>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</si>
  <si>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</si>
  <si>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</si>
  <si>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</si>
  <si>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</si>
  <si>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</si>
  <si>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</si>
  <si>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</si>
  <si>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</si>
  <si>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</si>
  <si>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</si>
  <si>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</si>
  <si>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</si>
  <si>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</si>
  <si>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</si>
  <si>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Capacity/GPU Market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</si>
  <si>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</si>
  <si>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</si>
  <si>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</si>
  <si>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</si>
  <si>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</si>
  <si>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</si>
  <si>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</si>
  <si>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</si>
  <si>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</si>
  <si>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</si>
  <si>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</si>
  <si>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</si>
  <si>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</si>
  <si>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</si>
  <si>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</si>
  <si>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</si>
  <si>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</si>
  <si>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</si>
  <si>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</si>
  <si>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M sh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</si>
  <si>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</si>
  <si>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</si>
  <si>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</si>
  <si>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</si>
  <si>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</si>
  <si>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</si>
  <si>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</si>
  <si>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</si>
  <si>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</si>
  <si>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</si>
  <si>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</si>
  <si>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</si>
  <si>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</si>
  <si>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</si>
  <si>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</si>
  <si>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</si>
  <si>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</si>
  <si>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</si>
  <si>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</si>
  <si>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</si>
  <si>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</si>
  <si>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</si>
  <si>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</si>
  <si>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</si>
  <si>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</si>
  <si>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</si>
  <si>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</si>
  <si>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</si>
  <si>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</si>
  <si>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</si>
  <si>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</si>
  <si>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</si>
  <si>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</si>
  <si>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</si>
  <si>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</si>
  <si>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</si>
  <si>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</si>
  <si>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</si>
  <si>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</si>
  <si>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</si>
  <si>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</si>
  <si>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</si>
  <si>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</si>
  <si>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</si>
  <si>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</si>
  <si>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</si>
  <si>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</si>
  <si>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</si>
  <si>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</si>
  <si>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</si>
  <si>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</si>
  <si>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</si>
  <si>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</si>
  <si>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</si>
  <si>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</si>
  <si>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</si>
  <si>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</si>
  <si>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</si>
  <si>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</si>
  <si>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</si>
  <si>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Carrying value $1.52B (Filings &amp; Capital)</t>
  </si>
  <si>
    <t xml:space="preserve">ClickHouse stake value - high (28% x $15B)</t>
  </si>
  <si>
    <t xml:space="preserve">Upper bound: up to 28% stake x ~$15B Jan-2026 valuation</t>
  </si>
  <si>
    <t xml:space="preserve">Toloka stake value - low (carrying, 81% economic)</t>
  </si>
  <si>
    <t xml:space="preserve">Carrying $86.5M; 81% economic / 49% voting</t>
  </si>
  <si>
    <t xml:space="preserve">Toloka stake value - high</t>
  </si>
  <si>
    <t xml:space="preserve">No mark above carrying found</t>
  </si>
  <si>
    <t xml:space="preserve">Avride value - low</t>
  </si>
  <si>
    <t xml:space="preserve">No valuation disclosed</t>
  </si>
  <si>
    <t xml:space="preserve">Avride value - high (Uber SAFE proxy)</t>
  </si>
  <si>
    <t xml:space="preserve">$175M Uber SAFEs, no valuation - used as proxy only</t>
  </si>
  <si>
    <t xml:space="preserve">TripleTen / other stakes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</si>
  <si>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</si>
  <si>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</si>
  <si>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</si>
  <si>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</si>
  <si>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</si>
  <si>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</si>
  <si>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</si>
  <si>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</si>
  <si>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</si>
  <si>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0-100%; Valuation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</si>
  <si>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</si>
  <si>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</si>
  <si>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</si>
  <si>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</si>
  <si>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</si>
  <si>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</si>
  <si>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</si>
  <si>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</si>
  <si>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</si>
  <si>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</si>
  <si>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</si>
  <si>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</si>
  <si>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</si>
  <si>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</si>
  <si>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</si>
  <si>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</si>
  <si>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</si>
  <si>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</si>
  <si>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</si>
  <si>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</si>
  <si>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</si>
  <si>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</si>
  <si>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</si>
  <si>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</si>
  <si>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</si>
  <si>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</si>
  <si>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</si>
  <si>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</si>
  <si>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</si>
  <si>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</si>
  <si>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</si>
  <si>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</si>
  <si>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</si>
  <si>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</si>
  <si>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</si>
  <si>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</si>
  <si>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</si>
  <si>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</si>
  <si>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</si>
  <si>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</si>
  <si>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</si>
  <si>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</si>
  <si>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</si>
  <si>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</si>
  <si>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</si>
  <si>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</si>
  <si>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</si>
  <si>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</si>
  <si>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</si>
  <si>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</si>
  <si>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</si>
  <si>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</si>
  <si>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</si>
  <si>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</si>
  <si>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</si>
  <si>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</si>
  <si>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</si>
  <si>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</si>
  <si>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</si>
  <si>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</si>
  <si>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</si>
  <si>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</si>
  <si>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</si>
  <si>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</si>
  <si>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</si>
  <si>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</si>
  <si>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</si>
  <si>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</si>
  <si>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</si>
  <si>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</si>
  <si>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</si>
  <si>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</si>
  <si>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</si>
  <si>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</si>
  <si>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</si>
  <si>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</si>
  <si>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</si>
  <si>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</si>
  <si>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</si>
  <si>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</si>
  <si>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</si>
  <si>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</si>
  <si>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</si>
  <si>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</si>
  <si>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</si>
  <si>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</si>
  <si>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</si>
  <si>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</si>
  <si>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</si>
  <si>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</si>
  <si>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</si>
  <si>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</si>
  <si>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</si>
  <si>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</si>
  <si>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</si>
  <si>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</si>
  <si>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</si>
  <si>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</si>
  <si>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</si>
  <si>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</si>
  <si>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</si>
  <si>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</si>
  <si>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</si>
  <si>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</si>
  <si>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</si>
  <si>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</si>
  <si>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</si>
  <si>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</si>
  <si>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</si>
  <si>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</si>
  <si>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</si>
  <si>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</si>
  <si>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</si>
  <si>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</si>
  <si>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</si>
  <si>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</si>
  <si>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</si>
  <si>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</si>
  <si>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</si>
  <si>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</si>
  <si>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</si>
  <si>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</si>
  <si>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</si>
  <si>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</si>
  <si>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</si>
  <si>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</si>
  <si>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</si>
  <si>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</si>
  <si>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</si>
  <si>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</si>
  <si>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</si>
  <si>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</si>
  <si>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</si>
  <si>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</si>
  <si>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</si>
  <si>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</si>
  <si>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</si>
  <si>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</si>
  <si>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</si>
  <si>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</si>
  <si>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</si>
  <si>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</si>
  <si>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</si>
  <si>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</si>
  <si>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</si>
  <si>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</si>
  <si>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</si>
  <si>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</si>
  <si>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</si>
  <si>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</si>
  <si>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</si>
  <si>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</si>
  <si>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</si>
  <si>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</si>
  <si>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</si>
  <si>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</si>
  <si>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</si>
  <si>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</si>
  <si>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</si>
  <si>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</si>
  <si>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</si>
  <si>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</si>
  <si>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</si>
  <si>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</si>
  <si>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</si>
  <si>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</si>
  <si>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</si>
  <si>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</si>
  <si>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</si>
  <si>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</si>
  <si>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</si>
  <si>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</si>
  <si>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</si>
  <si>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</si>
  <si>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</si>
  <si>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</si>
  <si>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</si>
  <si>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</si>
  <si>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</si>
  <si>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</si>
  <si>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</si>
  <si>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</si>
  <si>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</si>
  <si>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</si>
  <si>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</si>
  <si>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</si>
  <si>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</si>
  <si>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</si>
  <si>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</si>
  <si>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</si>
  <si>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</si>
  <si>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</si>
  <si>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</si>
  <si>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</si>
  <si>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</si>
  <si>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</si>
  <si>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</si>
  <si>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</si>
  <si>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</si>
  <si>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</si>
  <si>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</si>
  <si>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</si>
  <si>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</si>
  <si>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</si>
  <si>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</si>
  <si>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</si>
  <si>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</si>
  <si>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</si>
  <si>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</si>
  <si>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</si>
  <si>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</si>
  <si>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</si>
  <si>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</si>
  <si>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</si>
  <si>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</si>
  <si>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</si>
  <si>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</si>
  <si>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</si>
  <si>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</si>
  <si>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</si>
  <si>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</si>
  <si>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</si>
  <si>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</si>
  <si>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</si>
  <si>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</si>
  <si>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</si>
  <si>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</si>
  <si>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</si>
  <si>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</si>
  <si>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</si>
  <si>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</si>
  <si>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</si>
  <si>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</si>
  <si>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</si>
  <si>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</si>
  <si>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n/d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</si>
  <si>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</si>
  <si>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</si>
  <si>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</si>
  <si>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</si>
  <si>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</si>
  <si>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</si>
  <si>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</si>
  <si>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</si>
  <si>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</si>
  <si>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</si>
  <si>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AIB CLT1 (South Carolina)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</si>
  <si>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</si>
  <si>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</si>
  <si>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</si>
  <si>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</si>
  <si>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</si>
  <si>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Power, /workspace/nebius/capacity/nebius_capacity.xlsx 'Quarterly MW' (copied values, as of Oct 4 2026 build)</t>
  </si>
  <si>
    <t xml:space="preserve">Vineland NJ (DataOne) - low</t>
  </si>
  <si>
    <t xml:space="preserve">Capacity file</t>
  </si>
  <si>
    <t xml:space="preserve">Vineland NJ (DataOne) - base</t>
  </si>
  <si>
    <t xml:space="preserve">Vineland NJ (DataOne) - high</t>
  </si>
  <si>
    <t xml:space="preserve">Independence MO (Eastgate) - low</t>
  </si>
  <si>
    <t xml:space="preserve">Independence MO (Eastgate) - base</t>
  </si>
  <si>
    <t xml:space="preserve">Independence MO (Eastgate) - high</t>
  </si>
  <si>
    <t xml:space="preserve">Butler Twp PA (Highridge) - low</t>
  </si>
  <si>
    <t xml:space="preserve">Butler Twp PA (Highridge) - base</t>
  </si>
  <si>
    <t xml:space="preserve">Butler Twp PA (Highridge) - high</t>
  </si>
  <si>
    <t xml:space="preserve">Birmingham AL (BHM01, Oxmoor) - low</t>
  </si>
  <si>
    <t xml:space="preserve">Birmingham AL (BHM01, Oxmoor) - base</t>
  </si>
  <si>
    <t xml:space="preserve">Birmingham AL (BHM01, Oxmoor) - high</t>
  </si>
  <si>
    <t xml:space="preserve">Bethune FR (Azur Datacenter, ex-Bridgestone) - low</t>
  </si>
  <si>
    <t xml:space="preserve">Bethune FR (Azur Datacenter, ex-Bridgestone) - base</t>
  </si>
  <si>
    <t xml:space="preserve">Bethune FR (Azur Datacenter, ex-Bridgestone) - high</t>
  </si>
  <si>
    <t xml:space="preserve">Lappeenranta FI (Pajarila / Polarnode) - low</t>
  </si>
  <si>
    <t xml:space="preserve">Lappeenranta FI (Pajarila / Polarnode) - base</t>
  </si>
  <si>
    <t xml:space="preserve">Lappeenranta FI (Pajarila / Polarnode) - high</t>
  </si>
  <si>
    <t xml:space="preserve">Mantsala FI #1 - low</t>
  </si>
  <si>
    <t xml:space="preserve">Mantsala FI #1 - base</t>
  </si>
  <si>
    <t xml:space="preserve">Mantsala FI #1 - high</t>
  </si>
  <si>
    <t xml:space="preserve">Mantsala FI #2 (Kapuli) - low</t>
  </si>
  <si>
    <t xml:space="preserve">Mantsala FI #2 (Kapuli) - base</t>
  </si>
  <si>
    <t xml:space="preserve">Mantsala FI #2 (Kapuli) - high</t>
  </si>
  <si>
    <t xml:space="preserve">Kansas City MO (Patmos) - low</t>
  </si>
  <si>
    <t xml:space="preserve">Kansas City MO (Patmos) - base</t>
  </si>
  <si>
    <t xml:space="preserve">Kansas City MO (Patmos) - high</t>
  </si>
  <si>
    <t xml:space="preserve">Paris (Equinix PA10) - low</t>
  </si>
  <si>
    <t xml:space="preserve">Paris (Equinix PA10) - base</t>
  </si>
  <si>
    <t xml:space="preserve">Paris (Equinix PA10) - high</t>
  </si>
  <si>
    <t xml:space="preserve">Keflavik IS (Verne) - low</t>
  </si>
  <si>
    <t xml:space="preserve">Keflavik IS (Verne) - base</t>
  </si>
  <si>
    <t xml:space="preserve">Keflavik IS (Verne) - high</t>
  </si>
  <si>
    <t xml:space="preserve">London Longcross (Ark LP01) - low</t>
  </si>
  <si>
    <t xml:space="preserve">London Longcross (Ark LP01) - base</t>
  </si>
  <si>
    <t xml:space="preserve">London Longcross (Ark LP01) - high</t>
  </si>
  <si>
    <t xml:space="preserve">Harlow UK (Kao Data KLON-02/03) - low</t>
  </si>
  <si>
    <t xml:space="preserve">Harlow UK (Kao Data KLON-02/03) - base</t>
  </si>
  <si>
    <t xml:space="preserve">Harlow UK (Kao Data KLON-02/03) - high</t>
  </si>
  <si>
    <t xml:space="preserve">UK 3rd new deployment (unnamed) - low</t>
  </si>
  <si>
    <t xml:space="preserve">UK 3rd new deployment (unnamed) - base</t>
  </si>
  <si>
    <t xml:space="preserve">UK 3rd new deployment (unnamed) - high</t>
  </si>
  <si>
    <t xml:space="preserve">Modi'in IL (Mega Or) - low</t>
  </si>
  <si>
    <t xml:space="preserve">Modi'in IL (Mega Or) - base</t>
  </si>
  <si>
    <t xml:space="preserve">Modi'in IL (Mega Or) - high</t>
  </si>
  <si>
    <t xml:space="preserve">Masmiyya IL (Mega DC) - low</t>
  </si>
  <si>
    <t xml:space="preserve">Masmiyya IL (Mega DC) - base</t>
  </si>
  <si>
    <t xml:space="preserve">Masmiyya IL (Mega DC) - high</t>
  </si>
  <si>
    <t xml:space="preserve">Beit Shemesh IL (Mega DC) - low</t>
  </si>
  <si>
    <t xml:space="preserve">Beit Shemesh IL (Mega DC) - base</t>
  </si>
  <si>
    <t xml:space="preserve">Beit Shemesh IL (Mega DC) - high</t>
  </si>
  <si>
    <t xml:space="preserve">Madrid-Getafe ES (Merlin Edged) - low</t>
  </si>
  <si>
    <t xml:space="preserve">Madrid-Getafe ES (Merlin Edged) - base</t>
  </si>
  <si>
    <t xml:space="preserve">Madrid-Getafe ES (Merlin Edged) - high</t>
  </si>
  <si>
    <t xml:space="preserve">Tallinn EE (Greenergy Huuru) - low</t>
  </si>
  <si>
    <t xml:space="preserve">Tallinn EE (Greenergy Huuru) - base</t>
  </si>
  <si>
    <t xml:space="preserve">Tallinn EE (Greenergy Huuru) - high</t>
  </si>
  <si>
    <t xml:space="preserve">Minnesota (RMA roles, likely colo live) - low</t>
  </si>
  <si>
    <t xml:space="preserve">PLACEHOLDER (Inputs, due Tue Oct 6)</t>
  </si>
  <si>
    <t xml:space="preserve">Minnesota (RMA roles, likely colo live) - base</t>
  </si>
  <si>
    <t xml:space="preserve">Minnesota (RMA roles, likely colo live) - high</t>
  </si>
  <si>
    <t xml:space="preserve">Oklahoma (7 DC roles, live-looking) - low</t>
  </si>
  <si>
    <t xml:space="preserve">Oklahoma (7 DC roles, live-looking) - base</t>
  </si>
  <si>
    <t xml:space="preserve">Oklahoma (7 DC roles, live-looking) - high</t>
  </si>
  <si>
    <t xml:space="preserve">France 2nd colo (unnamed; possibly eu-west2) - low</t>
  </si>
  <si>
    <t xml:space="preserve">France 2nd colo (unnamed; possibly eu-west2) - base</t>
  </si>
  <si>
    <t xml:space="preserve">France 2nd colo (unnamed; possibly eu-west2) - high</t>
  </si>
  <si>
    <t xml:space="preserve">AIB CLT1 (South Carolina) - low</t>
  </si>
  <si>
    <t xml:space="preserve">AIB CLT1 (South Carolina) - base</t>
  </si>
  <si>
    <t xml:space="preserve">AIB CLT1 (South Carolina) - high</t>
  </si>
  <si>
    <t xml:space="preserve">Other unidentified (colo not yet visible) - low</t>
  </si>
  <si>
    <t xml:space="preserve">Other unidentified (colo not yet visible) - base</t>
  </si>
  <si>
    <t xml:space="preserve">Other unidentified (colo not yet visible) - high</t>
  </si>
  <si>
    <t xml:space="preserve">Capacity file: identified sites energized base (as stated, mixed basis)</t>
  </si>
  <si>
    <t xml:space="preserve">COMPANY row, copied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</si>
  <si>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</si>
  <si>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</si>
  <si>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</si>
  <si>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</si>
  <si>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</si>
  <si>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</si>
  <si>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</si>
  <si>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</si>
  <si>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</si>
  <si>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</si>
  <si>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</si>
  <si>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</si>
  <si>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</si>
  <si>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</si>
  <si>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</si>
  <si>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</si>
  <si>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</si>
  <si>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</si>
  <si>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</si>
  <si>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</si>
  <si>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</si>
  <si>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</si>
  <si>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</si>
  <si>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</si>
  <si>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</si>
  <si>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</si>
  <si>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</si>
  <si>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</si>
  <si>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</si>
  <si>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</si>
  <si>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</si>
  <si>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GPUs deployed - Hopper</t>
  </si>
  <si>
    <t xml:space="preserve">nebius_capacity.xlsx 'GPUs deployed' (Estimated); Q2'26 total ~80,400</t>
  </si>
  <si>
    <t xml:space="preserve">Capacity file GPUs deployed - Blackwell</t>
  </si>
  <si>
    <t xml:space="preserve">Capacity file GPUs deployed - Next-gen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</si>
  <si>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</si>
  <si>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</si>
  <si>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</si>
  <si>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</si>
  <si>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</si>
  <si>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</si>
  <si>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</si>
  <si>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</si>
  <si>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</si>
  <si>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</si>
  <si>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</si>
  <si>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</si>
  <si>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</si>
  <si>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</si>
  <si>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</si>
  <si>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</si>
  <si>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</si>
  <si>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</si>
  <si>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</si>
  <si>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</si>
  <si>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</si>
  <si>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driving revenue</t>
  </si>
  <si>
    <t xml:space="preserve">History = selected block (default energized base); forecast shifted by EnLag (energized) or BillLag (connected guide) + MW_Delay, x MW_Haircut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</si>
  <si>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</si>
  <si>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</si>
  <si>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</si>
  <si>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</si>
  <si>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</si>
  <si>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</si>
  <si>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</si>
  <si>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</si>
  <si>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</si>
  <si>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</si>
  <si>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</si>
  <si>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</si>
  <si>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</si>
  <si>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</si>
  <si>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</si>
  <si>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</si>
  <si>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</si>
  <si>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</si>
  <si>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</si>
  <si>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</si>
  <si>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</si>
  <si>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</si>
  <si>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</si>
  <si>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</si>
  <si>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</si>
  <si>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</si>
  <si>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</si>
  <si>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</si>
  <si>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</si>
  <si>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</si>
  <si>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</si>
  <si>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</si>
  <si>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</si>
  <si>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</si>
  <si>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</si>
  <si>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</si>
  <si>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</si>
  <si>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</si>
  <si>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</si>
  <si>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</si>
  <si>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</si>
  <si>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</si>
  <si>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</si>
  <si>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</si>
  <si>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</si>
  <si>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</si>
  <si>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</si>
  <si>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</si>
  <si>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</si>
  <si>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</si>
  <si>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</si>
  <si>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</si>
  <si>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</si>
  <si>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</si>
  <si>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</si>
  <si>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</si>
  <si>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</si>
  <si>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</si>
  <si>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</si>
  <si>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</si>
  <si>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</si>
  <si>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</si>
  <si>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Contracts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</si>
  <si>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</si>
  <si>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</si>
  <si>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</si>
  <si>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</si>
  <si>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IT MW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</si>
  <si>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</si>
  <si>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</si>
  <si>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</si>
  <si>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</si>
  <si>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</si>
  <si>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</si>
  <si>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</si>
  <si>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</si>
  <si>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</si>
  <si>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</si>
  <si>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</si>
  <si>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</si>
  <si>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</si>
  <si>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</si>
  <si>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</si>
  <si>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</si>
  <si>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</si>
  <si>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</si>
  <si>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</si>
  <si>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</si>
  <si>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</si>
  <si>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</si>
  <si>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</si>
  <si>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</si>
  <si>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</si>
  <si>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</si>
  <si>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</si>
  <si>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</si>
  <si>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</si>
  <si>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</si>
  <si>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</si>
  <si>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</si>
  <si>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</si>
  <si>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</si>
  <si>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</si>
  <si>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</si>
  <si>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</si>
  <si>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</si>
  <si>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Up to $15B: Meta buys unsold capacity on certain clusters for 5 yrs. Contingent -&gt; Cancelled=1 by default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</si>
  <si>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</si>
  <si>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</si>
  <si>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</si>
  <si>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</si>
  <si>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</si>
  <si>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</si>
  <si>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</si>
  <si>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</si>
  <si>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</si>
  <si>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</si>
  <si>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</si>
  <si>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</si>
  <si>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</si>
  <si>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</si>
  <si>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</si>
  <si>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</si>
  <si>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</si>
  <si>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</si>
  <si>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</si>
  <si>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</si>
  <si>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</si>
  <si>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</si>
  <si>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</si>
  <si>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</si>
  <si>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</si>
  <si>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</si>
  <si>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</si>
  <si>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</si>
  <si>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</si>
  <si>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</si>
  <si>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</si>
  <si>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</si>
  <si>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</si>
  <si>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</si>
  <si>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</si>
  <si>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</si>
  <si>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</si>
  <si>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</si>
  <si>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</si>
  <si>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</si>
  <si>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</si>
  <si>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</si>
  <si>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</si>
  <si>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</si>
  <si>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</si>
  <si>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</si>
  <si>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</si>
  <si>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</si>
  <si>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</si>
  <si>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</si>
  <si>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</si>
  <si>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</si>
  <si>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</si>
  <si>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</si>
  <si>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</si>
  <si>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</si>
  <si>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</si>
  <si>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</si>
  <si>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</si>
  <si>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</si>
  <si>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</si>
  <si>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</si>
  <si>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</si>
  <si>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</si>
  <si>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</si>
  <si>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</si>
  <si>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</si>
  <si>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</si>
  <si>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</si>
  <si>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</si>
  <si>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</si>
  <si>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</si>
  <si>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</si>
  <si>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</si>
  <si>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</si>
  <si>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</si>
  <si>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</si>
  <si>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</si>
  <si>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</si>
  <si>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</si>
  <si>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</si>
  <si>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</si>
  <si>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</si>
  <si>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</si>
  <si>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</si>
  <si>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</si>
  <si>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</si>
  <si>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</si>
  <si>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</si>
  <si>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</si>
  <si>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</si>
  <si>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</si>
  <si>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</si>
  <si>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</si>
  <si>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</si>
  <si>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</si>
  <si>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</si>
  <si>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</si>
  <si>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</si>
  <si>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</si>
  <si>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</si>
  <si>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</si>
  <si>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</si>
  <si>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</si>
  <si>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</si>
  <si>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</si>
  <si>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</si>
  <si>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</si>
  <si>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</si>
  <si>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</si>
  <si>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</si>
  <si>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</si>
  <si>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</si>
  <si>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</si>
  <si>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</si>
  <si>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</si>
  <si>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</si>
  <si>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Microsoft revenue - capped, net of shutdown loss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</si>
  <si>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</si>
  <si>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</si>
  <si>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</si>
  <si>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</si>
  <si>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</si>
  <si>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</si>
  <si>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</si>
  <si>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</si>
  <si>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</si>
  <si>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</si>
  <si>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</si>
  <si>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</si>
  <si>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</si>
  <si>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</si>
  <si>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</si>
  <si>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</si>
  <si>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</si>
  <si>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</si>
  <si>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</si>
  <si>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</si>
  <si>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</si>
  <si>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</si>
  <si>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</si>
  <si>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</si>
  <si>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</si>
  <si>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</si>
  <si>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</si>
  <si>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</si>
  <si>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</si>
  <si>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</si>
  <si>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</si>
  <si>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</si>
  <si>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</si>
  <si>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</si>
  <si>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</si>
  <si>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</si>
  <si>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</si>
  <si>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</si>
  <si>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</si>
  <si>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</si>
  <si>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</si>
  <si>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</si>
  <si>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</si>
  <si>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</si>
  <si>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</si>
  <si>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</si>
  <si>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</si>
  <si>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</si>
  <si>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</si>
  <si>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</si>
  <si>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</si>
  <si>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</si>
  <si>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</si>
  <si>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</si>
  <si>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</si>
  <si>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</si>
  <si>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</si>
  <si>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</si>
  <si>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</si>
  <si>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</si>
  <si>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</si>
  <si>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</si>
  <si>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</si>
  <si>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</si>
  <si>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</si>
  <si>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</si>
  <si>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</si>
  <si>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</si>
  <si>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</si>
  <si>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</si>
  <si>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</si>
  <si>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</si>
  <si>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</si>
  <si>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</si>
  <si>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</si>
  <si>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</si>
  <si>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</si>
  <si>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</si>
  <si>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</si>
  <si>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</si>
  <si>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</si>
  <si>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</si>
  <si>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</si>
  <si>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</si>
  <si>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</si>
  <si>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</si>
  <si>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</si>
  <si>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</si>
  <si>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</si>
  <si>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</si>
  <si>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</si>
  <si>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MW added (vintage)</t>
  </si>
  <si>
    <t xml:space="preserve">Multi-year tranche ACV by signing vintage ($M/IT MW-yr) = MYRate x Blackwell OD list(v) / list(NewDealIdx-1, Oct-1-26 basis)</t>
  </si>
  <si>
    <t xml:space="preserve">Filings/GPU Market</t>
  </si>
  <si>
    <t xml:space="preserve">MYRate = Q2'26 signing level; fixed for contract life; post-Rubin cut (existing ramp) and annual decline reach later vintages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</si>
  <si>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</si>
  <si>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</si>
  <si>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Multi-year tranche revenue = (1-STShare) x SUM(vintage adds x vintage ACV)/4</t>
  </si>
  <si>
    <t xml:space="preserve">take-or-pay, no utilization haircut</t>
  </si>
  <si>
    <t xml:space="preserve">Short-term tranche revenue = STShare x new MW x current ST rate /4</t>
  </si>
  <si>
    <t xml:space="preserve">New-deal adjustment = IF(NewDealOn, legacy b+c + multi-year + short-term - (b+c GPU-hour engine), 0)</t>
  </si>
  <si>
    <t xml:space="preserve">Memo: blended new-MW revenue per IT MW-yr (multi-year + short-term)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</si>
  <si>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</si>
  <si>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</si>
  <si>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</si>
  <si>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</si>
  <si>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</si>
  <si>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</si>
  <si>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</si>
  <si>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</si>
  <si>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</si>
  <si>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</si>
  <si>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</si>
  <si>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</si>
  <si>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</si>
  <si>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</si>
  <si>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</si>
  <si>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</si>
  <si>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</si>
  <si>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</si>
  <si>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</si>
  <si>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</si>
  <si>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</si>
  <si>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</si>
  <si>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</si>
  <si>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</si>
  <si>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</si>
  <si>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</si>
  <si>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</si>
  <si>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</si>
  <si>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</si>
  <si>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</si>
  <si>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</si>
  <si>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</si>
  <si>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</si>
  <si>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</si>
  <si>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</si>
  <si>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</si>
  <si>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</si>
  <si>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</si>
  <si>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</si>
  <si>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</si>
  <si>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</si>
  <si>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</si>
  <si>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</si>
  <si>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</si>
  <si>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</si>
  <si>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</si>
  <si>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</si>
  <si>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</si>
  <si>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</si>
  <si>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</si>
  <si>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</si>
  <si>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</si>
  <si>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</si>
  <si>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</si>
  <si>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</si>
  <si>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</si>
  <si>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</si>
  <si>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</si>
  <si>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</si>
  <si>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</si>
  <si>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</si>
  <si>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</si>
  <si>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</si>
  <si>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</si>
  <si>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</si>
  <si>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</si>
  <si>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</si>
  <si>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</si>
  <si>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GPU end-of-life replacement capex (cohort cost at GPU life)</t>
  </si>
  <si>
    <t xml:space="preserve">ReplOn; replaced at original cost; depreciated at next-gen life</t>
  </si>
  <si>
    <t xml:space="preserve">Path-consistent capex (GPU + shell + power + maintenance + replacement)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</si>
  <si>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</si>
  <si>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</si>
  <si>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</si>
  <si>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</si>
  <si>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</si>
  <si>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</si>
  <si>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</si>
  <si>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</si>
  <si>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</si>
  <si>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</si>
  <si>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</si>
  <si>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</si>
  <si>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</si>
  <si>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</si>
  <si>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</si>
  <si>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</si>
  <si>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</si>
  <si>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</si>
  <si>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</si>
  <si>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</si>
  <si>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</si>
  <si>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</si>
  <si>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</si>
  <si>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</si>
  <si>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</si>
  <si>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</si>
  <si>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</si>
  <si>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</si>
  <si>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</si>
  <si>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</si>
  <si>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</si>
  <si>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</si>
  <si>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</si>
  <si>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</si>
  <si>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</si>
  <si>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</si>
  <si>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</si>
  <si>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</si>
  <si>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</si>
  <si>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</si>
  <si>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</si>
  <si>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Filings/Modeling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</si>
  <si>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</si>
  <si>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</si>
  <si>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</si>
  <si>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</si>
  <si>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</si>
  <si>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</si>
  <si>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</si>
  <si>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</si>
  <si>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</si>
  <si>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</si>
  <si>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</si>
  <si>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</si>
  <si>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</si>
  <si>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</si>
  <si>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flag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</si>
  <si>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</si>
  <si>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</si>
  <si>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</si>
  <si>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</si>
  <si>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</si>
  <si>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</si>
  <si>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</si>
  <si>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</si>
  <si>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</si>
  <si>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</si>
  <si>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</si>
  <si>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</si>
  <si>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</si>
  <si>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</si>
  <si>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</si>
  <si>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</si>
  <si>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</si>
  <si>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</si>
  <si>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</si>
  <si>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</si>
  <si>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</si>
  <si>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</si>
  <si>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</si>
  <si>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</si>
  <si>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</si>
  <si>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</si>
  <si>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</si>
  <si>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</si>
  <si>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</si>
  <si>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</si>
  <si>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</si>
  <si>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</si>
  <si>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</si>
  <si>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</si>
  <si>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</si>
  <si>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</si>
  <si>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</si>
  <si>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</si>
  <si>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</si>
  <si>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</si>
  <si>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</si>
  <si>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</si>
  <si>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</si>
  <si>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</si>
  <si>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</si>
  <si>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</si>
  <si>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</si>
  <si>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</si>
  <si>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</si>
  <si>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</si>
  <si>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</si>
  <si>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</si>
  <si>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</si>
  <si>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</si>
  <si>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</si>
  <si>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</si>
  <si>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</si>
  <si>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</si>
  <si>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</si>
  <si>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</si>
  <si>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</si>
  <si>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</si>
  <si>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</si>
  <si>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</si>
  <si>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</si>
  <si>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</si>
  <si>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</si>
  <si>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</si>
  <si>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</si>
  <si>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</si>
  <si>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</si>
  <si>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</si>
  <si>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</si>
  <si>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</si>
  <si>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</si>
  <si>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</si>
  <si>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</si>
  <si>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</si>
  <si>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</si>
  <si>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</si>
  <si>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</si>
  <si>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</si>
  <si>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</si>
  <si>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</si>
  <si>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</si>
  <si>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</si>
  <si>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</si>
  <si>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</si>
  <si>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</si>
  <si>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</si>
  <si>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</si>
  <si>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</si>
  <si>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</si>
  <si>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</si>
  <si>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</si>
  <si>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</si>
  <si>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</si>
  <si>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</si>
  <si>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</si>
  <si>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</si>
  <si>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</si>
  <si>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</si>
  <si>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</si>
  <si>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</si>
  <si>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</si>
  <si>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</si>
  <si>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</si>
  <si>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</si>
  <si>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</si>
  <si>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</si>
  <si>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</si>
  <si>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</si>
  <si>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</si>
  <si>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</si>
  <si>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</si>
  <si>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</si>
  <si>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</si>
  <si>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</si>
  <si>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</si>
  <si>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</si>
  <si>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</si>
  <si>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</si>
  <si>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</si>
  <si>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</si>
  <si>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</si>
  <si>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</si>
  <si>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</si>
  <si>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</si>
  <si>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</si>
  <si>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</si>
  <si>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</si>
  <si>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</si>
  <si>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tax)</t>
  </si>
  <si>
    <t xml:space="preserve">avg IT MW x owned share x OM_MW / 4 (forecast)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</si>
  <si>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</si>
  <si>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</si>
  <si>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</si>
  <si>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</si>
  <si>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</si>
  <si>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</si>
  <si>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</si>
  <si>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</si>
  <si>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</si>
  <si>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</si>
  <si>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</si>
  <si>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</si>
  <si>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</si>
  <si>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</si>
  <si>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</si>
  <si>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</si>
  <si>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</si>
  <si>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</si>
  <si>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</si>
  <si>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</si>
  <si>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</si>
  <si>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</si>
  <si>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</si>
  <si>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</si>
  <si>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</si>
  <si>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</si>
  <si>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</si>
  <si>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</si>
  <si>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</si>
  <si>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</si>
  <si>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</si>
  <si>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</si>
  <si>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Prepayments received</t>
  </si>
  <si>
    <t xml:space="preserve">NEW prepayments only (post 6/30) = PrepayPct x capex; opening DR 5,975 is recognition only</t>
  </si>
  <si>
    <t xml:space="preserve">Deferred revenue released (non-cash revenue)</t>
  </si>
  <si>
    <t xml:space="preserve">prev balance / DR_AmortQ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</si>
  <si>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</si>
  <si>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</si>
  <si>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</si>
  <si>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</si>
  <si>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</si>
  <si>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</si>
  <si>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</si>
  <si>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</si>
  <si>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</si>
  <si>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</si>
  <si>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</si>
  <si>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</si>
  <si>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</si>
  <si>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</si>
  <si>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</si>
  <si>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</t>
  </si>
  <si>
    <t xml:space="preserve">Aug-2026 2030s + 2034s</t>
  </si>
  <si>
    <t xml:space="preserve">Convert cash repayments at maturity</t>
  </si>
  <si>
    <t xml:space="preserve">Secured loan draw / (repayment)</t>
  </si>
  <si>
    <t xml:space="preserve">ATM equity proceeds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</si>
  <si>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</si>
  <si>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</si>
  <si>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</si>
  <si>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</si>
  <si>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</si>
  <si>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</si>
  <si>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</si>
  <si>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</si>
  <si>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</si>
  <si>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</si>
  <si>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</si>
  <si>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</si>
  <si>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</si>
  <si>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</si>
  <si>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</si>
  <si>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</si>
  <si>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$2.30B)</t>
  </si>
  <si>
    <t xml:space="preserve">+ Secured loan $0.775B - ASSUMES FULLY DRAWN (toggle LoanOn; draw unconfirmed)</t>
  </si>
  <si>
    <t xml:space="preserve">+ ATM remaining (toggle ATMOn, ~12.27M sh x SharePx)</t>
  </si>
  <si>
    <t xml:space="preserve">+ Levered FCF ex funding-plug interest (incl. NEW prepayments; DR release non-cash)</t>
  </si>
  <si>
    <t xml:space="preserve">- Convert / secured repayments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</si>
  <si>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</si>
  <si>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</si>
  <si>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</si>
  <si>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</si>
  <si>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</si>
  <si>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</si>
  <si>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</si>
  <si>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</si>
  <si>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</si>
  <si>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</si>
  <si>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</si>
  <si>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shares (Class A + B)</t>
  </si>
  <si>
    <t xml:space="preserve">History = Hist; forecast adds exchange, ATM, equity plug, convert maturities, comp issuance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</si>
  <si>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</si>
  <si>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</si>
  <si>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</si>
  <si>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</si>
  <si>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</si>
  <si>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</si>
  <si>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</si>
  <si>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</si>
  <si>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</si>
  <si>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</si>
  <si>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</si>
  <si>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</si>
  <si>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</si>
  <si>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</si>
  <si>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</si>
  <si>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</si>
  <si>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</si>
  <si>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</si>
  <si>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</si>
  <si>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</si>
  <si>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</si>
  <si>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</si>
  <si>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Non-GPU sustaining: FY30 shell + power depreciation + maintenance capex</t>
  </si>
  <si>
    <t xml:space="preserve">  Growth reinvestment: TGMode 1 = g / RONC x NOPAT (fundamentals); 0 = TG x net PP&amp;E at Q4'30</t>
  </si>
  <si>
    <t xml:space="preserve">  Required terminal capex = (replacement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</si>
  <si>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</si>
  <si>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</si>
  <si>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</si>
  <si>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</si>
  <si>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</si>
  <si>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</si>
  <si>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</si>
  <si>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</si>
  <si>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</si>
  <si>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</si>
  <si>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</si>
  <si>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</si>
  <si>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</si>
  <si>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</si>
  <si>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</si>
  <si>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</si>
  <si>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</si>
  <si>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</si>
  <si>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</si>
  <si>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ENTERPRISE VALUE (DCF)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</si>
  <si>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</si>
  <si>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</si>
  <si>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</si>
  <si>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</si>
  <si>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</si>
  <si>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</si>
  <si>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</si>
  <si>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</si>
  <si>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</si>
  <si>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</si>
  <si>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</si>
  <si>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</si>
  <si>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</si>
  <si>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</si>
  <si>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</si>
  <si>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</si>
  <si>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</si>
  <si>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</si>
  <si>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</si>
  <si>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SOTP total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</si>
  <si>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</si>
  <si>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</si>
  <si>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</si>
  <si>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</si>
  <si>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</si>
  <si>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</si>
  <si>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</si>
  <si>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Cash at valuation quarter</t>
  </si>
  <si>
    <t xml:space="preserve">Secured + funding-plug debt at valuation quarter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</si>
  <si>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</si>
  <si>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</si>
  <si>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</si>
  <si>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</si>
  <si>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</si>
  <si>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</si>
  <si>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</si>
  <si>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</si>
  <si>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</si>
  <si>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</si>
  <si>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</si>
  <si>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</si>
  <si>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</si>
  <si>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</si>
  <si>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</si>
  <si>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</si>
  <si>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</si>
  <si>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</si>
  <si>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</si>
  <si>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</si>
  <si>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</si>
  <si>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</si>
  <si>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</si>
  <si>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</si>
  <si>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</si>
  <si>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</si>
  <si>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</si>
  <si>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</si>
  <si>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</si>
  <si>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</si>
  <si>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</si>
  <si>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</si>
  <si>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12-month price target ($) = FD value/share x (1 + Ke)</t>
  </si>
  <si>
    <t xml:space="preserve">6-month value/share ($) = FD value/share x (1 + Ke)^0.5</t>
  </si>
  <si>
    <t xml:space="preserve">3-year value/share ($) = FD value/share x (1 + Ke)^3 (no dividends; excludes future funding dilution - see Funding tab)</t>
  </si>
  <si>
    <t xml:space="preserve">Upside / (downside) vs SharePx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</si>
  <si>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</si>
  <si>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</si>
  <si>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</si>
  <si>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</si>
  <si>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</si>
  <si>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</si>
  <si>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</si>
  <si>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</si>
  <si>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</si>
  <si>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</si>
  <si>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</si>
  <si>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</si>
  <si>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</si>
  <si>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</si>
  <si>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</si>
  <si>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</si>
  <si>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</si>
  <si>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</si>
  <si>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</si>
  <si>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</si>
  <si>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</si>
  <si>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</si>
  <si>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</si>
  <si>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</si>
  <si>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</si>
  <si>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</si>
  <si>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</si>
  <si>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</si>
  <si>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</si>
  <si>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</si>
  <si>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</si>
  <si>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</si>
  <si>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</si>
  <si>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</si>
  <si>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</si>
  <si>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</si>
  <si>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</si>
  <si>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</si>
  <si>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</si>
  <si>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</si>
  <si>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</si>
  <si>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</si>
  <si>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</si>
  <si>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</si>
  <si>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</si>
  <si>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</si>
  <si>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</si>
  <si>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</si>
  <si>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</si>
  <si>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</si>
  <si>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</si>
  <si>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</si>
  <si>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</si>
  <si>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</si>
  <si>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</si>
  <si>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</si>
  <si>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</si>
  <si>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</si>
  <si>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</si>
  <si>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</si>
  <si>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</si>
  <si>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</si>
  <si>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</si>
  <si>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</si>
  <si>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</si>
  <si>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</si>
  <si>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</si>
  <si>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</si>
  <si>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</si>
  <si>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</si>
  <si>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</si>
  <si>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</si>
  <si>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</si>
  <si>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</si>
  <si>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</si>
  <si>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</si>
  <si>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</si>
  <si>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</si>
  <si>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</si>
  <si>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</si>
  <si>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</si>
  <si>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</si>
  <si>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</si>
  <si>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</si>
  <si>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</si>
  <si>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</si>
  <si>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</si>
  <si>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</si>
  <si>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</si>
  <si>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</si>
  <si>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</si>
  <si>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</si>
  <si>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</si>
  <si>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</si>
  <si>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</si>
  <si>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</si>
  <si>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</si>
  <si>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</si>
  <si>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</si>
  <si>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</si>
  <si>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</si>
  <si>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</si>
  <si>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</si>
  <si>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</si>
  <si>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</si>
  <si>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</si>
  <si>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</si>
  <si>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</si>
  <si>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</si>
  <si>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</si>
  <si>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</si>
  <si>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</si>
  <si>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</si>
  <si>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</si>
  <si>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</si>
  <si>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</si>
  <si>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</si>
  <si>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</si>
  <si>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</si>
  <si>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</si>
  <si>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</si>
  <si>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</si>
  <si>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</si>
  <si>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</si>
  <si>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</si>
  <si>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</si>
  <si>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</si>
  <si>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</si>
  <si>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</si>
  <si>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</si>
  <si>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</si>
  <si>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</si>
  <si>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</si>
  <si>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</si>
  <si>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</si>
  <si>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</si>
  <si>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</si>
  <si>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premium 1.00x GB300</t>
  </si>
  <si>
    <t xml:space="preserve">Sens: Rubin premium 1.25x GB300</t>
  </si>
  <si>
    <t xml:space="preserve">Sens: Rubin premium 1.53x GB300 (491/320)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</si>
  <si>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</si>
  <si>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</si>
  <si>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</si>
  <si>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</si>
  <si>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</si>
  <si>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</si>
  <si>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</si>
  <si>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</si>
  <si>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</si>
  <si>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</si>
  <si>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</si>
  <si>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</si>
  <si>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</si>
  <si>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Sens: multi-year $20M/IT MW</t>
  </si>
  <si>
    <t xml:space="preserve">Sens: multi-year $25M/IT MW</t>
  </si>
  <si>
    <t xml:space="preserve">Sens: short-term share 0%</t>
  </si>
  <si>
    <t xml:space="preserve">Sens: short-term share 25%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</si>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</sst>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#,##0.0"/>
    <numFmt numFmtId="174" formatCode="0.0%"/>
    <numFmt numFmtId="175" formatCode="0%"/>
    <numFmt numFmtId="176" formatCode="0.00;\-0.00"/>
    <numFmt numFmtId="177" formatCode="0.0\x"/>
    <numFmt numFmtId="178" formatCode="#,##0.00"/>
    <numFmt numFmtId="179" formatCode="0.0000"/>
    <numFmt numFmtId="180" formatCode="0.000"/>
    <numFmt numFmtId="181" formatCode="yyyy\-mm\-dd"/>
    <numFmt numFmtId="182" formatCode="0.00%"/>
    <numFmt numFmtId="183" formatCode="mmm\-yy"/>
    <numFmt numFmtId="184" formatCode="#,##0.0;\(#,##0.0\);\-"/>
    <numFmt numFmtId="185" formatCode="#,##0.000"/>
    <numFmt numFmtId="186" formatCode="#,##0;\(#,##0\);\-"/>
    <numFmt numFmtId="187" formatCode="0.00\x"/>
    <numFmt numFmtId="188" formatCode="0%;\-0%"/>
    <numFmt numFmtId="189" formatCode="0.000%"/>
    <numFmt numFmtId="190" formatCode="0.00;\(0.00\);\-"/>
    <numFmt numFmtId="19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31798.1884260569</v>
      </c>
    </row>
    <row r="8" customFormat="false" ht="15" hidden="false" customHeight="false" outlineLevel="0" collapsed="false">
      <c r="A8" s="0" t="s">
        <v>7</v>
      </c>
      <c r="B8" s="6" t="n">
        <f aca="false">V_PS</f>
        <v>70.6024898159561</v>
      </c>
    </row>
    <row r="9" customFormat="false" ht="15" hidden="false" customHeight="false" outlineLevel="0" collapsed="false">
      <c r="A9" s="0" t="s">
        <v>8</v>
      </c>
      <c r="B9" s="6" t="n">
        <f aca="false">V_PT</f>
        <v>79.7808134920304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Q3'27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0" t="s">
        <v>12</v>
      </c>
      <c r="B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</row>
    <row r="16" customFormat="false" ht="15" hidden="false" customHeight="false" outlineLevel="0" collapsed="false">
      <c r="A16" s="0" t="s">
        <v>16</v>
      </c>
      <c r="B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15</v>
      </c>
    </row>
    <row r="19" customFormat="false" ht="15" hidden="false" customHeight="false" outlineLevel="0" collapsed="false">
      <c r="A19" s="0" t="s">
        <v>21</v>
      </c>
      <c r="B19" s="0" t="s">
        <v>22</v>
      </c>
    </row>
    <row r="20" customFormat="false" ht="15" hidden="false" customHeight="false" outlineLevel="0" collapsed="false">
      <c r="A20" s="0" t="s">
        <v>23</v>
      </c>
      <c r="B20" s="0" t="s">
        <v>19</v>
      </c>
    </row>
    <row r="21" customFormat="false" ht="15" hidden="false" customHeight="false" outlineLevel="0" collapsed="false">
      <c r="A21" s="0" t="s">
        <v>24</v>
      </c>
      <c r="B21" s="0" t="s">
        <v>15</v>
      </c>
    </row>
    <row r="22" customFormat="false" ht="15" hidden="false" customHeight="false" outlineLevel="0" collapsed="false">
      <c r="A22" s="0" t="s">
        <v>25</v>
      </c>
      <c r="B22" s="0" t="s">
        <v>19</v>
      </c>
    </row>
    <row r="23" customFormat="false" ht="15" hidden="false" customHeight="false" outlineLevel="0" collapsed="false">
      <c r="A23" s="0" t="s">
        <v>26</v>
      </c>
      <c r="B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15" hidden="false" customHeight="false" outlineLevel="0" collapsed="false">
      <c r="A5" s="8" t="s">
        <v>49</v>
      </c>
      <c r="B5" s="9" t="n">
        <v>45.4997639351377</v>
      </c>
      <c r="C5" s="9"/>
      <c r="D5" s="10" t="n">
        <v>117.214235706105</v>
      </c>
      <c r="E5" s="10"/>
      <c r="F5" s="10" t="n">
        <v>132.452086347899</v>
      </c>
      <c r="G5" s="11" t="n">
        <v>2400.63703930642</v>
      </c>
      <c r="H5" s="11" t="n">
        <v>8242.01885850092</v>
      </c>
      <c r="I5" s="11" t="n">
        <v>22266.6123981889</v>
      </c>
      <c r="J5" s="11" t="n">
        <v>4575.85815565856</v>
      </c>
      <c r="K5" s="11" t="n">
        <v>-4456.76170039065</v>
      </c>
      <c r="L5" s="11" t="s">
        <v>50</v>
      </c>
    </row>
    <row r="6" customFormat="false" ht="15" hidden="false" customHeight="false" outlineLevel="0" collapsed="false">
      <c r="A6" s="0" t="s">
        <v>51</v>
      </c>
      <c r="B6" s="12" t="n">
        <v>48.8231672547518</v>
      </c>
      <c r="C6" s="12" t="n">
        <v>3.3234033196141</v>
      </c>
      <c r="D6" s="13" t="n">
        <v>127.472733101188</v>
      </c>
      <c r="E6" s="13" t="n">
        <v>10.258497395083</v>
      </c>
      <c r="F6" s="13" t="n">
        <v>144.044188404343</v>
      </c>
      <c r="G6" s="14" t="n">
        <v>2400.63703930642</v>
      </c>
      <c r="H6" s="14" t="n">
        <v>8242.01885850092</v>
      </c>
      <c r="I6" s="14" t="n">
        <v>22266.6123981889</v>
      </c>
      <c r="J6" s="14" t="n">
        <v>4606.04613482523</v>
      </c>
      <c r="K6" s="14" t="n">
        <v>-4408.08477405391</v>
      </c>
      <c r="L6" s="14" t="s">
        <v>50</v>
      </c>
    </row>
    <row r="7" customFormat="false" ht="15" hidden="false" customHeight="false" outlineLevel="0" collapsed="false">
      <c r="A7" s="0" t="s">
        <v>52</v>
      </c>
      <c r="B7" s="12" t="n">
        <v>102.754668733471</v>
      </c>
      <c r="C7" s="12" t="n">
        <v>53.9315014787192</v>
      </c>
      <c r="D7" s="13" t="n">
        <v>277.208606888699</v>
      </c>
      <c r="E7" s="13" t="n">
        <v>149.735873787511</v>
      </c>
      <c r="F7" s="13" t="n">
        <v>313.24572578423</v>
      </c>
      <c r="G7" s="14" t="n">
        <v>2400.63703930642</v>
      </c>
      <c r="H7" s="14" t="n">
        <v>8242.01885850092</v>
      </c>
      <c r="I7" s="14" t="n">
        <v>22266.6123981889</v>
      </c>
      <c r="J7" s="14" t="n">
        <v>4606.04613482523</v>
      </c>
      <c r="K7" s="14" t="n">
        <v>-4408.08477405391</v>
      </c>
      <c r="L7" s="14" t="s">
        <v>50</v>
      </c>
    </row>
    <row r="8" customFormat="false" ht="15" hidden="false" customHeight="false" outlineLevel="0" collapsed="false">
      <c r="A8" s="0" t="s">
        <v>53</v>
      </c>
      <c r="B8" s="12" t="n">
        <v>102.754668733471</v>
      </c>
      <c r="C8" s="12" t="n">
        <v>0</v>
      </c>
      <c r="D8" s="13" t="n">
        <v>277.208606888699</v>
      </c>
      <c r="E8" s="13" t="n">
        <v>0</v>
      </c>
      <c r="F8" s="13" t="n">
        <v>313.24572578423</v>
      </c>
      <c r="G8" s="14" t="n">
        <v>2400.63703930642</v>
      </c>
      <c r="H8" s="14" t="n">
        <v>8242.01885850092</v>
      </c>
      <c r="I8" s="14" t="n">
        <v>22266.6123981889</v>
      </c>
      <c r="J8" s="14" t="n">
        <v>4606.04613482523</v>
      </c>
      <c r="K8" s="14" t="n">
        <v>-4408.08477405391</v>
      </c>
      <c r="L8" s="14" t="s">
        <v>50</v>
      </c>
    </row>
    <row r="9" customFormat="false" ht="15" hidden="false" customHeight="false" outlineLevel="0" collapsed="false">
      <c r="A9" s="0" t="s">
        <v>54</v>
      </c>
      <c r="B9" s="12" t="n">
        <v>91.6340484815768</v>
      </c>
      <c r="C9" s="12" t="n">
        <v>-11.1206202518942</v>
      </c>
      <c r="D9" s="13" t="n">
        <v>247.257811796192</v>
      </c>
      <c r="E9" s="13" t="n">
        <v>-29.950795092507</v>
      </c>
      <c r="F9" s="13" t="n">
        <v>279.401327329697</v>
      </c>
      <c r="G9" s="14" t="n">
        <v>2400.63703930642</v>
      </c>
      <c r="H9" s="14" t="n">
        <v>8242.01885850092</v>
      </c>
      <c r="I9" s="14" t="n">
        <v>22266.6123981889</v>
      </c>
      <c r="J9" s="14" t="n">
        <v>4517.47256608134</v>
      </c>
      <c r="K9" s="14" t="n">
        <v>-4518.47497945888</v>
      </c>
      <c r="L9" s="14" t="s">
        <v>50</v>
      </c>
    </row>
    <row r="10" customFormat="false" ht="15" hidden="false" customHeight="false" outlineLevel="0" collapsed="false">
      <c r="A10" s="8" t="s">
        <v>55</v>
      </c>
      <c r="B10" s="9" t="n">
        <v>102.450805036379</v>
      </c>
      <c r="C10" s="9" t="n">
        <v>10.8167565548022</v>
      </c>
      <c r="D10" s="10" t="n">
        <v>276.363924879488</v>
      </c>
      <c r="E10" s="10" t="n">
        <v>29.106113083296</v>
      </c>
      <c r="F10" s="10" t="n">
        <v>312.291235113822</v>
      </c>
      <c r="G10" s="11" t="n">
        <v>2425.32952419152</v>
      </c>
      <c r="H10" s="11" t="n">
        <v>8517.51527302704</v>
      </c>
      <c r="I10" s="11" t="n">
        <v>22648.7362066291</v>
      </c>
      <c r="J10" s="11" t="n">
        <v>4713.07502039488</v>
      </c>
      <c r="K10" s="11" t="n">
        <v>-4310.06657295393</v>
      </c>
      <c r="L10" s="11" t="s">
        <v>50</v>
      </c>
    </row>
    <row r="11" customFormat="false" ht="15" hidden="false" customHeight="false" outlineLevel="0" collapsed="false">
      <c r="A11" s="0" t="s">
        <v>56</v>
      </c>
      <c r="B11" s="12" t="n">
        <v>86.3638708865432</v>
      </c>
      <c r="C11" s="12" t="n">
        <v>-16.0869341498358</v>
      </c>
      <c r="D11" s="13" t="n">
        <v>233.083153078132</v>
      </c>
      <c r="E11" s="13" t="n">
        <v>-43.280771801356</v>
      </c>
      <c r="F11" s="13" t="n">
        <v>263.383962978289</v>
      </c>
      <c r="G11" s="14" t="n">
        <v>2425.32952419152</v>
      </c>
      <c r="H11" s="14" t="n">
        <v>8517.51527302704</v>
      </c>
      <c r="I11" s="14" t="n">
        <v>22648.7362066291</v>
      </c>
      <c r="J11" s="14" t="n">
        <v>4713.07502039488</v>
      </c>
      <c r="K11" s="14" t="n">
        <v>-4310.06657295393</v>
      </c>
      <c r="L11" s="14" t="s">
        <v>50</v>
      </c>
    </row>
    <row r="12" customFormat="false" ht="15" hidden="false" customHeight="false" outlineLevel="0" collapsed="false">
      <c r="A12" s="8" t="s">
        <v>57</v>
      </c>
      <c r="B12" s="9" t="n">
        <v>94.1159266440129</v>
      </c>
      <c r="C12" s="9" t="n">
        <v>7.7520557574697</v>
      </c>
      <c r="D12" s="10" t="n">
        <v>248.19386831554</v>
      </c>
      <c r="E12" s="10" t="n">
        <v>15.110715237408</v>
      </c>
      <c r="F12" s="10" t="n">
        <v>280.459071196561</v>
      </c>
      <c r="G12" s="11" t="n">
        <v>2425.32952419152</v>
      </c>
      <c r="H12" s="11" t="n">
        <v>8517.51527302704</v>
      </c>
      <c r="I12" s="11" t="n">
        <v>22648.7362066291</v>
      </c>
      <c r="J12" s="11" t="n">
        <v>4713.07502039488</v>
      </c>
      <c r="K12" s="11" t="n">
        <v>-7264.86916034205</v>
      </c>
      <c r="L12" s="11" t="s">
        <v>58</v>
      </c>
    </row>
    <row r="13" customFormat="false" ht="15" hidden="false" customHeight="false" outlineLevel="0" collapsed="false">
      <c r="A13" s="0" t="s">
        <v>59</v>
      </c>
      <c r="B13" s="12" t="n">
        <v>87.9215212564282</v>
      </c>
      <c r="C13" s="12" t="n">
        <v>-6.1944053875847</v>
      </c>
      <c r="D13" s="13" t="n">
        <v>233.708704629865</v>
      </c>
      <c r="E13" s="13" t="n">
        <v>-14.485163685675</v>
      </c>
      <c r="F13" s="13" t="n">
        <v>264.090836231747</v>
      </c>
      <c r="G13" s="14" t="n">
        <v>2425.32952419152</v>
      </c>
      <c r="H13" s="14" t="n">
        <v>8517.51527302704</v>
      </c>
      <c r="I13" s="14" t="n">
        <v>22648.7362066291</v>
      </c>
      <c r="J13" s="14" t="n">
        <v>4713.07502039488</v>
      </c>
      <c r="K13" s="14" t="n">
        <v>-7160.9335370009</v>
      </c>
      <c r="L13" s="14" t="s">
        <v>60</v>
      </c>
    </row>
    <row r="14" customFormat="false" ht="15" hidden="false" customHeight="false" outlineLevel="0" collapsed="false">
      <c r="A14" s="0" t="s">
        <v>61</v>
      </c>
      <c r="B14" s="12" t="n">
        <v>94.973210940963</v>
      </c>
      <c r="C14" s="12" t="n">
        <v>7.05168968453481</v>
      </c>
      <c r="D14" s="13" t="n">
        <v>252.680782790168</v>
      </c>
      <c r="E14" s="13" t="n">
        <v>18.972078160303</v>
      </c>
      <c r="F14" s="13" t="n">
        <v>285.52928455289</v>
      </c>
      <c r="G14" s="14" t="n">
        <v>2425.32952419152</v>
      </c>
      <c r="H14" s="14" t="n">
        <v>8102.58408534655</v>
      </c>
      <c r="I14" s="14" t="n">
        <v>22384.5389654596</v>
      </c>
      <c r="J14" s="14" t="n">
        <v>4418.47387714174</v>
      </c>
      <c r="K14" s="14" t="n">
        <v>-7450.325523597</v>
      </c>
      <c r="L14" s="14" t="s">
        <v>60</v>
      </c>
    </row>
    <row r="15" customFormat="false" ht="15" hidden="false" customHeight="false" outlineLevel="0" collapsed="false">
      <c r="A15" s="0" t="s">
        <v>62</v>
      </c>
      <c r="B15" s="12" t="n">
        <v>153.790606759039</v>
      </c>
      <c r="C15" s="12" t="n">
        <v>58.817395818076</v>
      </c>
      <c r="D15" s="13" t="n">
        <v>406.650478460103</v>
      </c>
      <c r="E15" s="13" t="n">
        <v>153.969695669935</v>
      </c>
      <c r="F15" s="13" t="n">
        <v>459.515040659916</v>
      </c>
      <c r="G15" s="14" t="n">
        <v>2425.32952419152</v>
      </c>
      <c r="H15" s="14" t="n">
        <v>8140.65856246629</v>
      </c>
      <c r="I15" s="14" t="n">
        <v>24633.6289824031</v>
      </c>
      <c r="J15" s="14" t="n">
        <v>4445.50675589675</v>
      </c>
      <c r="K15" s="14" t="n">
        <v>-7423.77977623466</v>
      </c>
      <c r="L15" s="14" t="s">
        <v>60</v>
      </c>
    </row>
    <row r="16" customFormat="false" ht="15" hidden="false" customHeight="false" outlineLevel="0" collapsed="false">
      <c r="A16" s="0" t="s">
        <v>63</v>
      </c>
      <c r="B16" s="12" t="n">
        <v>154.026218338665</v>
      </c>
      <c r="C16" s="12" t="n">
        <v>0.235611579626013</v>
      </c>
      <c r="D16" s="13" t="n">
        <v>407.254954129421</v>
      </c>
      <c r="E16" s="13" t="n">
        <v>0.604475669317992</v>
      </c>
      <c r="F16" s="13" t="n">
        <v>460.198098166245</v>
      </c>
      <c r="G16" s="14" t="n">
        <v>2425.32952419152</v>
      </c>
      <c r="H16" s="14" t="n">
        <v>8140.65856246629</v>
      </c>
      <c r="I16" s="14" t="n">
        <v>24633.6289824031</v>
      </c>
      <c r="J16" s="14" t="n">
        <v>4447.42081839675</v>
      </c>
      <c r="K16" s="14" t="n">
        <v>-7421.86571373466</v>
      </c>
      <c r="L16" s="14" t="s">
        <v>60</v>
      </c>
    </row>
    <row r="17" customFormat="false" ht="15" hidden="false" customHeight="false" outlineLevel="0" collapsed="false">
      <c r="A17" s="0" t="s">
        <v>64</v>
      </c>
      <c r="B17" s="12" t="n">
        <v>125.819689086013</v>
      </c>
      <c r="C17" s="12" t="n">
        <v>-28.206529252652</v>
      </c>
      <c r="D17" s="13" t="n">
        <v>334.889407936213</v>
      </c>
      <c r="E17" s="13" t="n">
        <v>-72.365546193208</v>
      </c>
      <c r="F17" s="13" t="n">
        <v>378.425030967921</v>
      </c>
      <c r="G17" s="14" t="n">
        <v>2425.32952419152</v>
      </c>
      <c r="H17" s="14" t="n">
        <v>8140.65856246629</v>
      </c>
      <c r="I17" s="14" t="n">
        <v>24633.6289824031</v>
      </c>
      <c r="J17" s="14" t="n">
        <v>4447.42081839675</v>
      </c>
      <c r="K17" s="14" t="n">
        <v>-7421.86571373466</v>
      </c>
      <c r="L17" s="14" t="s">
        <v>60</v>
      </c>
    </row>
    <row r="18" customFormat="false" ht="15" hidden="false" customHeight="false" outlineLevel="0" collapsed="false">
      <c r="A18" s="0" t="s">
        <v>65</v>
      </c>
      <c r="B18" s="12" t="n">
        <v>33.1835120760248</v>
      </c>
      <c r="C18" s="12" t="n">
        <v>-92.6361770099882</v>
      </c>
      <c r="D18" s="13" t="n">
        <v>74.9694186369602</v>
      </c>
      <c r="E18" s="13" t="n">
        <v>-259.919989299253</v>
      </c>
      <c r="F18" s="13" t="n">
        <v>84.715443059765</v>
      </c>
      <c r="G18" s="14" t="n">
        <v>2425.32952419152</v>
      </c>
      <c r="H18" s="14" t="n">
        <v>7324.95218380129</v>
      </c>
      <c r="I18" s="14" t="n">
        <v>19028.3078080523</v>
      </c>
      <c r="J18" s="14" t="n">
        <v>3868.2692895446</v>
      </c>
      <c r="K18" s="14" t="n">
        <v>-7990.82841296473</v>
      </c>
      <c r="L18" s="14" t="s">
        <v>60</v>
      </c>
    </row>
    <row r="19" customFormat="false" ht="15" hidden="false" customHeight="false" outlineLevel="0" collapsed="false">
      <c r="A19" s="0" t="s">
        <v>66</v>
      </c>
      <c r="B19" s="12" t="n">
        <v>31.8847774877648</v>
      </c>
      <c r="C19" s="12" t="n">
        <v>-1.29873458826</v>
      </c>
      <c r="D19" s="13" t="n">
        <v>70.8737358600681</v>
      </c>
      <c r="E19" s="13" t="n">
        <v>-4.0956827768921</v>
      </c>
      <c r="F19" s="13" t="n">
        <v>80.0873215218769</v>
      </c>
      <c r="G19" s="14" t="n">
        <v>2425.32952419152</v>
      </c>
      <c r="H19" s="14" t="n">
        <v>7324.95218380129</v>
      </c>
      <c r="I19" s="14" t="n">
        <v>19028.3078080523</v>
      </c>
      <c r="J19" s="14" t="n">
        <v>3868.2692895446</v>
      </c>
      <c r="K19" s="14" t="n">
        <v>-8050.05808914412</v>
      </c>
      <c r="L19" s="14" t="s">
        <v>60</v>
      </c>
    </row>
    <row r="20" customFormat="false" ht="15" hidden="false" customHeight="false" outlineLevel="0" collapsed="false">
      <c r="A20" s="8" t="s">
        <v>67</v>
      </c>
      <c r="B20" s="9" t="n">
        <v>31.7981884260569</v>
      </c>
      <c r="C20" s="9" t="n">
        <v>-0.0865890617079022</v>
      </c>
      <c r="D20" s="10" t="n">
        <v>70.6024898159561</v>
      </c>
      <c r="E20" s="10" t="n">
        <v>-0.27124604411199</v>
      </c>
      <c r="F20" s="10" t="n">
        <v>79.7808134920304</v>
      </c>
      <c r="G20" s="11" t="n">
        <v>2423.40833661368</v>
      </c>
      <c r="H20" s="11" t="n">
        <v>7320.29311172376</v>
      </c>
      <c r="I20" s="11" t="n">
        <v>19024.8843100935</v>
      </c>
      <c r="J20" s="11" t="n">
        <v>3864.96134836955</v>
      </c>
      <c r="K20" s="11" t="n">
        <v>-8054.44067566647</v>
      </c>
      <c r="L20" s="11" t="s">
        <v>60</v>
      </c>
    </row>
    <row r="23" customFormat="false" ht="15" hidden="false" customHeight="false" outlineLevel="0" collapsed="false">
      <c r="A23" s="8" t="s">
        <v>68</v>
      </c>
    </row>
    <row r="24" customFormat="false" ht="15" hidden="false" customHeight="false" outlineLevel="0" collapsed="false">
      <c r="A24" s="7" t="s">
        <v>5</v>
      </c>
      <c r="B24" s="7" t="s">
        <v>69</v>
      </c>
      <c r="C24" s="7" t="s">
        <v>70</v>
      </c>
      <c r="D24" s="7" t="s">
        <v>71</v>
      </c>
      <c r="E24" s="7" t="s">
        <v>72</v>
      </c>
    </row>
    <row r="25" customFormat="false" ht="15" hidden="false" customHeight="false" outlineLevel="0" collapsed="false">
      <c r="A25" s="0" t="s">
        <v>73</v>
      </c>
      <c r="B25" s="15" t="n">
        <v>70.6024898159561</v>
      </c>
      <c r="C25" s="15" t="n">
        <v>75.0514761485726</v>
      </c>
      <c r="D25" s="15" t="n">
        <v>79.7808134920304</v>
      </c>
      <c r="E25" s="15" t="n">
        <v>101.872120747974</v>
      </c>
    </row>
    <row r="26" customFormat="false" ht="15" hidden="false" customHeight="false" outlineLevel="0" collapsed="false">
      <c r="A26" s="0" t="s">
        <v>74</v>
      </c>
      <c r="B26" s="15" t="n">
        <v>478.558409781268</v>
      </c>
      <c r="C26" s="15" t="n">
        <v>506.45861603991</v>
      </c>
      <c r="D26" s="15" t="n">
        <v>535.98541895502</v>
      </c>
      <c r="E26" s="15" t="n">
        <v>672.340109537177</v>
      </c>
    </row>
    <row r="27" customFormat="false" ht="15" hidden="false" customHeight="false" outlineLevel="0" collapsed="false">
      <c r="A27" s="0" t="s">
        <v>75</v>
      </c>
      <c r="B27" s="15" t="n">
        <v>0.01</v>
      </c>
      <c r="C27" s="15" t="n">
        <v>0.0107238052947636</v>
      </c>
      <c r="D27" s="15" t="n">
        <v>0.0115</v>
      </c>
      <c r="E27" s="15" t="n">
        <v>0.01520875</v>
      </c>
    </row>
    <row r="30" customFormat="false" ht="15" hidden="false" customHeight="false" outlineLevel="0" collapsed="false">
      <c r="A30" s="8" t="s">
        <v>76</v>
      </c>
    </row>
    <row r="31" customFormat="false" ht="15" hidden="false" customHeight="false" outlineLevel="0" collapsed="false">
      <c r="A31" s="7" t="s">
        <v>5</v>
      </c>
      <c r="B31" s="7" t="s">
        <v>77</v>
      </c>
      <c r="C31" s="7" t="s">
        <v>78</v>
      </c>
      <c r="D31" s="7" t="s">
        <v>79</v>
      </c>
      <c r="E31" s="7" t="s">
        <v>80</v>
      </c>
      <c r="F31" s="7" t="s">
        <v>81</v>
      </c>
      <c r="G31" s="7" t="s">
        <v>82</v>
      </c>
    </row>
    <row r="32" customFormat="false" ht="15" hidden="false" customHeight="false" outlineLevel="0" collapsed="false">
      <c r="A32" s="0" t="s">
        <v>73</v>
      </c>
      <c r="B32" s="16" t="n">
        <v>30.1575455502983</v>
      </c>
      <c r="C32" s="16" t="n">
        <v>27.9575455502983</v>
      </c>
      <c r="D32" s="16" t="n">
        <v>29.4075455502983</v>
      </c>
      <c r="E32" s="16" t="n">
        <v>30.1575455502983</v>
      </c>
      <c r="F32" s="0" t="s">
        <v>83</v>
      </c>
      <c r="G32" s="16" t="n">
        <v>22.221</v>
      </c>
    </row>
    <row r="33" customFormat="false" ht="15" hidden="false" customHeight="false" outlineLevel="0" collapsed="false">
      <c r="A33" s="0" t="s">
        <v>74</v>
      </c>
      <c r="B33" s="16" t="n">
        <v>43.041696075</v>
      </c>
      <c r="C33" s="16" t="n">
        <v>40.841696075</v>
      </c>
      <c r="D33" s="16" t="n">
        <v>42.291696075</v>
      </c>
      <c r="E33" s="16" t="n">
        <v>43.041696075</v>
      </c>
      <c r="F33" s="0" t="s">
        <v>83</v>
      </c>
      <c r="G33" s="16" t="n">
        <v>26.8359375</v>
      </c>
    </row>
    <row r="34" customFormat="false" ht="15" hidden="false" customHeight="false" outlineLevel="0" collapsed="false">
      <c r="A34" s="0" t="s">
        <v>75</v>
      </c>
      <c r="B34" s="16" t="n">
        <v>22.27279275</v>
      </c>
      <c r="C34" s="16" t="n">
        <v>20.07279275</v>
      </c>
      <c r="D34" s="16" t="n">
        <v>21.52279275</v>
      </c>
      <c r="E34" s="16" t="n">
        <v>22.27279275</v>
      </c>
      <c r="F34" s="0" t="s">
        <v>83</v>
      </c>
      <c r="G34" s="16" t="n">
        <v>19.365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84</v>
      </c>
    </row>
    <row r="4" customFormat="false" ht="15" hidden="false" customHeight="false" outlineLevel="0" collapsed="false">
      <c r="A4" s="3" t="s">
        <v>85</v>
      </c>
    </row>
    <row r="5" customFormat="false" ht="15" hidden="false" customHeight="false" outlineLevel="0" collapsed="false">
      <c r="A5" s="0" t="s">
        <v>86</v>
      </c>
      <c r="B5" s="17" t="n">
        <f aca="false">MIN(INDEX(Liq,1,11):INDEX(Liq,1,16))</f>
        <v>-8054.44067566647</v>
      </c>
      <c r="C5" s="18"/>
    </row>
    <row r="6" customFormat="false" ht="15" hidden="false" customHeight="false" outlineLevel="0" collapsed="false">
      <c r="A6" s="0" t="s">
        <v>87</v>
      </c>
      <c r="B6" s="17" t="n">
        <f aca="false">MIN(INDEX(Liq,1,11):INDEX(Liq,1,20))</f>
        <v>-16951.9447612643</v>
      </c>
      <c r="C6" s="18"/>
    </row>
    <row r="7" customFormat="false" ht="15" hidden="false" customHeight="false" outlineLevel="0" collapsed="false">
      <c r="A7" s="0" t="s">
        <v>88</v>
      </c>
      <c r="B7" s="17" t="n">
        <f aca="false">MAX(0,MinCash-FU_Min27)</f>
        <v>10054.4406756665</v>
      </c>
      <c r="C7" s="18"/>
    </row>
    <row r="8" customFormat="false" ht="15" hidden="false" customHeight="false" outlineLevel="0" collapsed="false">
      <c r="A8" s="0" t="s">
        <v>89</v>
      </c>
      <c r="B8" s="17" t="n">
        <f aca="false">MAX(0,MinCash-FU_Min28)</f>
        <v>18951.9447612643</v>
      </c>
      <c r="C8" s="18"/>
    </row>
    <row r="9" customFormat="false" ht="15" hidden="false" customHeight="false" outlineLevel="0" collapsed="false">
      <c r="A9" s="0" t="s">
        <v>90</v>
      </c>
      <c r="B9" s="19" t="n">
        <v>1</v>
      </c>
      <c r="C9" s="18"/>
    </row>
    <row r="10" customFormat="false" ht="15" hidden="false" customHeight="false" outlineLevel="0" collapsed="false">
      <c r="A10" s="0" t="s">
        <v>91</v>
      </c>
      <c r="B10" s="17" t="n">
        <f aca="false">IF(FU_TgtSel=2,FU_Gap28,FU_Gap27)</f>
        <v>10054.4406756665</v>
      </c>
      <c r="C10" s="18"/>
    </row>
    <row r="11" customFormat="false" ht="15" hidden="false" customHeight="false" outlineLevel="0" collapsed="false">
      <c r="A11" s="0" t="s">
        <v>92</v>
      </c>
      <c r="B11" s="20" t="n">
        <f aca="false">V_PS</f>
        <v>70.6024898159561</v>
      </c>
      <c r="C11" s="18"/>
    </row>
    <row r="12" customFormat="false" ht="15" hidden="false" customHeight="false" outlineLevel="0" collapsed="false">
      <c r="A12" s="0" t="s">
        <v>93</v>
      </c>
      <c r="B12" s="21" t="n">
        <f aca="false">IFERROR(V_EQ/V_PS,0)</f>
        <v>318.3265975</v>
      </c>
      <c r="C12" s="18"/>
    </row>
    <row r="14" customFormat="false" ht="15" hidden="false" customHeight="false" outlineLevel="0" collapsed="false">
      <c r="A14" s="3" t="s">
        <v>94</v>
      </c>
    </row>
    <row r="15" customFormat="false" ht="15" hidden="false" customHeight="false" outlineLevel="0" collapsed="false">
      <c r="A15" s="0" t="s">
        <v>95</v>
      </c>
      <c r="B15" s="20" t="n">
        <f aca="false">ATM_Rem</f>
        <v>12.270507</v>
      </c>
      <c r="C15" s="18"/>
    </row>
    <row r="16" customFormat="false" ht="15" hidden="false" customHeight="false" outlineLevel="0" collapsed="false">
      <c r="A16" s="0" t="s">
        <v>96</v>
      </c>
      <c r="B16" s="20" t="n">
        <f aca="false">SharePx*(1-FU_ATMd)</f>
        <v>237.9538</v>
      </c>
      <c r="C16" s="18"/>
    </row>
    <row r="17" customFormat="false" ht="15" hidden="false" customHeight="false" outlineLevel="0" collapsed="false">
      <c r="A17" s="0" t="s">
        <v>97</v>
      </c>
      <c r="B17" s="22" t="n">
        <v>0.02</v>
      </c>
      <c r="C17" s="18"/>
    </row>
    <row r="18" customFormat="false" ht="15" hidden="false" customHeight="false" outlineLevel="0" collapsed="false">
      <c r="A18" s="0" t="s">
        <v>98</v>
      </c>
      <c r="B18" s="23" t="n">
        <v>1500</v>
      </c>
      <c r="C18" s="18" t="s">
        <v>99</v>
      </c>
    </row>
    <row r="19" customFormat="false" ht="15" hidden="false" customHeight="false" outlineLevel="0" collapsed="false">
      <c r="A19" s="0" t="s">
        <v>100</v>
      </c>
      <c r="B19" s="22" t="n">
        <v>0</v>
      </c>
      <c r="C19" s="18"/>
    </row>
    <row r="20" customFormat="false" ht="15" hidden="false" customHeight="false" outlineLevel="0" collapsed="false">
      <c r="A20" s="0" t="s">
        <v>101</v>
      </c>
      <c r="B20" s="24" t="n">
        <v>0.5</v>
      </c>
      <c r="C20" s="18"/>
    </row>
    <row r="21" customFormat="false" ht="15" hidden="false" customHeight="false" outlineLevel="0" collapsed="false">
      <c r="A21" s="0" t="s">
        <v>102</v>
      </c>
      <c r="B21" s="17" t="n">
        <f aca="false">INDEX(NBV_H,1,14)+INDEX(NBV_B,1,14)+INDEX(NBV_N,1,14)</f>
        <v>25049.023</v>
      </c>
      <c r="C21" s="18"/>
    </row>
    <row r="22" customFormat="false" ht="15" hidden="false" customHeight="false" outlineLevel="0" collapsed="false">
      <c r="A22" s="0" t="s">
        <v>103</v>
      </c>
      <c r="B22" s="17" t="n">
        <f aca="false">MIN(FU_LTV*FU_NBV,FU_ABSCap)</f>
        <v>5000</v>
      </c>
      <c r="C22" s="18"/>
    </row>
    <row r="23" customFormat="false" ht="15" hidden="false" customHeight="false" outlineLevel="0" collapsed="false">
      <c r="A23" s="0" t="s">
        <v>104</v>
      </c>
      <c r="B23" s="23" t="n">
        <v>5000</v>
      </c>
      <c r="C23" s="18"/>
    </row>
    <row r="24" customFormat="false" ht="15" hidden="false" customHeight="false" outlineLevel="0" collapsed="false">
      <c r="A24" s="0" t="s">
        <v>105</v>
      </c>
      <c r="B24" s="22" t="n">
        <v>0.09</v>
      </c>
      <c r="C24" s="18" t="s">
        <v>106</v>
      </c>
    </row>
    <row r="25" customFormat="false" ht="15" hidden="false" customHeight="false" outlineLevel="0" collapsed="false">
      <c r="A25" s="0" t="s">
        <v>107</v>
      </c>
      <c r="B25" s="23" t="n">
        <v>3000</v>
      </c>
      <c r="C25" s="18"/>
    </row>
    <row r="26" customFormat="false" ht="15" hidden="false" customHeight="false" outlineLevel="0" collapsed="false">
      <c r="A26" s="0" t="s">
        <v>108</v>
      </c>
      <c r="B26" s="24" t="n">
        <v>0.35</v>
      </c>
      <c r="C26" s="18"/>
    </row>
    <row r="27" customFormat="false" ht="15" hidden="false" customHeight="false" outlineLevel="0" collapsed="false">
      <c r="A27" s="0" t="s">
        <v>109</v>
      </c>
      <c r="B27" s="20" t="n">
        <f aca="false">SharePx*(1+FU_CVPrem)</f>
        <v>327.7935</v>
      </c>
      <c r="C27" s="18"/>
    </row>
    <row r="29" customFormat="false" ht="15" hidden="false" customHeight="false" outlineLevel="0" collapsed="false">
      <c r="A29" s="3" t="s">
        <v>110</v>
      </c>
      <c r="B29" s="3" t="s">
        <v>111</v>
      </c>
      <c r="C29" s="3" t="s">
        <v>112</v>
      </c>
      <c r="D29" s="3" t="s">
        <v>113</v>
      </c>
      <c r="E29" s="3" t="s">
        <v>41</v>
      </c>
      <c r="F29" s="3" t="s">
        <v>114</v>
      </c>
    </row>
    <row r="30" customFormat="false" ht="15" hidden="false" customHeight="false" outlineLevel="0" collapsed="false">
      <c r="A30" s="0" t="s">
        <v>115</v>
      </c>
      <c r="B30" s="25" t="n">
        <f aca="false">FU_ATMsh*FU_ATMpx</f>
        <v>2919.8137685766</v>
      </c>
      <c r="C30" s="20" t="n">
        <f aca="false">FU_ATMsh</f>
        <v>12.270507</v>
      </c>
      <c r="D30" s="20" t="n">
        <f aca="false">(V_EQ+FU_ATMsh*FU_ATMpx)/(FU_N+FU_ATMsh)</f>
        <v>76.8139338822258</v>
      </c>
      <c r="E30" s="26" t="n">
        <f aca="false">D30-FU_V</f>
        <v>6.21144406626975</v>
      </c>
      <c r="F30" s="27" t="n">
        <f aca="false">IFERROR(C30/FU_N,0)</f>
        <v>0.0385469109284844</v>
      </c>
    </row>
    <row r="31" customFormat="false" ht="15" hidden="false" customHeight="false" outlineLevel="0" collapsed="false">
      <c r="A31" s="0" t="s">
        <v>116</v>
      </c>
      <c r="B31" s="25" t="n">
        <f aca="false">FU_PreAmt</f>
        <v>1500</v>
      </c>
      <c r="C31" s="20" t="n">
        <f aca="false">0</f>
        <v>0</v>
      </c>
      <c r="D31" s="20" t="n">
        <f aca="false">FU_V-FU_PreAmt*FU_PreCost/FU_N</f>
        <v>70.6024898159561</v>
      </c>
      <c r="E31" s="26" t="n">
        <f aca="false">D31-FU_V</f>
        <v>0</v>
      </c>
      <c r="F31" s="27" t="n">
        <f aca="false">IFERROR(C31/FU_N,0)</f>
        <v>0</v>
      </c>
    </row>
    <row r="32" customFormat="false" ht="15" hidden="false" customHeight="false" outlineLevel="0" collapsed="false">
      <c r="A32" s="0" t="s">
        <v>117</v>
      </c>
      <c r="B32" s="25" t="n">
        <f aca="false">FU_ABSMax</f>
        <v>5000</v>
      </c>
      <c r="C32" s="20" t="n">
        <f aca="false">0</f>
        <v>0</v>
      </c>
      <c r="D32" s="20" t="n">
        <f aca="false">FU_V</f>
        <v>70.6024898159561</v>
      </c>
      <c r="E32" s="26" t="n">
        <f aca="false">D32-FU_V</f>
        <v>0</v>
      </c>
      <c r="F32" s="27" t="n">
        <f aca="false">IFERROR(C32/FU_N,0)</f>
        <v>0</v>
      </c>
    </row>
    <row r="33" customFormat="false" ht="15" hidden="false" customHeight="false" outlineLevel="0" collapsed="false">
      <c r="A33" s="0" t="s">
        <v>118</v>
      </c>
      <c r="B33" s="25" t="n">
        <f aca="false">FU_CVAmt</f>
        <v>3000</v>
      </c>
      <c r="C33" s="20" t="n">
        <f aca="false">IF(FU_V&gt;FU_CVPx,FU_CVAmt/FU_CVPx,0)</f>
        <v>0</v>
      </c>
      <c r="D33" s="20" t="n">
        <f aca="false">IF(FU_V&gt;FU_CVPx,(V_EQ+FU_CVAmt)/(FU_N+FU_CVAmt/FU_CVPx),FU_V)</f>
        <v>70.6024898159561</v>
      </c>
      <c r="E33" s="26" t="n">
        <f aca="false">D33-FU_V</f>
        <v>0</v>
      </c>
      <c r="F33" s="27" t="n">
        <f aca="false">IFERROR(C33/FU_N,0)</f>
        <v>0</v>
      </c>
    </row>
    <row r="35" customFormat="false" ht="15" hidden="false" customHeight="false" outlineLevel="0" collapsed="false">
      <c r="A35" s="3" t="s">
        <v>119</v>
      </c>
    </row>
    <row r="36" customFormat="false" ht="15" hidden="false" customHeight="false" outlineLevel="0" collapsed="false">
      <c r="A36" s="0" t="s">
        <v>120</v>
      </c>
      <c r="B36" s="17" t="n">
        <f aca="false">MIN(FU_PreAmt,FU_Tgt)</f>
        <v>1500</v>
      </c>
      <c r="C36" s="18"/>
    </row>
    <row r="37" customFormat="false" ht="15" hidden="false" customHeight="false" outlineLevel="0" collapsed="false">
      <c r="A37" s="0" t="s">
        <v>121</v>
      </c>
      <c r="B37" s="17" t="n">
        <f aca="false">MIN(FU_ATMsh*FU_ATMpx,FU_Tgt-FU_P1)</f>
        <v>2919.8137685766</v>
      </c>
      <c r="C37" s="18"/>
    </row>
    <row r="38" customFormat="false" ht="15" hidden="false" customHeight="false" outlineLevel="0" collapsed="false">
      <c r="A38" s="0" t="s">
        <v>122</v>
      </c>
      <c r="B38" s="17" t="n">
        <f aca="false">MIN(FU_ABSMax,FU_Tgt-FU_P1-FU_P2)</f>
        <v>5000</v>
      </c>
      <c r="C38" s="18"/>
    </row>
    <row r="39" customFormat="false" ht="15" hidden="false" customHeight="false" outlineLevel="0" collapsed="false">
      <c r="A39" s="0" t="s">
        <v>123</v>
      </c>
      <c r="B39" s="17" t="n">
        <f aca="false">MIN(FU_CVAmt,FU_Tgt-FU_P1-FU_P2-FU_P3)</f>
        <v>634.626907089873</v>
      </c>
      <c r="C39" s="18"/>
    </row>
    <row r="40" customFormat="false" ht="15" hidden="false" customHeight="false" outlineLevel="0" collapsed="false">
      <c r="A40" s="0" t="s">
        <v>124</v>
      </c>
      <c r="B40" s="17" t="n">
        <f aca="false">FU_Tgt-FU_P1-FU_P2-FU_P3-FU_P4</f>
        <v>0</v>
      </c>
      <c r="C40" s="18"/>
    </row>
    <row r="41" customFormat="false" ht="15" hidden="false" customHeight="false" outlineLevel="0" collapsed="false">
      <c r="A41" s="0" t="s">
        <v>125</v>
      </c>
      <c r="B41" s="20" t="n">
        <f aca="false">IFERROR(FU_P2/FU_ATMpx,0)+IF(FU_V&gt;FU_CVPx,FU_P4/FU_CVPx,0)</f>
        <v>12.270507</v>
      </c>
      <c r="C41" s="18"/>
    </row>
    <row r="42" customFormat="false" ht="15" hidden="false" customHeight="false" outlineLevel="0" collapsed="false">
      <c r="A42" s="0" t="s">
        <v>126</v>
      </c>
      <c r="B42" s="20" t="n">
        <f aca="false">(V_EQ+FU_P2+IF(FU_V&gt;FU_CVPx,FU_P4,0)-FU_P1*FU_PreCost)/(FU_N+FU_Sh)</f>
        <v>76.8139338822258</v>
      </c>
      <c r="C42" s="18"/>
    </row>
    <row r="43" customFormat="false" ht="15" hidden="false" customHeight="false" outlineLevel="0" collapsed="false">
      <c r="A43" s="0" t="s">
        <v>127</v>
      </c>
      <c r="B43" s="26" t="n">
        <f aca="false">FU_VC-FU_V</f>
        <v>6.21144406626975</v>
      </c>
      <c r="C43" s="18"/>
    </row>
    <row r="44" customFormat="false" ht="15" hidden="false" customHeight="false" outlineLevel="0" collapsed="false">
      <c r="A44" s="0" t="s">
        <v>128</v>
      </c>
      <c r="B44" s="27" t="n">
        <f aca="false">IFERROR(FU_Sh/FU_N,0)</f>
        <v>0.0385469109284844</v>
      </c>
      <c r="C44" s="18"/>
    </row>
    <row r="45" customFormat="false" ht="15" hidden="false" customHeight="false" outlineLevel="0" collapsed="false">
      <c r="A45" s="0" t="s">
        <v>129</v>
      </c>
      <c r="B45" s="17" t="n">
        <f aca="false">FU_P3*FU_ABSr</f>
        <v>450</v>
      </c>
      <c r="C4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18" t="s">
        <v>131</v>
      </c>
    </row>
    <row r="4" customFormat="false" ht="15" hidden="false" customHeight="false" outlineLevel="0" collapsed="false">
      <c r="A4" s="28" t="s">
        <v>132</v>
      </c>
      <c r="B4" s="28" t="s">
        <v>133</v>
      </c>
      <c r="C4" s="28" t="s">
        <v>134</v>
      </c>
      <c r="D4" s="28" t="s">
        <v>135</v>
      </c>
      <c r="E4" s="28" t="s">
        <v>136</v>
      </c>
    </row>
    <row r="5" customFormat="false" ht="15" hidden="false" customHeight="false" outlineLevel="0" collapsed="false">
      <c r="A5" s="0" t="s">
        <v>137</v>
      </c>
      <c r="B5" s="29" t="n">
        <f aca="false">MATCH(EDATE(ValDate,0),Q_End,1)</f>
        <v>11</v>
      </c>
      <c r="C5" s="29" t="n">
        <f aca="false">MATCH(EDATE(ValDate,6),Q_End,1)</f>
        <v>13</v>
      </c>
      <c r="D5" s="29" t="n">
        <f aca="false">MATCH(EDATE(ValDate,12),Q_End,1)</f>
        <v>15</v>
      </c>
      <c r="E5" s="29" t="n">
        <f aca="false">MATCH(EDATE(ValDate,36),Q_End,1)</f>
        <v>23</v>
      </c>
    </row>
    <row r="6" customFormat="false" ht="15" hidden="false" customHeight="false" outlineLevel="0" collapsed="false">
      <c r="A6" s="0" t="s">
        <v>138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139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140</v>
      </c>
      <c r="B8" s="25" t="n">
        <f aca="false">INDEX(PL_Rev,1,B$5)</f>
        <v>653.683373262198</v>
      </c>
      <c r="C8" s="25" t="n">
        <f aca="false">INDEX(PL_Rev,1,C$5)</f>
        <v>1031.83024768907</v>
      </c>
      <c r="D8" s="25" t="n">
        <f aca="false">INDEX(PL_Rev,1,D$5)</f>
        <v>2078.1607406996</v>
      </c>
      <c r="E8" s="25" t="n">
        <f aca="false">INDEX(PL_Rev,1,E$5)</f>
        <v>7930.67100095311</v>
      </c>
    </row>
    <row r="9" customFormat="false" ht="15" hidden="false" customHeight="false" outlineLevel="0" collapsed="false">
      <c r="A9" s="0" t="s">
        <v>141</v>
      </c>
      <c r="B9" s="25" t="n">
        <f aca="false">SUMPRODUCT(PL_Rev*(Q_Idx&gt;B$5-4)*(Q_Idx&lt;=B$5))</f>
        <v>1862.6833732622</v>
      </c>
      <c r="C9" s="25" t="n">
        <f aca="false">SUMPRODUCT(PL_Rev*(Q_Idx&gt;C$5-4)*(Q_Idx&lt;=C$5))</f>
        <v>3056.23858430275</v>
      </c>
      <c r="D9" s="25" t="n">
        <f aca="false">SUMPRODUCT(PL_Rev*(Q_Idx&gt;D$5-4)*(Q_Idx&lt;=D$5))</f>
        <v>5407.2921982928</v>
      </c>
      <c r="E9" s="25" t="n">
        <f aca="false">SUMPRODUCT(PL_Rev*(Q_Idx&gt;E$5-4)*(Q_Idx&lt;=E$5))</f>
        <v>27077.233610437</v>
      </c>
    </row>
    <row r="10" customFormat="false" ht="15" hidden="false" customHeight="false" outlineLevel="0" collapsed="false">
      <c r="A10" s="0" t="s">
        <v>142</v>
      </c>
      <c r="B10" s="17" t="n">
        <f aca="false">INDEX(PL_EBITDA,1,B$5)</f>
        <v>273.751676063435</v>
      </c>
      <c r="C10" s="17" t="n">
        <f aca="false">INDEX(PL_EBITDA,1,C$5)</f>
        <v>527.80278514418</v>
      </c>
      <c r="D10" s="17" t="n">
        <f aca="false">INDEX(PL_EBITDA,1,D$5)</f>
        <v>1094.10843210106</v>
      </c>
      <c r="E10" s="17" t="n">
        <f aca="false">INDEX(PL_EBITDA,1,E$5)</f>
        <v>5308.17964075296</v>
      </c>
    </row>
    <row r="11" customFormat="false" ht="15" hidden="false" customHeight="false" outlineLevel="0" collapsed="false">
      <c r="A11" s="0" t="s">
        <v>143</v>
      </c>
      <c r="B11" s="17" t="n">
        <f aca="false">SUMPRODUCT(PL_EBITDA*(Q_Idx&gt;B$5-4)*(Q_Idx&lt;=B$5))</f>
        <v>654.451676063435</v>
      </c>
      <c r="C11" s="17" t="n">
        <f aca="false">SUMPRODUCT(PL_EBITDA*(Q_Idx&gt;C$5-4)*(Q_Idx&lt;=C$5))</f>
        <v>1366.82270513536</v>
      </c>
      <c r="D11" s="17" t="n">
        <f aca="false">SUMPRODUCT(PL_EBITDA*(Q_Idx&gt;D$5-4)*(Q_Idx&lt;=D$5))</f>
        <v>2730.26009649229</v>
      </c>
      <c r="E11" s="17" t="n">
        <f aca="false">SUMPRODUCT(PL_EBITDA*(Q_Idx&gt;E$5-4)*(Q_Idx&lt;=E$5))</f>
        <v>17837.489476776</v>
      </c>
    </row>
    <row r="12" customFormat="false" ht="15" hidden="false" customHeight="false" outlineLevel="0" collapsed="false">
      <c r="A12" s="0" t="s">
        <v>144</v>
      </c>
      <c r="B12" s="17" t="n">
        <f aca="false">SUMPRODUCT(PL_EBIT*(Q_Idx&gt;B$5-4)*(Q_Idx&lt;=B$5))</f>
        <v>-877.882258867053</v>
      </c>
      <c r="C12" s="17" t="n">
        <f aca="false">SUMPRODUCT(PL_EBIT*(Q_Idx&gt;C$5-4)*(Q_Idx&lt;=C$5))</f>
        <v>-1088.82455197806</v>
      </c>
      <c r="D12" s="17" t="n">
        <f aca="false">SUMPRODUCT(PL_EBIT*(Q_Idx&gt;D$5-4)*(Q_Idx&lt;=D$5))</f>
        <v>-1150.69261000259</v>
      </c>
      <c r="E12" s="17" t="n">
        <f aca="false">SUMPRODUCT(PL_EBIT*(Q_Idx&gt;E$5-4)*(Q_Idx&lt;=E$5))</f>
        <v>4011.64860156631</v>
      </c>
    </row>
    <row r="13" customFormat="false" ht="15" hidden="false" customHeight="false" outlineLevel="0" collapsed="false">
      <c r="A13" s="0" t="s">
        <v>145</v>
      </c>
      <c r="B13" s="17" t="n">
        <f aca="false">SUMPRODUCT(CF_FCF*(Q_Idx&gt;B$5-4)*(Q_Idx&lt;=B$5))</f>
        <v>-2389.46031431848</v>
      </c>
      <c r="C13" s="17" t="n">
        <f aca="false">SUMPRODUCT(CF_FCF*(Q_Idx&gt;C$5-4)*(Q_Idx&lt;=C$5))</f>
        <v>-9536.41806314664</v>
      </c>
      <c r="D13" s="17" t="n">
        <f aca="false">SUMPRODUCT(CF_FCF*(Q_Idx&gt;D$5-4)*(Q_Idx&lt;=D$5))</f>
        <v>-17500.6400055967</v>
      </c>
      <c r="E13" s="17" t="n">
        <f aca="false">SUMPRODUCT(CF_FCF*(Q_Idx&gt;E$5-4)*(Q_Idx&lt;=E$5))</f>
        <v>-12798.4562244259</v>
      </c>
    </row>
    <row r="14" customFormat="false" ht="15" hidden="false" customHeight="false" outlineLevel="0" collapsed="false">
      <c r="A14" s="0" t="s">
        <v>146</v>
      </c>
      <c r="B14" s="17" t="n">
        <f aca="false">INDEX(CF_NetDebt,1,B$5)</f>
        <v>2101.53806791523</v>
      </c>
      <c r="C14" s="17" t="n">
        <f aca="false">INDEX(CF_NetDebt,1,C$5)</f>
        <v>9453.40867590111</v>
      </c>
      <c r="D14" s="17" t="n">
        <f aca="false">INDEX(CF_NetDebt,1,D$5)</f>
        <v>16316.6295267003</v>
      </c>
      <c r="E14" s="17" t="n">
        <f aca="false">INDEX(CF_NetDebt,1,E$5)</f>
        <v>29154.1494165323</v>
      </c>
    </row>
    <row r="15" customFormat="false" ht="15" hidden="false" customHeight="false" outlineLevel="0" collapsed="false">
      <c r="A15" s="0" t="s">
        <v>147</v>
      </c>
      <c r="B15" s="21" t="n">
        <f aca="false">INDEX(Sh_Dil,1,B$5)</f>
        <v>318.3265975</v>
      </c>
      <c r="C15" s="21" t="n">
        <f aca="false">INDEX(Sh_Dil,1,C$5)</f>
        <v>318.3265975</v>
      </c>
      <c r="D15" s="21" t="n">
        <f aca="false">INDEX(Sh_Dil,1,D$5)</f>
        <v>334.02127608479</v>
      </c>
      <c r="E15" s="21" t="n">
        <f aca="false">INDEX(Sh_Dil,1,E$5)</f>
        <v>385.032655177218</v>
      </c>
    </row>
    <row r="16" customFormat="false" ht="15" hidden="false" customHeight="false" outlineLevel="0" collapsed="false">
      <c r="A16" s="0" t="s">
        <v>148</v>
      </c>
      <c r="B16" s="25" t="n">
        <f aca="false">INDEX(MW_Act,1,B$5)</f>
        <v>173</v>
      </c>
      <c r="C16" s="25" t="n">
        <f aca="false">INDEX(MW_Act,1,C$5)</f>
        <v>292.4</v>
      </c>
      <c r="D16" s="25" t="n">
        <f aca="false">INDEX(MW_Act,1,D$5)</f>
        <v>545.1</v>
      </c>
      <c r="E16" s="25" t="n">
        <f aca="false">INDEX(MW_Act,1,E$5)</f>
        <v>1875</v>
      </c>
    </row>
    <row r="17" customFormat="false" ht="15" hidden="false" customHeight="false" outlineLevel="0" collapsed="false">
      <c r="A17" s="0" t="s">
        <v>149</v>
      </c>
      <c r="B17" s="25" t="n">
        <f aca="false">INDEX(MW_En,1,B$5)</f>
        <v>207.5</v>
      </c>
      <c r="C17" s="25" t="n">
        <f aca="false">INDEX(MW_En,1,C$5)</f>
        <v>416.4</v>
      </c>
      <c r="D17" s="25" t="n">
        <f aca="false">INDEX(MW_En,1,D$5)</f>
        <v>684.5</v>
      </c>
      <c r="E17" s="25" t="n">
        <f aca="false">INDEX(MW_En,1,E$5)</f>
        <v>1875</v>
      </c>
    </row>
    <row r="18" customFormat="false" ht="15" hidden="false" customHeight="false" outlineLevel="0" collapsed="false">
      <c r="A18" s="0" t="s">
        <v>150</v>
      </c>
      <c r="B18" s="20" t="n">
        <f aca="false">V_PS*(1+Ke)^(B$7/12)</f>
        <v>70.6024898159561</v>
      </c>
      <c r="C18" s="20" t="n">
        <f aca="false">V_PS*(1+Ke)^(C$7/12)</f>
        <v>75.0514761485726</v>
      </c>
      <c r="D18" s="20" t="n">
        <f aca="false">V_PS*(1+Ke)^(D$7/12)</f>
        <v>79.7808134920304</v>
      </c>
      <c r="E18" s="20" t="n">
        <f aca="false">V_PS*(1+Ke)^(E$7/12)</f>
        <v>101.872120747974</v>
      </c>
    </row>
    <row r="19" customFormat="false" ht="15" hidden="false" customHeight="false" outlineLevel="0" collapsed="false">
      <c r="A19" s="0" t="s">
        <v>151</v>
      </c>
      <c r="B19" s="20" t="n">
        <f aca="false">V_PSB*(1+Ke)^(B$7/12)</f>
        <v>72.2041030748048</v>
      </c>
      <c r="C19" s="20" t="n">
        <f aca="false">V_PSB*(1+Ke)^(C$7/12)</f>
        <v>76.7540143962897</v>
      </c>
      <c r="D19" s="20" t="n">
        <f aca="false">V_PSB*(1+Ke)^(D$7/12)</f>
        <v>81.5906364745294</v>
      </c>
      <c r="E19" s="20" t="n">
        <f aca="false">V_PSB*(1+Ke)^(E$7/12)</f>
        <v>104.183083714327</v>
      </c>
    </row>
    <row r="21" customFormat="false" ht="15" hidden="false" customHeight="false" outlineLevel="0" collapsed="false">
      <c r="A21" s="3" t="s">
        <v>152</v>
      </c>
    </row>
    <row r="22" customFormat="false" ht="15" hidden="false" customHeight="false" outlineLevel="0" collapsed="false">
      <c r="A22" s="0" t="s">
        <v>6</v>
      </c>
      <c r="B22" s="5" t="n">
        <f aca="false">V_EV</f>
        <v>31798.1884260569</v>
      </c>
    </row>
    <row r="23" customFormat="false" ht="15" hidden="false" customHeight="false" outlineLevel="0" collapsed="false">
      <c r="A23" s="0" t="s">
        <v>153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154</v>
      </c>
      <c r="B24" s="6" t="n">
        <f aca="false">V_PS</f>
        <v>70.6024898159561</v>
      </c>
    </row>
    <row r="25" customFormat="false" ht="15" hidden="false" customHeight="false" outlineLevel="0" collapsed="false">
      <c r="A25" s="0" t="s">
        <v>8</v>
      </c>
      <c r="B25" s="6" t="n">
        <f aca="false">V_PT</f>
        <v>79.7808134920304</v>
      </c>
    </row>
    <row r="26" customFormat="false" ht="15" hidden="false" customHeight="false" outlineLevel="0" collapsed="false">
      <c r="A26" s="0" t="s">
        <v>155</v>
      </c>
      <c r="B26" s="30" t="n">
        <f aca="false">V_UP</f>
        <v>-0.671426986153658</v>
      </c>
    </row>
    <row r="27" customFormat="false" ht="15" hidden="false" customHeight="false" outlineLevel="0" collapsed="false">
      <c r="A27" s="0" t="s">
        <v>156</v>
      </c>
      <c r="B27" s="6" t="n">
        <f aca="false">SharePx</f>
        <v>242.81</v>
      </c>
    </row>
    <row r="28" customFormat="false" ht="15" hidden="false" customHeight="false" outlineLevel="0" collapsed="false">
      <c r="A28" s="0" t="s">
        <v>157</v>
      </c>
      <c r="B28" s="30" t="n">
        <f aca="false">OffBSWt</f>
        <v>0.5</v>
      </c>
    </row>
    <row r="29" customFormat="false" ht="15" hidden="false" customHeight="false" outlineLevel="0" collapsed="false">
      <c r="A29" s="0" t="s">
        <v>5</v>
      </c>
      <c r="B29" s="4" t="str">
        <f aca="false">CHOOSE(Scen,"BULL","BASE","BEAR")</f>
        <v>BASE</v>
      </c>
    </row>
    <row r="32" customFormat="false" ht="15" hidden="false" customHeight="false" outlineLevel="0" collapsed="false">
      <c r="A32" s="3" t="s">
        <v>158</v>
      </c>
      <c r="B32" s="3" t="s">
        <v>159</v>
      </c>
      <c r="C32" s="3" t="s">
        <v>160</v>
      </c>
      <c r="D32" s="3" t="s">
        <v>161</v>
      </c>
    </row>
    <row r="33" customFormat="false" ht="15" hidden="false" customHeight="false" outlineLevel="0" collapsed="false">
      <c r="A33" s="0" t="s">
        <v>162</v>
      </c>
      <c r="B33" s="25" t="n">
        <f aca="false">SUMIF(Q_Yr,2026,PL_Rev)</f>
        <v>2423.40833661368</v>
      </c>
      <c r="C33" s="25" t="n">
        <f aca="false">SUMIF(Q_Yr,2027,PL_Rev)</f>
        <v>7320.29311172376</v>
      </c>
      <c r="D33" s="25" t="n">
        <f aca="false">SUMIF(Q_Yr,2028,PL_Rev)</f>
        <v>19024.8843100935</v>
      </c>
    </row>
    <row r="34" customFormat="false" ht="15" hidden="false" customHeight="false" outlineLevel="0" collapsed="false">
      <c r="A34" s="0" t="s">
        <v>163</v>
      </c>
      <c r="B34" s="25" t="n">
        <f aca="false">INDEX(Cons_Rev,1,3)</f>
        <v>3340</v>
      </c>
      <c r="C34" s="25" t="n">
        <f aca="false">INDEX(Cons_Rev,1,4)</f>
        <v>12300</v>
      </c>
      <c r="D34" s="25" t="n">
        <f aca="false">INDEX(Cons_Rev,1,5)</f>
        <v>23000</v>
      </c>
    </row>
    <row r="35" customFormat="false" ht="15" hidden="false" customHeight="false" outlineLevel="0" collapsed="false">
      <c r="A35" s="0" t="s">
        <v>164</v>
      </c>
      <c r="B35" s="31" t="n">
        <f aca="false">IF(N(B34)=0,"n/a",B33/B34-1)</f>
        <v>-0.274428641732431</v>
      </c>
      <c r="C35" s="31" t="n">
        <f aca="false">IF(N(C34)=0,"n/a",C33/C34-1)</f>
        <v>-0.404854218559044</v>
      </c>
      <c r="D35" s="31" t="n">
        <f aca="false">IF(N(D34)=0,"n/a",D33/D34-1)</f>
        <v>-0.172831116952457</v>
      </c>
    </row>
    <row r="36" customFormat="false" ht="15" hidden="false" customHeight="false" outlineLevel="0" collapsed="false">
      <c r="A36" s="0" t="s">
        <v>165</v>
      </c>
      <c r="B36" s="25" t="n">
        <f aca="false">SUMIF(Q_Yr,2026,PL_EBITDA)</f>
        <v>968.519919991184</v>
      </c>
      <c r="C36" s="25" t="n">
        <f aca="false">SUMIF(Q_Yr,2027,PL_EBITDA)</f>
        <v>3864.96134836955</v>
      </c>
      <c r="D36" s="25" t="n">
        <f aca="false">SUMIF(Q_Yr,2028,PL_EBITDA)</f>
        <v>11759.9321594194</v>
      </c>
    </row>
    <row r="37" customFormat="false" ht="15" hidden="false" customHeight="false" outlineLevel="0" collapsed="false">
      <c r="A37" s="0" t="s">
        <v>166</v>
      </c>
      <c r="B37" s="25" t="n">
        <f aca="false">INDEX(Cons_EB,1,3)</f>
        <v>1390</v>
      </c>
      <c r="C37" s="25" t="n">
        <f aca="false">INDEX(Cons_EB,1,4)</f>
        <v>6730</v>
      </c>
      <c r="D37" s="25" t="n">
        <f aca="false">INDEX(Cons_EB,1,5)</f>
        <v>13980</v>
      </c>
    </row>
    <row r="38" customFormat="false" ht="15" hidden="false" customHeight="false" outlineLevel="0" collapsed="false">
      <c r="A38" s="0" t="s">
        <v>167</v>
      </c>
      <c r="B38" s="31" t="n">
        <f aca="false">IF(N(B37)=0,"n/a",B36/B37-1)</f>
        <v>-0.303223079143033</v>
      </c>
      <c r="C38" s="31" t="n">
        <f aca="false">IF(N(C37)=0,"n/a",C36/C37-1)</f>
        <v>-0.42571153813231</v>
      </c>
      <c r="D38" s="31" t="n">
        <f aca="false">IF(N(D37)=0,"n/a",D36/D37-1)</f>
        <v>-0.158803135949972</v>
      </c>
    </row>
    <row r="39" customFormat="false" ht="15" hidden="false" customHeight="false" outlineLevel="0" collapsed="false">
      <c r="A39" s="0" t="s">
        <v>168</v>
      </c>
      <c r="B39" s="25" t="n">
        <f aca="false">SUMIF(Q_Yr,2026,Capex)</f>
        <v>16720.3421667323</v>
      </c>
      <c r="C39" s="25" t="n">
        <f aca="false">SUMIF(Q_Yr,2027,Capex)</f>
        <v>27433.2058622345</v>
      </c>
      <c r="D39" s="25" t="n">
        <f aca="false">SUMIF(Q_Yr,2028,Capex)</f>
        <v>23663.8976862019</v>
      </c>
    </row>
    <row r="40" customFormat="false" ht="15" hidden="false" customHeight="false" outlineLevel="0" collapsed="false">
      <c r="A40" s="0" t="s">
        <v>169</v>
      </c>
      <c r="B40" s="25" t="n">
        <f aca="false">INDEX(Cons_Cx,1,3)</f>
        <v>0</v>
      </c>
      <c r="C40" s="25" t="n">
        <f aca="false">INDEX(Cons_Cx,1,4)</f>
        <v>29100</v>
      </c>
      <c r="D40" s="25" t="n">
        <f aca="false">INDEX(Cons_Cx,1,5)</f>
        <v>0</v>
      </c>
    </row>
    <row r="41" customFormat="false" ht="15" hidden="false" customHeight="false" outlineLevel="0" collapsed="false">
      <c r="A41" s="0" t="s">
        <v>170</v>
      </c>
      <c r="B41" s="31" t="str">
        <f aca="false">IF(N(B40)=0,"n/a",B39/B40-1)</f>
        <v>n/a</v>
      </c>
      <c r="C41" s="31" t="n">
        <f aca="false">IF(N(C40)=0,"n/a",C39/C40-1)</f>
        <v>-0.0572781490641074</v>
      </c>
      <c r="D41" s="31" t="str">
        <f aca="false">IF(N(D40)=0,"n/a",D39/D40-1)</f>
        <v>n/a</v>
      </c>
    </row>
    <row r="43" customFormat="false" ht="15" hidden="false" customHeight="false" outlineLevel="0" collapsed="false">
      <c r="A43" s="3" t="s">
        <v>171</v>
      </c>
      <c r="B43" s="3" t="s">
        <v>172</v>
      </c>
      <c r="C43" s="3" t="s">
        <v>50</v>
      </c>
    </row>
    <row r="44" customFormat="false" ht="15" hidden="false" customHeight="false" outlineLevel="0" collapsed="false">
      <c r="A44" s="0" t="s">
        <v>173</v>
      </c>
      <c r="B44" s="25" t="n">
        <f aca="false">INDEX(MW_En,1,12)</f>
        <v>292.4</v>
      </c>
      <c r="C44" s="25" t="n">
        <f aca="false">INDEX(MW_En,1,16)</f>
        <v>950</v>
      </c>
    </row>
    <row r="45" customFormat="false" ht="15" hidden="false" customHeight="false" outlineLevel="0" collapsed="false">
      <c r="A45" s="0" t="s">
        <v>174</v>
      </c>
      <c r="B45" s="25" t="n">
        <f aca="false">INDEX(MW_Gd,1,12)</f>
        <v>900</v>
      </c>
      <c r="C45" s="25" t="n">
        <f aca="false">INDEX(MW_Gd,1,16)</f>
        <v>1800</v>
      </c>
    </row>
    <row r="46" customFormat="false" ht="15" hidden="false" customHeight="false" outlineLevel="0" collapsed="false">
      <c r="A46" s="0" t="s">
        <v>175</v>
      </c>
      <c r="B46" s="25" t="n">
        <f aca="false">INDEX(MW_Contr,1,12)</f>
        <v>4000</v>
      </c>
      <c r="C46" s="25" t="n">
        <f aca="false">INDEX(MW_Contr,1,16)</f>
        <v>4000</v>
      </c>
    </row>
    <row r="47" customFormat="false" ht="15" hidden="false" customHeight="false" outlineLevel="0" collapsed="false">
      <c r="A47" s="0" t="s">
        <v>176</v>
      </c>
      <c r="B47" s="25" t="n">
        <f aca="false">INDEX(MW_Act,1,12)</f>
        <v>207.5</v>
      </c>
      <c r="C47" s="25" t="n">
        <f aca="false">INDEX(MW_Act,1,16)</f>
        <v>684.5</v>
      </c>
    </row>
    <row r="50" customFormat="false" ht="15" hidden="false" customHeight="false" outlineLevel="0" collapsed="false">
      <c r="A50" s="3" t="s">
        <v>177</v>
      </c>
    </row>
    <row r="51" customFormat="false" ht="15" hidden="false" customHeight="false" outlineLevel="0" collapsed="false">
      <c r="B51" s="3" t="s">
        <v>178</v>
      </c>
      <c r="C51" s="3" t="s">
        <v>179</v>
      </c>
      <c r="D51" s="3" t="s">
        <v>180</v>
      </c>
    </row>
    <row r="52" customFormat="false" ht="15" hidden="false" customHeight="false" outlineLevel="0" collapsed="false">
      <c r="A52" s="0" t="s">
        <v>181</v>
      </c>
      <c r="B52" s="32" t="n">
        <v>3820.7257686822</v>
      </c>
      <c r="C52" s="25" t="n">
        <f aca="false">Sk_Rev27Lo</f>
        <v>7000</v>
      </c>
      <c r="D52" s="31" t="n">
        <f aca="false">IFERROR(B52/C52-1,"")</f>
        <v>-0.4541820330454</v>
      </c>
    </row>
    <row r="53" customFormat="false" ht="15" hidden="false" customHeight="false" outlineLevel="0" collapsed="false">
      <c r="A53" s="0" t="s">
        <v>182</v>
      </c>
      <c r="B53" s="25" t="n">
        <f aca="false">SUMIF(Q_Yr,2027,PL_Rev)</f>
        <v>7320.29311172376</v>
      </c>
      <c r="C53" s="25" t="n">
        <f aca="false">Sk_Rev27Base</f>
        <v>9900</v>
      </c>
      <c r="D53" s="31" t="n">
        <f aca="false">IFERROR(B53/C53-1,"")</f>
        <v>-0.260576453361237</v>
      </c>
    </row>
    <row r="54" customFormat="false" ht="15" hidden="false" customHeight="false" outlineLevel="0" collapsed="false">
      <c r="A54" s="0" t="s">
        <v>183</v>
      </c>
      <c r="B54" s="32" t="n">
        <v>12677.5587647405</v>
      </c>
      <c r="C54" s="25" t="n">
        <f aca="false">Sk_Rev27Hi</f>
        <v>12900</v>
      </c>
      <c r="D54" s="31" t="n">
        <f aca="false">IFERROR(B54/C54-1,"")</f>
        <v>-0.0172435066092637</v>
      </c>
    </row>
    <row r="55" customFormat="false" ht="15" hidden="false" customHeight="false" outlineLevel="0" collapsed="false">
      <c r="A55" s="0" t="s">
        <v>184</v>
      </c>
      <c r="B55" s="32" t="n">
        <v>6081.70915041154</v>
      </c>
      <c r="C55" s="25" t="n">
        <f aca="false">Sk_Rev27St</f>
        <v>7600</v>
      </c>
      <c r="D55" s="31" t="n">
        <f aca="false">IFERROR(B55/C55-1,"")</f>
        <v>-0.199775111787955</v>
      </c>
    </row>
    <row r="56" customFormat="false" ht="15" hidden="false" customHeight="false" outlineLevel="0" collapsed="false">
      <c r="A56" s="0" t="s">
        <v>185</v>
      </c>
      <c r="B56" s="25" t="n">
        <f aca="false">SUMIF(Q_Yr,2028,PL_Rev)</f>
        <v>19024.8843100935</v>
      </c>
      <c r="C56" s="25" t="n">
        <f aca="false">Sk_Rev28</f>
        <v>25300</v>
      </c>
      <c r="D56" s="31" t="n">
        <f aca="false">IFERROR(B56/C56-1,"")</f>
        <v>-0.248028288138598</v>
      </c>
    </row>
    <row r="57" customFormat="false" ht="15" hidden="false" customHeight="false" outlineLevel="0" collapsed="false">
      <c r="A57" s="0" t="s">
        <v>186</v>
      </c>
      <c r="B57" s="33" t="n">
        <f aca="false">V_EVEB27</f>
        <v>19.3157737350966</v>
      </c>
      <c r="C57" s="33" t="n">
        <f aca="false">Sk_EVEB27</f>
        <v>11.1</v>
      </c>
      <c r="D57" s="31" t="n">
        <f aca="false">IFERROR(B57/C57-1,"")</f>
        <v>0.740159795954645</v>
      </c>
    </row>
    <row r="58" customFormat="false" ht="15" hidden="false" customHeight="false" outlineLevel="0" collapsed="false">
      <c r="A58" s="0" t="s">
        <v>187</v>
      </c>
      <c r="B58" s="33" t="n">
        <f aca="false">CRWV_EVEB27</f>
        <v>4.8</v>
      </c>
      <c r="C58" s="33" t="n">
        <f aca="false">CRWV_EVEB27</f>
        <v>4.8</v>
      </c>
      <c r="D58" s="31" t="n">
        <f aca="false">IFERROR(B58/C58-1,"")</f>
        <v>0</v>
      </c>
    </row>
    <row r="60" customFormat="false" ht="15" hidden="false" customHeight="false" outlineLevel="0" collapsed="false">
      <c r="A60" s="3" t="s">
        <v>188</v>
      </c>
    </row>
    <row r="61" customFormat="false" ht="15" hidden="false" customHeight="false" outlineLevel="0" collapsed="false">
      <c r="A61" s="0" t="s">
        <v>189</v>
      </c>
      <c r="B61" s="25" t="n">
        <f aca="false">Liq_Start</f>
        <v>14567.1</v>
      </c>
    </row>
    <row r="62" customFormat="false" ht="15" hidden="false" customHeight="false" outlineLevel="0" collapsed="false">
      <c r="A62" s="0" t="s">
        <v>190</v>
      </c>
      <c r="B62" s="34" t="str">
        <f aca="false">Liq_NegQ</f>
        <v>Q3'27</v>
      </c>
    </row>
    <row r="63" customFormat="false" ht="15" hidden="false" customHeight="false" outlineLevel="0" collapsed="false">
      <c r="A63" s="0" t="s">
        <v>191</v>
      </c>
      <c r="B63" s="35" t="n">
        <f aca="false">INDEX(Liq,1,13)/1000</f>
        <v>5.03068193685336</v>
      </c>
      <c r="C63" s="35" t="n">
        <f aca="false">INDEX(Liq,1,14)/1000</f>
        <v>0.856996591253117</v>
      </c>
      <c r="D63" s="35" t="n">
        <f aca="false">INDEX(Liq,1,16)/1000</f>
        <v>-8.05444067566647</v>
      </c>
    </row>
    <row r="65" customFormat="false" ht="15" hidden="false" customHeight="false" outlineLevel="0" collapsed="false">
      <c r="A65" s="8" t="s">
        <v>192</v>
      </c>
    </row>
    <row r="66" customFormat="false" ht="15" hidden="false" customHeight="false" outlineLevel="0" collapsed="false">
      <c r="B66" s="8" t="s">
        <v>193</v>
      </c>
      <c r="C66" s="8" t="s">
        <v>194</v>
      </c>
    </row>
    <row r="67" customFormat="false" ht="15" hidden="false" customHeight="false" outlineLevel="0" collapsed="false">
      <c r="A67" s="0" t="s">
        <v>9</v>
      </c>
      <c r="B67" s="0" t="s">
        <v>60</v>
      </c>
      <c r="C67" s="0" t="s">
        <v>58</v>
      </c>
    </row>
    <row r="68" customFormat="false" ht="15" hidden="false" customHeight="false" outlineLevel="0" collapsed="false">
      <c r="A68" s="0" t="s">
        <v>195</v>
      </c>
      <c r="B68" s="14" t="n">
        <v>-8054.44067566647</v>
      </c>
      <c r="C68" s="14" t="n">
        <v>-9733.19749313865</v>
      </c>
    </row>
    <row r="69" customFormat="false" ht="15" hidden="false" customHeight="false" outlineLevel="0" collapsed="false">
      <c r="A69" s="0" t="s">
        <v>196</v>
      </c>
      <c r="B69" s="32" t="n">
        <v>27433.2058622345</v>
      </c>
      <c r="C69" s="32" t="n">
        <v>29100</v>
      </c>
    </row>
    <row r="71" customFormat="false" ht="15" hidden="false" customHeight="false" outlineLevel="0" collapsed="false">
      <c r="A71" s="8" t="s">
        <v>197</v>
      </c>
    </row>
    <row r="72" customFormat="false" ht="15" hidden="false" customHeight="false" outlineLevel="0" collapsed="false">
      <c r="B72" s="8" t="s">
        <v>198</v>
      </c>
      <c r="C72" s="8" t="s">
        <v>199</v>
      </c>
      <c r="D72" s="8" t="s">
        <v>200</v>
      </c>
      <c r="E72" s="8" t="s">
        <v>201</v>
      </c>
      <c r="F72" s="8" t="s">
        <v>202</v>
      </c>
      <c r="G72" s="8" t="s">
        <v>203</v>
      </c>
    </row>
    <row r="73" customFormat="false" ht="15" hidden="false" customHeight="false" outlineLevel="0" collapsed="false">
      <c r="A73" s="0" t="s">
        <v>204</v>
      </c>
      <c r="B73" s="14" t="n">
        <v>382.919711959769</v>
      </c>
      <c r="C73" s="14" t="n">
        <v>271.87299549144</v>
      </c>
      <c r="D73" s="14" t="n">
        <v>1588.1019705292</v>
      </c>
      <c r="E73" s="14" t="n">
        <v>1206.9574976022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205</v>
      </c>
      <c r="B74" s="14" t="n">
        <v>0</v>
      </c>
      <c r="C74" s="14" t="n">
        <v>0</v>
      </c>
      <c r="D74" s="14" t="n">
        <v>0</v>
      </c>
      <c r="E74" s="1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206</v>
      </c>
      <c r="B75" s="14" t="n">
        <v>-218.811263977021</v>
      </c>
      <c r="C75" s="14" t="n">
        <v>-155.35599742368</v>
      </c>
      <c r="D75" s="14" t="n">
        <v>-907.486840302401</v>
      </c>
      <c r="E75" s="14" t="n">
        <v>-689.689998629801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8" t="s">
        <v>207</v>
      </c>
    </row>
    <row r="79" customFormat="false" ht="15" hidden="false" customHeight="false" outlineLevel="0" collapsed="false">
      <c r="B79" s="8" t="s">
        <v>208</v>
      </c>
      <c r="C79" s="8" t="s">
        <v>209</v>
      </c>
      <c r="D79" s="8" t="s">
        <v>210</v>
      </c>
      <c r="E79" s="8" t="s">
        <v>211</v>
      </c>
      <c r="F79" s="8" t="s">
        <v>212</v>
      </c>
      <c r="G79" s="8" t="s">
        <v>213</v>
      </c>
    </row>
    <row r="80" customFormat="false" ht="15" hidden="false" customHeight="false" outlineLevel="0" collapsed="false">
      <c r="A80" s="0" t="s">
        <v>214</v>
      </c>
      <c r="B80" s="0" t="s">
        <v>60</v>
      </c>
      <c r="C80" s="0" t="str">
        <f aca="false">Sk3_ZeroQ</f>
        <v>Q4'27</v>
      </c>
      <c r="D80" s="16" t="n">
        <v>-8.05444067566647</v>
      </c>
      <c r="E80" s="16" t="n">
        <f aca="false">Sk3_YE27</f>
        <v>-0.15</v>
      </c>
      <c r="F80" s="16" t="n">
        <v>-16.9519447612643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215</v>
      </c>
      <c r="B81" s="0" t="s">
        <v>50</v>
      </c>
      <c r="C81" s="0" t="str">
        <f aca="false">Sk3L_ZeroQ</f>
        <v>never thru 2030</v>
      </c>
      <c r="D81" s="16" t="n">
        <v>-1.51928105992782</v>
      </c>
      <c r="E81" s="16" t="n">
        <f aca="false">Sk3L_YE27</f>
        <v>7.1</v>
      </c>
      <c r="F81" s="16" t="n">
        <v>-14.7405468478524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216</v>
      </c>
      <c r="B82" s="0" t="s">
        <v>58</v>
      </c>
      <c r="C82" s="0" t="str">
        <f aca="false">Sk3H_ZeroQ</f>
        <v>Q3'27</v>
      </c>
      <c r="D82" s="16" t="n">
        <v>-11.2084743725167</v>
      </c>
      <c r="E82" s="16" t="n">
        <f aca="false">Sk3H_YE27</f>
        <v>-7.4</v>
      </c>
      <c r="F82" s="16" t="n">
        <v>-13.4951942973088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217</v>
      </c>
      <c r="B83" s="0" t="s">
        <v>58</v>
      </c>
      <c r="C83" s="0" t="str">
        <f aca="false">Sk3C_ZeroQ</f>
        <v>Q2'27</v>
      </c>
      <c r="D83" s="16" t="n">
        <v>-9.73319749313865</v>
      </c>
      <c r="E83" s="16" t="n">
        <f aca="false">Sk3C_YE27</f>
        <v>-9.9</v>
      </c>
      <c r="F83" s="16" t="n">
        <v>-18.5547285403586</v>
      </c>
    </row>
    <row r="85" customFormat="false" ht="15" hidden="false" customHeight="false" outlineLevel="0" collapsed="false">
      <c r="A85" s="8" t="s">
        <v>218</v>
      </c>
    </row>
    <row r="86" customFormat="false" ht="15" hidden="false" customHeight="false" outlineLevel="0" collapsed="false">
      <c r="B86" s="8" t="s">
        <v>219</v>
      </c>
      <c r="C86" s="8" t="s">
        <v>220</v>
      </c>
      <c r="D86" s="8" t="s">
        <v>221</v>
      </c>
    </row>
    <row r="87" customFormat="false" ht="15" hidden="false" customHeight="false" outlineLevel="0" collapsed="false">
      <c r="A87" s="0" t="s">
        <v>222</v>
      </c>
      <c r="B87" s="16" t="n">
        <v>8.98328375712344</v>
      </c>
      <c r="C87" s="16" t="n">
        <v>31.7981884260569</v>
      </c>
      <c r="D87" s="16" t="n">
        <v>45.4710870918921</v>
      </c>
    </row>
    <row r="88" customFormat="false" ht="15" hidden="false" customHeight="false" outlineLevel="0" collapsed="false">
      <c r="A88" s="0" t="s">
        <v>223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224</v>
      </c>
      <c r="B89" s="16" t="n">
        <f aca="false">V_MKTEV/1000</f>
        <v>74.6547189</v>
      </c>
    </row>
    <row r="91" customFormat="false" ht="15" hidden="false" customHeight="false" outlineLevel="0" collapsed="false">
      <c r="A91" s="8" t="s">
        <v>225</v>
      </c>
    </row>
    <row r="92" customFormat="false" ht="15" hidden="false" customHeight="false" outlineLevel="0" collapsed="false">
      <c r="B92" s="8" t="s">
        <v>226</v>
      </c>
      <c r="C92" s="8" t="s">
        <v>227</v>
      </c>
      <c r="D92" s="8" t="s">
        <v>40</v>
      </c>
      <c r="E92" s="8" t="s">
        <v>228</v>
      </c>
      <c r="F92" s="8" t="s">
        <v>229</v>
      </c>
      <c r="G92" s="8" t="s">
        <v>230</v>
      </c>
      <c r="H92" s="8" t="s">
        <v>231</v>
      </c>
    </row>
    <row r="93" customFormat="false" ht="15" hidden="false" customHeight="false" outlineLevel="0" collapsed="false">
      <c r="A93" s="0" t="s">
        <v>232</v>
      </c>
      <c r="B93" s="14" t="n">
        <v>94115.9266440129</v>
      </c>
      <c r="C93" s="14" t="n">
        <v>91653.0746645425</v>
      </c>
      <c r="D93" s="15" t="n">
        <v>248.19386831554</v>
      </c>
      <c r="E93" s="15" t="n">
        <v>280.459071196561</v>
      </c>
      <c r="F93" s="36" t="n">
        <v>0.953955874711187</v>
      </c>
      <c r="G93" s="14" t="n">
        <v>8517.51527302704</v>
      </c>
      <c r="H93" s="14" t="n">
        <v>4713.07502039488</v>
      </c>
    </row>
    <row r="94" customFormat="false" ht="15" hidden="false" customHeight="false" outlineLevel="0" collapsed="false">
      <c r="A94" s="0" t="s">
        <v>73</v>
      </c>
      <c r="B94" s="14" t="n">
        <v>31798.1884260569</v>
      </c>
      <c r="C94" s="14" t="n">
        <v>22474.6503581417</v>
      </c>
      <c r="D94" s="15" t="n">
        <v>70.6024898159561</v>
      </c>
      <c r="E94" s="15" t="n">
        <v>79.7808134920304</v>
      </c>
      <c r="F94" s="36" t="n">
        <v>0.82509878873241</v>
      </c>
      <c r="G94" s="14" t="n">
        <v>7320.29311172376</v>
      </c>
      <c r="H94" s="14" t="n">
        <v>3864.96134836955</v>
      </c>
    </row>
    <row r="95" customFormat="false" ht="15" hidden="false" customHeight="false" outlineLevel="0" collapsed="false">
      <c r="A95" s="0" t="s">
        <v>233</v>
      </c>
      <c r="B95" s="14" t="n">
        <v>363040.190840581</v>
      </c>
      <c r="C95" s="14" t="n">
        <v>367055.271050532</v>
      </c>
      <c r="D95" s="15" t="n">
        <v>943.235421476247</v>
      </c>
      <c r="E95" s="15" t="n">
        <v>1056.4236720534</v>
      </c>
      <c r="F95" s="36" t="n">
        <v>0.953955874711187</v>
      </c>
      <c r="G95" s="14" t="n">
        <v>14376.3903039499</v>
      </c>
      <c r="H95" s="14" t="n">
        <v>8852.26722942071</v>
      </c>
    </row>
    <row r="96" customFormat="false" ht="15" hidden="false" customHeight="false" outlineLevel="0" collapsed="false">
      <c r="A96" s="0" t="s">
        <v>74</v>
      </c>
      <c r="B96" s="14" t="n">
        <v>181982.521844904</v>
      </c>
      <c r="C96" s="14" t="n">
        <v>185934.193232433</v>
      </c>
      <c r="D96" s="15" t="n">
        <v>478.558409781268</v>
      </c>
      <c r="E96" s="15" t="n">
        <v>535.98541895502</v>
      </c>
      <c r="F96" s="36" t="n">
        <v>0.82509878873241</v>
      </c>
      <c r="G96" s="14" t="n">
        <v>12677.5587647405</v>
      </c>
      <c r="H96" s="14" t="n">
        <v>7630.35852118994</v>
      </c>
    </row>
    <row r="97" customFormat="false" ht="15" hidden="false" customHeight="false" outlineLevel="0" collapsed="false">
      <c r="A97" s="0" t="s">
        <v>234</v>
      </c>
      <c r="B97" s="14" t="n">
        <v>-21541.1860088107</v>
      </c>
      <c r="C97" s="14" t="n">
        <v>-32044.7442370016</v>
      </c>
      <c r="D97" s="15" t="n">
        <v>0.01</v>
      </c>
      <c r="E97" s="15" t="n">
        <v>0.0115</v>
      </c>
      <c r="F97" s="36" t="n">
        <v>0.953955874711187</v>
      </c>
      <c r="G97" s="14" t="n">
        <v>3424.4744413531</v>
      </c>
      <c r="H97" s="14" t="n">
        <v>1375.17060364541</v>
      </c>
    </row>
    <row r="98" customFormat="false" ht="15" hidden="false" customHeight="false" outlineLevel="0" collapsed="false">
      <c r="A98" s="0" t="s">
        <v>75</v>
      </c>
      <c r="B98" s="14" t="n">
        <v>-10317.8942507918</v>
      </c>
      <c r="C98" s="14" t="n">
        <v>-19136.3606191985</v>
      </c>
      <c r="D98" s="15" t="n">
        <v>0.01</v>
      </c>
      <c r="E98" s="15" t="n">
        <v>0.0115</v>
      </c>
      <c r="F98" s="36" t="n">
        <v>0.82509878873241</v>
      </c>
      <c r="G98" s="14" t="n">
        <v>3820.7257686822</v>
      </c>
      <c r="H98" s="14" t="n">
        <v>1648.58401950248</v>
      </c>
    </row>
    <row r="99" customFormat="false" ht="15" hidden="false" customHeight="false" outlineLevel="0" collapsed="false">
      <c r="A99" s="0" t="s">
        <v>235</v>
      </c>
      <c r="B99" s="14" t="n">
        <v>40285.6557125299</v>
      </c>
      <c r="C99" s="14" t="n">
        <v>30962.1176446147</v>
      </c>
      <c r="D99" s="15" t="n">
        <v>97.0866087914474</v>
      </c>
      <c r="E99" s="15" t="n">
        <v>109.707867934336</v>
      </c>
      <c r="F99" s="36" t="n">
        <v>0.82509878873241</v>
      </c>
      <c r="G99" s="14" t="n">
        <v>7320.29311172376</v>
      </c>
      <c r="H99" s="14" t="n">
        <v>3864.96134836955</v>
      </c>
    </row>
    <row r="100" customFormat="false" ht="15" hidden="false" customHeight="false" outlineLevel="0" collapsed="false">
      <c r="A100" s="0" t="s">
        <v>236</v>
      </c>
      <c r="B100" s="14" t="n">
        <v>89346.1279735822</v>
      </c>
      <c r="C100" s="14" t="n">
        <v>78035.6691835303</v>
      </c>
      <c r="D100" s="15" t="n">
        <v>211.557190769605</v>
      </c>
      <c r="E100" s="15" t="n">
        <v>239.059625569653</v>
      </c>
      <c r="F100" s="36" t="n">
        <v>0.82509878873241</v>
      </c>
      <c r="G100" s="14" t="n">
        <v>21215.7702491402</v>
      </c>
      <c r="H100" s="14" t="n">
        <v>12225.5233456395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237</v>
      </c>
    </row>
    <row r="3" customFormat="false" ht="15" hidden="false" customHeight="false" outlineLevel="0" collapsed="false">
      <c r="A3" s="28" t="s">
        <v>238</v>
      </c>
      <c r="B3" s="28" t="s">
        <v>178</v>
      </c>
      <c r="C3" s="28" t="s">
        <v>239</v>
      </c>
      <c r="D3" s="28" t="s">
        <v>240</v>
      </c>
      <c r="E3" s="28" t="s">
        <v>241</v>
      </c>
    </row>
    <row r="4" customFormat="false" ht="15" hidden="false" customHeight="false" outlineLevel="0" collapsed="false">
      <c r="A4" s="0" t="s">
        <v>242</v>
      </c>
      <c r="B4" s="37" t="n">
        <f aca="false">IF(DilMethod=1,SUM(Valuation!$F$73:$F$80),IF(DilMethod=2,SUMPRODUCT((V_PSolve&gt;Valuation!$H$73:$H$80)*Valuation!$F$73:$F$80),0))+V_CVDEBT-SUM(Valuation!$F$73:$F$80)</f>
        <v>0</v>
      </c>
      <c r="C4" s="38" t="n">
        <v>0</v>
      </c>
      <c r="D4" s="3" t="str">
        <f aca="false">IF(ABS(B4)&lt;0.5,"OK","DOUBLE COUNT")</f>
        <v>OK</v>
      </c>
      <c r="E4" s="18" t="s">
        <v>243</v>
      </c>
    </row>
    <row r="5" customFormat="false" ht="15" hidden="false" customHeight="false" outlineLevel="0" collapsed="false">
      <c r="A5" s="0" t="s">
        <v>244</v>
      </c>
      <c r="B5" s="37" t="n">
        <f aca="false">IF(DilMethod=1,SUM(Valuation!$F$73:$F$80),IF(DilMethod=2,SUMPRODUCT((SharePx&gt;Valuation!$H$73:$H$80)*Valuation!$F$73:$F$80),0))+V_CVDmkt-SUM(Valuation!$F$73:$F$80)</f>
        <v>0</v>
      </c>
      <c r="C5" s="38" t="n">
        <v>0</v>
      </c>
      <c r="D5" s="3" t="str">
        <f aca="false">IF(ABS(B5)&lt;0.5,"OK","DOUBLE COUNT")</f>
        <v>OK</v>
      </c>
      <c r="E5" s="18"/>
    </row>
    <row r="6" customFormat="false" ht="15" hidden="false" customHeight="false" outlineLevel="0" collapsed="false">
      <c r="A6" s="0" t="s">
        <v>245</v>
      </c>
      <c r="B6" s="37" t="n">
        <f aca="false">INDEX(Sh_EconBasic,1,11)</f>
        <v>308.691154</v>
      </c>
      <c r="C6" s="38" t="n">
        <v>308.69</v>
      </c>
      <c r="D6" s="3" t="str">
        <f aca="false">IF(ABS(B6-C6)&lt;0.05,"OK","CHECK")</f>
        <v>OK</v>
      </c>
      <c r="E6" s="18"/>
    </row>
    <row r="7" customFormat="false" ht="15" hidden="false" customHeight="false" outlineLevel="0" collapsed="false">
      <c r="A7" s="0" t="s">
        <v>246</v>
      </c>
      <c r="B7" s="37" t="n">
        <f aca="false">V_FDmkt</f>
        <v>369.226788774505</v>
      </c>
      <c r="C7" s="38" t="n">
        <f aca="false">FD_Filings</f>
        <v>369.2</v>
      </c>
      <c r="D7" s="3" t="str">
        <f aca="false">IF(ABS(B7-C7)&lt;2,"OK","CHECK")</f>
        <v>OK</v>
      </c>
      <c r="E7" s="18" t="s">
        <v>247</v>
      </c>
    </row>
    <row r="8" customFormat="false" ht="15" hidden="false" customHeight="false" outlineLevel="0" collapsed="false">
      <c r="A8" s="0" t="s">
        <v>248</v>
      </c>
      <c r="B8" s="37" t="n">
        <f aca="false">V_FDmkt+ATM_Rem</f>
        <v>381.497295774505</v>
      </c>
      <c r="C8" s="38" t="n">
        <f aca="false">FD_FilingsATM</f>
        <v>381.5</v>
      </c>
      <c r="D8" s="3" t="str">
        <f aca="false">IF(ABS(B8-C8)&lt;2,"OK","CHECK")</f>
        <v>OK</v>
      </c>
      <c r="E8" s="18" t="s">
        <v>249</v>
      </c>
    </row>
    <row r="9" customFormat="false" ht="15" hidden="false" customHeight="false" outlineLevel="0" collapsed="false">
      <c r="A9" s="0" t="s">
        <v>250</v>
      </c>
      <c r="B9" s="37" t="n">
        <f aca="false">V_ITMsh</f>
        <v>50.02193875</v>
      </c>
      <c r="C9" s="38" t="n">
        <f aca="false">ITM_Sh_Chk</f>
        <v>50.03</v>
      </c>
      <c r="D9" s="3" t="str">
        <f aca="false">IF(ABS(B9-C9)&lt;0.5,"OK","CHECK")</f>
        <v>OK</v>
      </c>
      <c r="E9" s="18" t="s">
        <v>251</v>
      </c>
    </row>
    <row r="10" customFormat="false" ht="15" hidden="false" customHeight="false" outlineLevel="0" collapsed="false">
      <c r="A10" s="0" t="s">
        <v>252</v>
      </c>
      <c r="B10" s="37" t="n">
        <f aca="false">V_ITMprin</f>
        <v>7675</v>
      </c>
      <c r="C10" s="38" t="n">
        <f aca="false">ITM_Prin_Chk</f>
        <v>7680</v>
      </c>
      <c r="D10" s="3" t="str">
        <f aca="false">IF(ABS(B10-C10)&lt;15,"OK","CHECK")</f>
        <v>OK</v>
      </c>
      <c r="E10" s="18"/>
    </row>
    <row r="11" customFormat="false" ht="15" hidden="false" customHeight="false" outlineLevel="0" collapsed="false">
      <c r="A11" s="0" t="s">
        <v>253</v>
      </c>
      <c r="B11" s="37" t="n">
        <f aca="false">V_MKTEV</f>
        <v>74654.7189</v>
      </c>
      <c r="C11" s="38" t="n">
        <v>74700</v>
      </c>
      <c r="D11" s="3" t="str">
        <f aca="false">IF(ABS(B11/C11-1)&lt;0.01,"OK","CHECK")</f>
        <v>OK</v>
      </c>
      <c r="E11" s="18" t="s">
        <v>254</v>
      </c>
    </row>
    <row r="12" customFormat="false" ht="15" hidden="false" customHeight="false" outlineLevel="0" collapsed="false">
      <c r="A12" s="0" t="s">
        <v>255</v>
      </c>
      <c r="B12" s="39" t="n">
        <f aca="false">V_CONV</f>
        <v>0</v>
      </c>
      <c r="C12" s="40" t="n">
        <v>0.01</v>
      </c>
      <c r="D12" s="3" t="str">
        <f aca="false">IF(B12&lt;C12,"OK","NOT CONVERGED")</f>
        <v>OK</v>
      </c>
      <c r="E12" s="18"/>
    </row>
    <row r="13" customFormat="false" ht="15" hidden="false" customHeight="false" outlineLevel="0" collapsed="false">
      <c r="A13" s="0" t="s">
        <v>256</v>
      </c>
      <c r="B13" s="37" t="n">
        <f aca="false">MSFT_Chk</f>
        <v>0</v>
      </c>
      <c r="C13" s="38" t="n">
        <v>0</v>
      </c>
      <c r="D13" s="3" t="str">
        <f aca="false">IF(ABS(B13)&lt;5,"OK","CHECK")</f>
        <v>OK</v>
      </c>
      <c r="E13" s="18"/>
    </row>
    <row r="14" customFormat="false" ht="15" hidden="false" customHeight="false" outlineLevel="0" collapsed="false">
      <c r="A14" s="0" t="s">
        <v>257</v>
      </c>
      <c r="B14" s="29" t="n">
        <f aca="false">SUMPRODUCT((MS_CeilChk&gt;0)*(Q_Idx&lt;IF(BloomOn=1,BloomIdx,99)))</f>
        <v>0</v>
      </c>
      <c r="C14" s="41" t="n">
        <v>0</v>
      </c>
      <c r="D14" s="3" t="str">
        <f aca="false">IF(B14=0,"OK","CHECK")</f>
        <v>OK</v>
      </c>
      <c r="E14" s="18"/>
    </row>
    <row r="15" customFormat="false" ht="15" hidden="false" customHeight="false" outlineLevel="0" collapsed="false">
      <c r="A15" s="0" t="s">
        <v>258</v>
      </c>
      <c r="B15" s="25" t="n">
        <f aca="false">BR_MW25</f>
        <v>92.6461289583333</v>
      </c>
      <c r="C15" s="32" t="n">
        <f aca="false">UnseenChkHi</f>
        <v>200</v>
      </c>
      <c r="D15" s="3" t="str">
        <f aca="false">BR_Chk</f>
        <v>OK - overlaps 83-200 MW</v>
      </c>
      <c r="E15" s="18"/>
    </row>
    <row r="16" customFormat="false" ht="15" hidden="false" customHeight="false" outlineLevel="0" collapsed="false">
      <c r="A16" s="0" t="s">
        <v>259</v>
      </c>
      <c r="B16" s="37" t="n">
        <f aca="false">SUMPRODUCT(ABS(N(+CapexChk)))</f>
        <v>0</v>
      </c>
      <c r="C16" s="38" t="n">
        <v>0</v>
      </c>
      <c r="D16" s="3" t="str">
        <f aca="false">IF(B16&lt;1,"OK","CHECK")</f>
        <v>OK</v>
      </c>
      <c r="E16" s="18"/>
    </row>
    <row r="17" customFormat="false" ht="15" hidden="false" customHeight="false" outlineLevel="0" collapsed="false">
      <c r="A17" s="0" t="s">
        <v>260</v>
      </c>
      <c r="B17" s="31" t="n">
        <f aca="false">INDEX(Book_A,1,10)/INDEX(AI_Model,1,10)</f>
        <v>0.460634941342456</v>
      </c>
      <c r="C17" s="42" t="n">
        <f aca="false">MixA_Q2</f>
        <v>0.45</v>
      </c>
      <c r="D17" s="3" t="str">
        <f aca="false">IF(AND(ROUND(B17,2)&gt;=0.4,ROUND(B17,2)&lt;=0.46),"OK","CALIBRATE")</f>
        <v>OK</v>
      </c>
      <c r="E17" s="18"/>
    </row>
    <row r="18" customFormat="false" ht="15" hidden="false" customHeight="false" outlineLevel="0" collapsed="false">
      <c r="A18" s="0" t="s">
        <v>261</v>
      </c>
      <c r="B18" s="31" t="n">
        <f aca="false">INDEX(Book_B,1,10)/INDEX(AI_Model,1,10)</f>
        <v>0.469860583066317</v>
      </c>
      <c r="C18" s="42" t="n">
        <f aca="false">MixB_Q2</f>
        <v>0.5</v>
      </c>
      <c r="D18" s="3" t="str">
        <f aca="false">IF(AND(B18&gt;=0.44,B18&lt;=0.57),"OK","CALIBRATE")</f>
        <v>OK</v>
      </c>
      <c r="E18" s="18"/>
    </row>
    <row r="19" customFormat="false" ht="15" hidden="false" customHeight="false" outlineLevel="0" collapsed="false">
      <c r="A19" s="0" t="s">
        <v>262</v>
      </c>
      <c r="B19" s="31" t="n">
        <f aca="false">INDEX(Book_C,1,10)/INDEX(AI_Model,1,10)</f>
        <v>0.069504475591227</v>
      </c>
      <c r="C19" s="42" t="n">
        <f aca="false">MixC_Q2</f>
        <v>0.04</v>
      </c>
      <c r="D19" s="3" t="str">
        <f aca="false">IF(AND(B19&gt;=0.013,B19&lt;=0.09),"OK","CALIBRATE")</f>
        <v>OK</v>
      </c>
      <c r="E19" s="18"/>
    </row>
    <row r="20" customFormat="false" ht="15" hidden="false" customHeight="false" outlineLevel="0" collapsed="false">
      <c r="A20" s="0" t="s">
        <v>263</v>
      </c>
      <c r="B20" s="29" t="n">
        <f aca="false">SUM(DepYldFlag)</f>
        <v>1</v>
      </c>
      <c r="C20" s="41" t="n">
        <v>0</v>
      </c>
      <c r="D20" s="3" t="str">
        <f aca="false">IF(B20=0,"OK","FLAG - review PIS dates")</f>
        <v>FLAG - review PIS dates</v>
      </c>
      <c r="E20" s="18" t="s">
        <v>264</v>
      </c>
    </row>
    <row r="21" customFormat="false" ht="15" hidden="false" customHeight="false" outlineLevel="0" collapsed="false">
      <c r="A21" s="0" t="s">
        <v>265</v>
      </c>
      <c r="B21" s="34" t="str">
        <f aca="false">Q3TransChk</f>
        <v>PENDING (model 4,702)</v>
      </c>
      <c r="C21" s="43"/>
      <c r="D21" s="3" t="str">
        <f aca="false">B21</f>
        <v>PENDING (model 4,702)</v>
      </c>
      <c r="E21" s="18"/>
    </row>
    <row r="22" customFormat="false" ht="15" hidden="false" customHeight="false" outlineLevel="0" collapsed="false">
      <c r="A22" s="0" t="s">
        <v>266</v>
      </c>
      <c r="B22" s="21" t="n">
        <f aca="false">SUMPRODUCT(ABS(CapTie))</f>
        <v>0</v>
      </c>
      <c r="C22" s="44" t="n">
        <v>0</v>
      </c>
      <c r="D22" s="3" t="str">
        <f aca="false">IF(B22&lt;1,"OK","CHECK")</f>
        <v>OK</v>
      </c>
      <c r="E22" s="18"/>
    </row>
    <row r="23" customFormat="false" ht="15" hidden="false" customHeight="false" outlineLevel="0" collapsed="false">
      <c r="A23" s="0" t="s">
        <v>267</v>
      </c>
      <c r="B23" s="21" t="n">
        <f aca="false">INDEX(AI_Model,1,10)</f>
        <v>574.9</v>
      </c>
      <c r="C23" s="44" t="n">
        <f aca="false">INDEX(H_AIRev,1,10)</f>
        <v>574.9</v>
      </c>
      <c r="D23" s="3" t="str">
        <f aca="false">IF(ABS(B23/C23-1)&lt;0.01,"OK","CHECK")</f>
        <v>OK</v>
      </c>
      <c r="E23" s="18" t="s">
        <v>268</v>
      </c>
    </row>
    <row r="24" customFormat="false" ht="15" hidden="false" customHeight="false" outlineLevel="0" collapsed="false">
      <c r="A24" s="0" t="s">
        <v>269</v>
      </c>
      <c r="B24" s="27" t="n">
        <f aca="false">UtilQ2</f>
        <v>0.82509878873241</v>
      </c>
      <c r="C24" s="36" t="s">
        <v>270</v>
      </c>
      <c r="D24" s="3" t="str">
        <f aca="false">UtilFlag</f>
        <v>OK (40-100%)</v>
      </c>
      <c r="E24" s="18" t="s">
        <v>271</v>
      </c>
    </row>
    <row r="25" customFormat="false" ht="15" hidden="false" customHeight="false" outlineLevel="0" collapsed="false">
      <c r="A25" s="0" t="s">
        <v>272</v>
      </c>
      <c r="B25" s="20" t="n">
        <f aca="false">INDEX(AI_Model,1,10)*4*1000000/INDEX(GPU_End,1,10)/8760</f>
        <v>2.96706883893884</v>
      </c>
      <c r="C25" s="15" t="n">
        <f aca="false">Chk_RevGPUhr</f>
        <v>3.27</v>
      </c>
      <c r="D25" s="3" t="str">
        <f aca="false">IF(ABS(B25/C25-1)&lt;=0.1,"OK","CHECK")</f>
        <v>OK</v>
      </c>
      <c r="E25" s="18" t="s">
        <v>273</v>
      </c>
    </row>
    <row r="26" customFormat="false" ht="15" hidden="false" customHeight="false" outlineLevel="0" collapsed="false">
      <c r="A26" s="0" t="s">
        <v>274</v>
      </c>
      <c r="B26" s="20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18" t="s">
        <v>275</v>
      </c>
    </row>
    <row r="27" customFormat="false" ht="15" hidden="false" customHeight="false" outlineLevel="0" collapsed="false">
      <c r="A27" s="0" t="s">
        <v>276</v>
      </c>
      <c r="B27" s="25" t="n">
        <f aca="false">INDEX(GPU_End,1,10)*Chk_SrvHi/1000000</f>
        <v>5308.5</v>
      </c>
      <c r="C27" s="32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18" t="s">
        <v>277</v>
      </c>
    </row>
    <row r="28" customFormat="false" ht="15" hidden="false" customHeight="false" outlineLevel="0" collapsed="false">
      <c r="A28" s="0" t="s">
        <v>278</v>
      </c>
      <c r="B28" s="25" t="n">
        <f aca="false">(INDEX(GPU_End_H,1,10)*GPUCost_H+INDEX(GPU_End_B,1,10)*GPUCost_B+INDEX(GPU_End_N,1,10)*GPUCost_N)/1000000</f>
        <v>4489.925</v>
      </c>
      <c r="C28" s="32" t="n">
        <f aca="false">Chk_SrvCap</f>
        <v>5197.7</v>
      </c>
      <c r="D28" s="3" t="str">
        <f aca="false">IF(B28&lt;=C28,"OK","FLAG: exceeds servers in service")</f>
        <v>OK</v>
      </c>
      <c r="E28" s="18"/>
    </row>
    <row r="29" customFormat="false" ht="15" hidden="false" customHeight="false" outlineLevel="0" collapsed="false">
      <c r="A29" s="0" t="s">
        <v>279</v>
      </c>
      <c r="B29" s="35" t="n">
        <f aca="false">INDEX(AI_Model,1,10)*4/INDEX(MW_En,1,10)</f>
        <v>13.2924855491329</v>
      </c>
      <c r="C29" s="16" t="n">
        <f aca="false">Chk_RevEnMW</f>
        <v>13</v>
      </c>
      <c r="D29" s="3" t="str">
        <f aca="false">IF(ABS(B29/C29-1)&lt;=0.15,"OK","CHECK")</f>
        <v>OK</v>
      </c>
      <c r="E29" s="18" t="s">
        <v>280</v>
      </c>
    </row>
    <row r="30" customFormat="false" ht="15" hidden="false" customHeight="false" outlineLevel="0" collapsed="false">
      <c r="A30" s="0" t="s">
        <v>281</v>
      </c>
      <c r="B30" s="31" t="n">
        <f aca="false">INDEX(A_MW,1,10)/INDEX(MW_En,1,10)</f>
        <v>0.585809248554913</v>
      </c>
      <c r="C30" s="42" t="s">
        <v>282</v>
      </c>
      <c r="D30" s="3" t="str">
        <f aca="false">"INFO"</f>
        <v>INFO</v>
      </c>
      <c r="E30" s="18" t="s">
        <v>283</v>
      </c>
    </row>
    <row r="31" customFormat="false" ht="15" hidden="false" customHeight="false" outlineLevel="0" collapsed="false">
      <c r="A31" s="0" t="s">
        <v>284</v>
      </c>
      <c r="B31" s="21" t="n">
        <f aca="false">INDEX(MW_En,1,10)</f>
        <v>173</v>
      </c>
      <c r="C31" s="44" t="n">
        <v>173</v>
      </c>
      <c r="D31" s="3" t="str">
        <f aca="false">IF(ABS(B31-C31)&lt;3,"OK","CHECK")</f>
        <v>OK</v>
      </c>
      <c r="E31" s="18"/>
    </row>
    <row r="32" customFormat="false" ht="15" hidden="false" customHeight="false" outlineLevel="0" collapsed="false">
      <c r="A32" s="0" t="s">
        <v>285</v>
      </c>
      <c r="B32" s="25" t="n">
        <f aca="false">INDEX(GPU_End,1,10)</f>
        <v>88475</v>
      </c>
      <c r="C32" s="32" t="n">
        <f aca="false">80416+GPUAnchorD</f>
        <v>88475</v>
      </c>
      <c r="D32" s="3" t="str">
        <f aca="false">IF(ABS(B32/C32-1)&lt;0.01,IF(GPUAnchorOn=1,"INFO: anchored to ~30k at 3/31/25 (+"&amp;TEXT(GPUAnchorD,"#,##0")&amp;" vs Capacity file); Q2 utilization "&amp;TEXT(UtilQ2,"0.0%"),"OK"),"CHECK")</f>
        <v>INFO: anchored to ~30k at 3/31/25 (+8,059 vs Capacity file); Q2 utilization 82.5%</v>
      </c>
      <c r="E32" s="18"/>
    </row>
    <row r="33" customFormat="false" ht="15" hidden="false" customHeight="false" outlineLevel="0" collapsed="false">
      <c r="A33" s="0" t="s">
        <v>286</v>
      </c>
      <c r="B33" s="25" t="n">
        <f aca="false">ARR_Res</f>
        <v>597.13511014747</v>
      </c>
      <c r="C33" s="32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597 = 44-45 MW-eq at team $13.3-13.5M/MW (model June RR 2,403 = $13.9M/MW); team-basis residual 665-699</v>
      </c>
      <c r="E33" s="18" t="s">
        <v>287</v>
      </c>
    </row>
    <row r="34" customFormat="false" ht="15" hidden="false" customHeight="false" outlineLevel="0" collapsed="false">
      <c r="A34" s="0" t="s">
        <v>288</v>
      </c>
      <c r="B34" s="27" t="n">
        <f aca="false">SUMIF(Q_Yr,2028,PL_EBITDA)/SUMIF(Q_Yr,2028,PL_Rev)</f>
        <v>0.61813422713852</v>
      </c>
      <c r="C34" s="36" t="n">
        <f aca="false">MarginCons28</f>
        <v>0.607826086956522</v>
      </c>
      <c r="D34" s="3" t="str">
        <f aca="false">IF(B34-C34&gt;0.05,"FLAG: model margin &gt; consensus +5pp","OK")</f>
        <v>OK</v>
      </c>
      <c r="E34" s="18" t="s">
        <v>289</v>
      </c>
    </row>
    <row r="35" customFormat="false" ht="15" hidden="false" customHeight="false" outlineLevel="0" collapsed="false">
      <c r="A35" s="0" t="s">
        <v>290</v>
      </c>
      <c r="B35" s="27" t="n">
        <f aca="false">SUMIF(Q_Yr,2030,PL_EBITDA)/SUMIF(Q_Yr,2030,PL_Rev)</f>
        <v>0.699294850981936</v>
      </c>
      <c r="C35" s="36" t="n">
        <f aca="false">MarginPeer</f>
        <v>0.62</v>
      </c>
      <c r="D35" s="3" t="str">
        <f aca="false">IF(B35-C35&gt;0.08,"FLAG: above peer +8pp - review opex/MW and revenue/MW","OK")</f>
        <v>OK</v>
      </c>
      <c r="E35" s="18" t="s">
        <v>291</v>
      </c>
    </row>
    <row r="36" customFormat="false" ht="15" hidden="false" customHeight="false" outlineLevel="0" collapsed="false">
      <c r="A36" s="0" t="s">
        <v>292</v>
      </c>
      <c r="B36" s="27" t="n">
        <f aca="false">SUMIF(Q_Yr,2030,PL_EBITDA)/SUMIF(Q_Yr,2030,PL_Rev)-(1-OpexHold)*((INDEX(PDpct,1,2028-FYBase)+INDEX(SGApct,1,2028-FYBase))-(INDEX(PDpct,1,2030-FYBase)+INDEX(SGApct,1,2030-FYBase)))</f>
        <v>0.649294850981936</v>
      </c>
      <c r="C36" s="36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18" t="s">
        <v>293</v>
      </c>
    </row>
    <row r="37" customFormat="false" ht="15" hidden="false" customHeight="false" outlineLevel="0" collapsed="false">
      <c r="A37" s="0" t="s">
        <v>294</v>
      </c>
      <c r="B37" s="20" t="n">
        <f aca="false">(SUMIF(Q_Yr,2030,PL_Rev)-SUMIF(Q_Yr,2030,PL_EBITDA))/(SUMIF(Q_Yr,2030,MW_Avg)/4)</f>
        <v>5.54276604135234</v>
      </c>
      <c r="C37" s="15" t="s">
        <v>282</v>
      </c>
      <c r="D37" s="3" t="str">
        <f aca="false">"INFO: revenue/MW "&amp;TEXT(SUMIF(Q_Yr,2030,PL_Rev)/(SUMIF(Q_Yr,2030,MW_Avg)/4),"0.0")</f>
        <v>INFO: revenue/MW 18.4</v>
      </c>
      <c r="E37" s="18"/>
    </row>
    <row r="38" customFormat="false" ht="15" hidden="false" customHeight="false" outlineLevel="0" collapsed="false">
      <c r="A38" s="0" t="s">
        <v>295</v>
      </c>
      <c r="B38" s="25" t="n">
        <f aca="false">SUMIF(Q_Yr,2026,Capex)</f>
        <v>16720.3421667323</v>
      </c>
      <c r="C38" s="32" t="s">
        <v>296</v>
      </c>
      <c r="D38" s="3" t="str">
        <f aca="false">IF(AND(B38&gt;=20000*0.9,B38&lt;=25000*1.1),"OK (within guide +/-10%)","FLAG: outside guide")</f>
        <v>FLAG: outside guide</v>
      </c>
      <c r="E38" s="18" t="s">
        <v>297</v>
      </c>
    </row>
    <row r="39" customFormat="false" ht="15" hidden="false" customHeight="false" outlineLevel="0" collapsed="false">
      <c r="A39" s="0" t="s">
        <v>298</v>
      </c>
      <c r="B39" s="25" t="n">
        <f aca="false">V_EVBullS</f>
        <v>181982.521844904</v>
      </c>
      <c r="C39" s="32" t="n">
        <f aca="false">3*V_EVBaseS</f>
        <v>95394.5652781707</v>
      </c>
      <c r="D39" s="3" t="str">
        <f aca="false">IF(V_EVBaseS=0,"run snap.py",IF(B39&gt;C39,"FLAG: bull EV &gt; 3x base - review bull drivers","OK"))</f>
        <v>FLAG: bull EV &gt; 3x base - review bull drivers</v>
      </c>
      <c r="E39" s="18" t="s">
        <v>299</v>
      </c>
    </row>
    <row r="40" customFormat="false" ht="15" hidden="false" customHeight="false" outlineLevel="0" collapsed="false">
      <c r="A40" s="0" t="s">
        <v>300</v>
      </c>
      <c r="B40" s="39" t="n">
        <f aca="false">MAX(ABS(V_UtBullS-V_UtBaseS),ABS(V_UtBearS-V_UtBaseS))</f>
        <v>0</v>
      </c>
      <c r="C40" s="40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82.5%</v>
      </c>
      <c r="E40" s="18"/>
    </row>
    <row r="41" customFormat="false" ht="15" hidden="false" customHeight="false" outlineLevel="0" collapsed="false">
      <c r="A41" s="0" t="s">
        <v>301</v>
      </c>
      <c r="B41" s="45" t="n">
        <f aca="false">(INDEX(Book_B,1,LastHist)+INDEX(Book_C,1,LastHist))*1000000/((INDEX(NCA_H,1,LastHist)*ODq_H+INDEX(NCA_B,1,LastHist)*ODq_B+INDEX(NCA_N,1,LastHist)*ODq_N)*INDEX(Q_Hrs,1,LastHist)*UtilQ2)</f>
        <v>0.743855881098156</v>
      </c>
      <c r="C41" s="46" t="s">
        <v>302</v>
      </c>
      <c r="D41" s="3" t="str">
        <f aca="false">IF(AND(B41&gt;=0.72,B41&lt;=0.8),"OK: within GPU Market range",IF(B41&lt;0.72,"INFO: below range","FLAG: above range"))</f>
        <v>OK: within GPU Market range</v>
      </c>
      <c r="E41" s="18" t="s">
        <v>303</v>
      </c>
    </row>
    <row r="42" customFormat="false" ht="15" hidden="false" customHeight="false" outlineLevel="0" collapsed="false">
      <c r="A42" s="0" t="s">
        <v>304</v>
      </c>
      <c r="B42" s="35" t="n">
        <f aca="false">IF(NewDealOn=1,RM_ND,RM_GB300)</f>
        <v>22.221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20.8; blended net leased 20.0 vs 17.8; GPU-hour GB300 engine 30.2 (legacy only)</v>
      </c>
      <c r="E42" s="18" t="s">
        <v>305</v>
      </c>
    </row>
    <row r="43" customFormat="false" ht="15" hidden="false" customHeight="false" outlineLevel="0" collapsed="false">
      <c r="A43" s="0" t="s">
        <v>306</v>
      </c>
      <c r="B43" s="35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18" t="s">
        <v>307</v>
      </c>
    </row>
    <row r="44" customFormat="false" ht="15" hidden="false" customHeight="false" outlineLevel="0" collapsed="false">
      <c r="A44" s="0" t="s">
        <v>308</v>
      </c>
      <c r="B44" s="25" t="n">
        <f aca="false">INDEX(GPU_End,1,5)</f>
        <v>30000</v>
      </c>
      <c r="C44" s="32" t="n">
        <f aca="false">GPU_Q125</f>
        <v>30000</v>
      </c>
      <c r="D44" s="3" t="str">
        <f aca="false">IF(ABS(B44-C44)&lt;500,"OK: anchored (gap "&amp;TEXT(GPUAnchorD,"#,##0")&amp;" GPUs vs Capacity file)","FLAG: Capacity file "&amp;TEXT(B44,"#,##0")&amp;" vs ~30,000 actual (GPUAnchorOn=0)")</f>
        <v>OK: anchored (gap 8,059 GPUs vs Capacity file)</v>
      </c>
      <c r="E44" s="18" t="s">
        <v>309</v>
      </c>
    </row>
    <row r="45" customFormat="false" ht="15" hidden="false" customHeight="false" outlineLevel="0" collapsed="false">
      <c r="A45" s="0" t="s">
        <v>310</v>
      </c>
      <c r="B45" s="20" t="n">
        <f aca="false">Rubin_Prem</f>
        <v>1.5625</v>
      </c>
      <c r="C45" s="15" t="n">
        <f aca="false">GPUMW_B/GPUMW_N</f>
        <v>1.5625</v>
      </c>
      <c r="D45" s="3" t="str">
        <f aca="false">IF(ABS(B45-C45)&lt;0.01,"INFO: at parity (OPEN input, no public Rubin price)",IF(B45&lt;C45,"INFO: Rubin revenue/MW below GB300","INFO: Rubin revenue/MW above GB300"))</f>
        <v>INFO: at parity (OPEN input, no public Rubin price)</v>
      </c>
      <c r="E45" s="18" t="s">
        <v>311</v>
      </c>
    </row>
    <row r="46" customFormat="false" ht="15" hidden="false" customHeight="false" outlineLevel="0" collapsed="false">
      <c r="A46" s="0" t="s">
        <v>312</v>
      </c>
      <c r="B46" s="29" t="n">
        <f aca="false">HistMWBasis</f>
        <v>1</v>
      </c>
      <c r="C46" s="41" t="n">
        <v>1</v>
      </c>
      <c r="D46" s="3" t="str">
        <f aca="false">"INFO: Q2 energized basis "&amp;TEXT(INDEX(MW_Act,1,LastHist),"0")&amp;" MW; Q2 rev/MW $"&amp;TEXT(INDEX(H_AIRev,1,LastHist)*4/INDEX(MW_Act,1,LastHist),"0.0")&amp;"M"</f>
        <v>INFO: Q2 energized basis 173 MW; Q2 rev/MW $13.3M</v>
      </c>
      <c r="E46" s="18" t="s">
        <v>313</v>
      </c>
    </row>
    <row r="47" customFormat="false" ht="15" hidden="false" customHeight="false" outlineLevel="0" collapsed="false">
      <c r="A47" s="0" t="s">
        <v>314</v>
      </c>
      <c r="B47" s="25" t="n">
        <f aca="false">ARR_Step</f>
        <v>88</v>
      </c>
      <c r="C47" s="32" t="n">
        <f aca="false">ARR_StepMW</f>
        <v>88</v>
      </c>
      <c r="D47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47" s="18"/>
    </row>
    <row r="48" customFormat="false" ht="15" hidden="false" customHeight="false" outlineLevel="0" collapsed="false">
      <c r="A48" s="0" t="s">
        <v>315</v>
      </c>
      <c r="B48" s="25" t="n">
        <f aca="false">V_EV</f>
        <v>31798.1884260569</v>
      </c>
      <c r="C48" s="32" t="n">
        <v>0</v>
      </c>
      <c r="D48" s="3" t="str">
        <f aca="false">IF(B48&lt;0,"FLAG: EV&lt;0; FD value/share floored at 0","OK")</f>
        <v>OK</v>
      </c>
      <c r="E48" s="18"/>
    </row>
    <row r="49" customFormat="false" ht="15" hidden="false" customHeight="false" outlineLevel="0" collapsed="false">
      <c r="A49" s="0" t="s">
        <v>316</v>
      </c>
      <c r="B49" s="25" t="n">
        <f aca="false">V_TV</f>
        <v>82909.7554021136</v>
      </c>
      <c r="C49" s="32" t="n">
        <f aca="false">V_TVB</f>
        <v>82909.7554021136</v>
      </c>
      <c r="D49" s="3" t="str">
        <f aca="false">V_TVBasis</f>
        <v>Going concern</v>
      </c>
      <c r="E49" s="18" t="s">
        <v>317</v>
      </c>
    </row>
    <row r="50" customFormat="false" ht="15" hidden="false" customHeight="false" outlineLevel="0" collapsed="false">
      <c r="A50" s="0" t="s">
        <v>318</v>
      </c>
      <c r="B50" s="34" t="str">
        <f aca="false">Liq_NegQ</f>
        <v>Q3'27</v>
      </c>
      <c r="C50" s="43" t="s">
        <v>319</v>
      </c>
      <c r="D50" s="3" t="str">
        <f aca="false">"INFO"</f>
        <v>INFO</v>
      </c>
      <c r="E50" s="18"/>
    </row>
    <row r="51" customFormat="false" ht="15" hidden="false" customHeight="false" outlineLevel="0" collapsed="false">
      <c r="A51" s="0" t="s">
        <v>320</v>
      </c>
      <c r="B51" s="29" t="n">
        <f aca="false">RedSites</f>
        <v>5</v>
      </c>
      <c r="C51" s="41"/>
      <c r="D51" s="3" t="str">
        <f aca="false">"INFO"</f>
        <v>INFO</v>
      </c>
      <c r="E51" s="18"/>
    </row>
    <row r="52" customFormat="false" ht="15" hidden="false" customHeight="false" outlineLevel="0" collapsed="false">
      <c r="A52" s="0" t="s">
        <v>321</v>
      </c>
      <c r="B52" s="25" t="n">
        <f aca="false">SUMIF(Q_Yr,2027,PL_EBIT)</f>
        <v>-1074.66751623611</v>
      </c>
      <c r="C52" s="32" t="n">
        <f aca="false">CHOOSE(MATCH(Life_B,{4,5,6},1),SkEBIT4,SkEBIT5,SkEBIT6)</f>
        <v>1980</v>
      </c>
      <c r="D52" s="3" t="str">
        <f aca="false">"INFO"</f>
        <v>INFO</v>
      </c>
      <c r="E52" s="18" t="s">
        <v>322</v>
      </c>
    </row>
  </sheetData>
  <conditionalFormatting sqref="D4:D5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18" t="s">
        <v>324</v>
      </c>
    </row>
    <row r="4" customFormat="false" ht="15" hidden="false" customHeight="false" outlineLevel="0" collapsed="false">
      <c r="A4" s="3" t="s">
        <v>325</v>
      </c>
      <c r="D4" s="47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28" t="s">
        <v>326</v>
      </c>
      <c r="B6" s="28" t="s">
        <v>327</v>
      </c>
      <c r="C6" s="28" t="s">
        <v>74</v>
      </c>
      <c r="D6" s="28" t="s">
        <v>328</v>
      </c>
      <c r="E6" s="28" t="s">
        <v>75</v>
      </c>
      <c r="F6" s="28" t="s">
        <v>329</v>
      </c>
      <c r="G6" s="28"/>
      <c r="H6" s="28"/>
      <c r="I6" s="28"/>
      <c r="J6" s="28" t="s">
        <v>330</v>
      </c>
      <c r="K6" s="28" t="s">
        <v>240</v>
      </c>
      <c r="L6" s="28" t="s">
        <v>331</v>
      </c>
    </row>
    <row r="7" customFormat="false" ht="15" hidden="false" customHeight="false" outlineLevel="0" collapsed="false">
      <c r="A7" s="48" t="s">
        <v>332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</row>
    <row r="8" customFormat="false" ht="15" hidden="false" customHeight="false" outlineLevel="0" collapsed="false">
      <c r="A8" s="0" t="s">
        <v>333</v>
      </c>
      <c r="B8" s="18" t="s">
        <v>334</v>
      </c>
      <c r="C8" s="0" t="s">
        <v>335</v>
      </c>
      <c r="D8" s="50" t="n">
        <v>46299</v>
      </c>
      <c r="E8" s="0" t="s">
        <v>335</v>
      </c>
      <c r="F8" s="51" t="n">
        <f aca="false">D8</f>
        <v>46299</v>
      </c>
      <c r="J8" s="18" t="s">
        <v>336</v>
      </c>
      <c r="K8" s="18" t="s">
        <v>337</v>
      </c>
      <c r="L8" s="18" t="s">
        <v>338</v>
      </c>
    </row>
    <row r="9" customFormat="false" ht="15" hidden="false" customHeight="false" outlineLevel="0" collapsed="false">
      <c r="A9" s="0" t="s">
        <v>339</v>
      </c>
      <c r="B9" s="18" t="s">
        <v>340</v>
      </c>
      <c r="C9" s="0" t="s">
        <v>335</v>
      </c>
      <c r="D9" s="52" t="n">
        <v>10</v>
      </c>
      <c r="E9" s="0" t="s">
        <v>335</v>
      </c>
      <c r="F9" s="53" t="n">
        <f aca="false">D9</f>
        <v>10</v>
      </c>
      <c r="J9" s="18" t="s">
        <v>336</v>
      </c>
      <c r="K9" s="18" t="s">
        <v>337</v>
      </c>
      <c r="L9" s="18" t="s">
        <v>341</v>
      </c>
    </row>
    <row r="10" customFormat="false" ht="15" hidden="false" customHeight="false" outlineLevel="0" collapsed="false">
      <c r="A10" s="0" t="s">
        <v>342</v>
      </c>
      <c r="B10" s="18" t="s">
        <v>343</v>
      </c>
      <c r="C10" s="0" t="s">
        <v>335</v>
      </c>
      <c r="D10" s="52" t="n">
        <v>2023</v>
      </c>
      <c r="E10" s="0" t="s">
        <v>335</v>
      </c>
      <c r="F10" s="53" t="n">
        <f aca="false">D10</f>
        <v>2023</v>
      </c>
      <c r="J10" s="18" t="s">
        <v>336</v>
      </c>
      <c r="K10" s="18" t="s">
        <v>337</v>
      </c>
      <c r="L10" s="18" t="s">
        <v>344</v>
      </c>
    </row>
    <row r="11" customFormat="false" ht="15" hidden="false" customHeight="false" outlineLevel="0" collapsed="false">
      <c r="A11" s="0" t="s">
        <v>345</v>
      </c>
      <c r="B11" s="18" t="s">
        <v>346</v>
      </c>
      <c r="C11" s="0" t="s">
        <v>335</v>
      </c>
      <c r="D11" s="54" t="n">
        <v>242.81</v>
      </c>
      <c r="E11" s="0" t="s">
        <v>335</v>
      </c>
      <c r="F11" s="55" t="n">
        <f aca="false">D11</f>
        <v>242.81</v>
      </c>
      <c r="J11" s="18" t="s">
        <v>347</v>
      </c>
      <c r="K11" s="18" t="s">
        <v>348</v>
      </c>
      <c r="L11" s="18" t="s">
        <v>349</v>
      </c>
    </row>
    <row r="12" customFormat="false" ht="15" hidden="false" customHeight="false" outlineLevel="0" collapsed="false">
      <c r="A12" s="0" t="s">
        <v>350</v>
      </c>
      <c r="B12" s="18" t="s">
        <v>340</v>
      </c>
      <c r="C12" s="0" t="s">
        <v>335</v>
      </c>
      <c r="D12" s="52" t="n">
        <v>2</v>
      </c>
      <c r="E12" s="0" t="s">
        <v>335</v>
      </c>
      <c r="F12" s="53" t="n">
        <f aca="false">D12</f>
        <v>2</v>
      </c>
      <c r="J12" s="18" t="s">
        <v>336</v>
      </c>
      <c r="K12" s="18" t="s">
        <v>337</v>
      </c>
      <c r="L12" s="18" t="s">
        <v>351</v>
      </c>
    </row>
    <row r="13" customFormat="false" ht="15" hidden="false" customHeight="false" outlineLevel="0" collapsed="false">
      <c r="A13" s="0" t="s">
        <v>352</v>
      </c>
      <c r="B13" s="18" t="s">
        <v>353</v>
      </c>
      <c r="C13" s="19" t="n">
        <v>1</v>
      </c>
      <c r="D13" s="19" t="n">
        <v>1</v>
      </c>
      <c r="E13" s="19" t="n">
        <v>1</v>
      </c>
      <c r="F13" s="53" t="n">
        <f aca="false">CHOOSE(Scen,C13,D13,E13)</f>
        <v>1</v>
      </c>
      <c r="J13" s="18" t="s">
        <v>354</v>
      </c>
      <c r="K13" s="18" t="s">
        <v>355</v>
      </c>
      <c r="L13" s="18" t="s">
        <v>356</v>
      </c>
    </row>
    <row r="14" customFormat="false" ht="15" hidden="false" customHeight="false" outlineLevel="0" collapsed="false">
      <c r="A14" s="0" t="s">
        <v>357</v>
      </c>
      <c r="B14" s="18" t="s">
        <v>340</v>
      </c>
      <c r="C14" s="0" t="s">
        <v>335</v>
      </c>
      <c r="D14" s="52" t="n">
        <v>3</v>
      </c>
      <c r="E14" s="0" t="s">
        <v>335</v>
      </c>
      <c r="F14" s="53" t="n">
        <f aca="false">D14</f>
        <v>3</v>
      </c>
      <c r="J14" s="18" t="s">
        <v>336</v>
      </c>
      <c r="K14" s="18" t="s">
        <v>337</v>
      </c>
      <c r="L14" s="18" t="s">
        <v>358</v>
      </c>
    </row>
    <row r="15" customFormat="false" ht="15" hidden="false" customHeight="false" outlineLevel="0" collapsed="false">
      <c r="A15" s="0" t="s">
        <v>359</v>
      </c>
      <c r="B15" s="18" t="s">
        <v>360</v>
      </c>
      <c r="C15" s="0" t="s">
        <v>335</v>
      </c>
      <c r="D15" s="56" t="n">
        <v>42</v>
      </c>
      <c r="E15" s="0" t="s">
        <v>335</v>
      </c>
      <c r="F15" s="57" t="n">
        <f aca="false">D15</f>
        <v>42</v>
      </c>
      <c r="J15" s="18" t="s">
        <v>354</v>
      </c>
      <c r="K15" s="18" t="s">
        <v>355</v>
      </c>
      <c r="L15" s="18" t="s">
        <v>361</v>
      </c>
    </row>
    <row r="16" customFormat="false" ht="15" hidden="false" customHeight="false" outlineLevel="0" collapsed="false">
      <c r="A16" s="0" t="s">
        <v>362</v>
      </c>
      <c r="B16" s="18" t="s">
        <v>360</v>
      </c>
      <c r="C16" s="0" t="s">
        <v>335</v>
      </c>
      <c r="D16" s="56" t="n">
        <v>53</v>
      </c>
      <c r="E16" s="0" t="s">
        <v>335</v>
      </c>
      <c r="F16" s="57" t="n">
        <f aca="false">D16</f>
        <v>53</v>
      </c>
      <c r="J16" s="18" t="s">
        <v>354</v>
      </c>
      <c r="K16" s="18" t="s">
        <v>355</v>
      </c>
      <c r="L16" s="18" t="s">
        <v>363</v>
      </c>
    </row>
    <row r="17" customFormat="false" ht="15" hidden="false" customHeight="false" outlineLevel="0" collapsed="false">
      <c r="A17" s="0" t="s">
        <v>364</v>
      </c>
      <c r="B17" s="18" t="s">
        <v>360</v>
      </c>
      <c r="C17" s="0" t="s">
        <v>335</v>
      </c>
      <c r="D17" s="56" t="n">
        <v>43</v>
      </c>
      <c r="E17" s="0" t="s">
        <v>335</v>
      </c>
      <c r="F17" s="57" t="n">
        <f aca="false">D17</f>
        <v>43</v>
      </c>
      <c r="J17" s="18" t="s">
        <v>354</v>
      </c>
      <c r="K17" s="18" t="s">
        <v>355</v>
      </c>
      <c r="L17" s="18" t="s">
        <v>363</v>
      </c>
    </row>
    <row r="18" customFormat="false" ht="15" hidden="false" customHeight="false" outlineLevel="0" collapsed="false">
      <c r="A18" s="0" t="s">
        <v>365</v>
      </c>
      <c r="B18" s="18" t="s">
        <v>360</v>
      </c>
      <c r="C18" s="0" t="s">
        <v>335</v>
      </c>
      <c r="D18" s="56" t="n">
        <v>42</v>
      </c>
      <c r="E18" s="0" t="s">
        <v>335</v>
      </c>
      <c r="F18" s="57" t="n">
        <f aca="false">D18</f>
        <v>42</v>
      </c>
      <c r="J18" s="18" t="s">
        <v>354</v>
      </c>
      <c r="K18" s="18" t="s">
        <v>355</v>
      </c>
      <c r="L18" s="18" t="s">
        <v>366</v>
      </c>
    </row>
    <row r="19" customFormat="false" ht="15" hidden="false" customHeight="false" outlineLevel="0" collapsed="false">
      <c r="A19" s="0" t="s">
        <v>367</v>
      </c>
      <c r="B19" s="18" t="s">
        <v>360</v>
      </c>
      <c r="C19" s="0" t="s">
        <v>335</v>
      </c>
      <c r="D19" s="56" t="n">
        <v>30</v>
      </c>
      <c r="E19" s="0" t="s">
        <v>335</v>
      </c>
      <c r="F19" s="57" t="n">
        <f aca="false">D19</f>
        <v>30</v>
      </c>
      <c r="J19" s="18" t="s">
        <v>354</v>
      </c>
      <c r="K19" s="18" t="s">
        <v>355</v>
      </c>
      <c r="L19" s="18" t="s">
        <v>368</v>
      </c>
    </row>
    <row r="20" customFormat="false" ht="15" hidden="false" customHeight="false" outlineLevel="0" collapsed="false">
      <c r="A20" s="0" t="s">
        <v>369</v>
      </c>
      <c r="B20" s="18" t="s">
        <v>360</v>
      </c>
      <c r="C20" s="0" t="s">
        <v>335</v>
      </c>
      <c r="D20" s="56" t="n">
        <v>41</v>
      </c>
      <c r="E20" s="0" t="s">
        <v>335</v>
      </c>
      <c r="F20" s="57" t="n">
        <f aca="false">D20</f>
        <v>41</v>
      </c>
      <c r="J20" s="18" t="s">
        <v>354</v>
      </c>
      <c r="K20" s="18" t="s">
        <v>355</v>
      </c>
      <c r="L20" s="18" t="s">
        <v>368</v>
      </c>
    </row>
    <row r="21" customFormat="false" ht="15" hidden="false" customHeight="false" outlineLevel="0" collapsed="false">
      <c r="A21" s="0" t="s">
        <v>370</v>
      </c>
      <c r="B21" s="18" t="s">
        <v>360</v>
      </c>
      <c r="C21" s="0" t="s">
        <v>335</v>
      </c>
      <c r="D21" s="56" t="n">
        <v>32</v>
      </c>
      <c r="E21" s="0" t="s">
        <v>335</v>
      </c>
      <c r="F21" s="57" t="n">
        <f aca="false">D21</f>
        <v>32</v>
      </c>
      <c r="J21" s="18" t="s">
        <v>354</v>
      </c>
      <c r="K21" s="18" t="s">
        <v>355</v>
      </c>
      <c r="L21" s="18" t="s">
        <v>371</v>
      </c>
    </row>
    <row r="22" customFormat="false" ht="15" hidden="false" customHeight="false" outlineLevel="0" collapsed="false">
      <c r="A22" s="0" t="s">
        <v>372</v>
      </c>
      <c r="B22" s="18" t="s">
        <v>373</v>
      </c>
      <c r="C22" s="0" t="s">
        <v>335</v>
      </c>
      <c r="D22" s="52" t="n">
        <v>1</v>
      </c>
      <c r="E22" s="0" t="s">
        <v>335</v>
      </c>
      <c r="F22" s="53" t="n">
        <f aca="false">D22</f>
        <v>1</v>
      </c>
      <c r="J22" s="18" t="s">
        <v>336</v>
      </c>
      <c r="K22" s="18" t="s">
        <v>337</v>
      </c>
      <c r="L22" s="18" t="s">
        <v>374</v>
      </c>
    </row>
    <row r="23" customFormat="false" ht="15" hidden="false" customHeight="false" outlineLevel="0" collapsed="false">
      <c r="A23" s="0" t="s">
        <v>375</v>
      </c>
      <c r="B23" s="18" t="s">
        <v>376</v>
      </c>
      <c r="C23" s="0" t="s">
        <v>335</v>
      </c>
      <c r="D23" s="52" t="n">
        <v>2</v>
      </c>
      <c r="E23" s="0" t="s">
        <v>335</v>
      </c>
      <c r="F23" s="53" t="n">
        <f aca="false">D23</f>
        <v>2</v>
      </c>
      <c r="J23" s="18" t="s">
        <v>336</v>
      </c>
      <c r="K23" s="18" t="s">
        <v>337</v>
      </c>
      <c r="L23" s="18" t="s">
        <v>377</v>
      </c>
    </row>
    <row r="24" customFormat="false" ht="15" hidden="false" customHeight="false" outlineLevel="0" collapsed="false">
      <c r="A24" s="0" t="s">
        <v>378</v>
      </c>
      <c r="B24" s="18" t="s">
        <v>373</v>
      </c>
      <c r="C24" s="0" t="s">
        <v>335</v>
      </c>
      <c r="D24" s="52" t="n">
        <v>1</v>
      </c>
      <c r="E24" s="0" t="s">
        <v>335</v>
      </c>
      <c r="F24" s="53" t="n">
        <f aca="false">D24</f>
        <v>1</v>
      </c>
      <c r="J24" s="18" t="s">
        <v>336</v>
      </c>
      <c r="K24" s="18" t="s">
        <v>337</v>
      </c>
      <c r="L24" s="18" t="s">
        <v>379</v>
      </c>
    </row>
    <row r="25" customFormat="false" ht="15" hidden="false" customHeight="false" outlineLevel="0" collapsed="false">
      <c r="A25" s="0" t="s">
        <v>380</v>
      </c>
      <c r="B25" s="18" t="s">
        <v>381</v>
      </c>
      <c r="C25" s="0" t="s">
        <v>335</v>
      </c>
      <c r="D25" s="58" t="n">
        <v>0.75</v>
      </c>
      <c r="E25" s="0" t="s">
        <v>335</v>
      </c>
      <c r="F25" s="6" t="n">
        <f aca="false">D25</f>
        <v>0.75</v>
      </c>
      <c r="J25" s="18" t="s">
        <v>354</v>
      </c>
      <c r="K25" s="18" t="s">
        <v>382</v>
      </c>
      <c r="L25" s="18" t="s">
        <v>383</v>
      </c>
    </row>
    <row r="26" customFormat="false" ht="15" hidden="false" customHeight="false" outlineLevel="0" collapsed="false">
      <c r="A26" s="0" t="s">
        <v>384</v>
      </c>
      <c r="B26" s="18" t="s">
        <v>373</v>
      </c>
      <c r="C26" s="0" t="s">
        <v>335</v>
      </c>
      <c r="D26" s="52" t="n">
        <v>1</v>
      </c>
      <c r="E26" s="0" t="s">
        <v>335</v>
      </c>
      <c r="F26" s="53" t="n">
        <f aca="false">D26</f>
        <v>1</v>
      </c>
      <c r="J26" s="18" t="s">
        <v>385</v>
      </c>
      <c r="K26" s="18" t="s">
        <v>337</v>
      </c>
      <c r="L26" s="18" t="s">
        <v>386</v>
      </c>
    </row>
    <row r="27" customFormat="false" ht="15" hidden="false" customHeight="false" outlineLevel="0" collapsed="false">
      <c r="A27" s="0" t="s">
        <v>387</v>
      </c>
      <c r="B27" s="18" t="s">
        <v>388</v>
      </c>
      <c r="C27" s="0" t="s">
        <v>335</v>
      </c>
      <c r="D27" s="59" t="n">
        <v>0.3</v>
      </c>
      <c r="E27" s="0" t="s">
        <v>335</v>
      </c>
      <c r="F27" s="30" t="n">
        <f aca="false">D27</f>
        <v>0.3</v>
      </c>
      <c r="J27" s="18" t="s">
        <v>389</v>
      </c>
      <c r="K27" s="18" t="s">
        <v>348</v>
      </c>
      <c r="L27" s="18" t="s">
        <v>390</v>
      </c>
    </row>
    <row r="28" customFormat="false" ht="15" hidden="false" customHeight="false" outlineLevel="0" collapsed="false">
      <c r="A28" s="0" t="s">
        <v>391</v>
      </c>
      <c r="B28" s="18" t="s">
        <v>392</v>
      </c>
      <c r="C28" s="0" t="s">
        <v>335</v>
      </c>
      <c r="D28" s="20" t="n">
        <f aca="false">(2*2.95+3.85)/3</f>
        <v>3.25</v>
      </c>
      <c r="E28" s="0" t="s">
        <v>335</v>
      </c>
      <c r="F28" s="6" t="n">
        <f aca="false">D28</f>
        <v>3.25</v>
      </c>
      <c r="J28" s="18" t="s">
        <v>385</v>
      </c>
      <c r="K28" s="18" t="s">
        <v>393</v>
      </c>
      <c r="L28" s="18" t="s">
        <v>394</v>
      </c>
    </row>
    <row r="29" customFormat="false" ht="15" hidden="false" customHeight="false" outlineLevel="0" collapsed="false">
      <c r="A29" s="0" t="s">
        <v>395</v>
      </c>
      <c r="B29" s="18" t="s">
        <v>396</v>
      </c>
      <c r="C29" s="0" t="s">
        <v>335</v>
      </c>
      <c r="D29" s="56" t="n">
        <v>13.3</v>
      </c>
      <c r="E29" s="0" t="s">
        <v>335</v>
      </c>
      <c r="F29" s="57" t="n">
        <f aca="false">D29</f>
        <v>13.3</v>
      </c>
      <c r="J29" s="18" t="s">
        <v>336</v>
      </c>
      <c r="K29" s="18" t="s">
        <v>355</v>
      </c>
      <c r="L29" s="18" t="s">
        <v>397</v>
      </c>
    </row>
    <row r="30" customFormat="false" ht="15" hidden="false" customHeight="false" outlineLevel="0" collapsed="false">
      <c r="A30" s="0" t="s">
        <v>398</v>
      </c>
      <c r="B30" s="18" t="s">
        <v>396</v>
      </c>
      <c r="C30" s="0" t="s">
        <v>335</v>
      </c>
      <c r="D30" s="56" t="n">
        <v>13.5</v>
      </c>
      <c r="E30" s="0" t="s">
        <v>335</v>
      </c>
      <c r="F30" s="57" t="n">
        <f aca="false">D30</f>
        <v>13.5</v>
      </c>
      <c r="J30" s="18" t="s">
        <v>336</v>
      </c>
      <c r="K30" s="18" t="s">
        <v>355</v>
      </c>
      <c r="L30" s="18"/>
    </row>
    <row r="31" customFormat="false" ht="15" hidden="false" customHeight="false" outlineLevel="0" collapsed="false">
      <c r="A31" s="0" t="s">
        <v>399</v>
      </c>
      <c r="B31" s="18" t="s">
        <v>400</v>
      </c>
      <c r="C31" s="0" t="s">
        <v>335</v>
      </c>
      <c r="D31" s="60" t="n">
        <v>650</v>
      </c>
      <c r="E31" s="0" t="s">
        <v>335</v>
      </c>
      <c r="F31" s="5" t="n">
        <f aca="false">D31</f>
        <v>650</v>
      </c>
      <c r="J31" s="18" t="s">
        <v>336</v>
      </c>
      <c r="K31" s="18" t="s">
        <v>355</v>
      </c>
      <c r="L31" s="18" t="s">
        <v>401</v>
      </c>
    </row>
    <row r="32" customFormat="false" ht="15" hidden="false" customHeight="false" outlineLevel="0" collapsed="false">
      <c r="A32" s="0" t="s">
        <v>402</v>
      </c>
      <c r="B32" s="18" t="s">
        <v>400</v>
      </c>
      <c r="C32" s="0" t="s">
        <v>335</v>
      </c>
      <c r="D32" s="60" t="n">
        <v>700</v>
      </c>
      <c r="E32" s="0" t="s">
        <v>335</v>
      </c>
      <c r="F32" s="5" t="n">
        <f aca="false">D32</f>
        <v>700</v>
      </c>
      <c r="J32" s="18" t="s">
        <v>336</v>
      </c>
      <c r="K32" s="18" t="s">
        <v>355</v>
      </c>
      <c r="L32" s="18"/>
    </row>
    <row r="33" customFormat="false" ht="15" hidden="false" customHeight="false" outlineLevel="0" collapsed="false">
      <c r="A33" s="0" t="s">
        <v>403</v>
      </c>
      <c r="B33" s="18" t="s">
        <v>388</v>
      </c>
      <c r="C33" s="0" t="s">
        <v>335</v>
      </c>
      <c r="D33" s="61" t="n">
        <f aca="false">13.98/23</f>
        <v>0.607826086956522</v>
      </c>
      <c r="E33" s="0" t="s">
        <v>335</v>
      </c>
      <c r="F33" s="62" t="n">
        <f aca="false">D33</f>
        <v>0.607826086956522</v>
      </c>
      <c r="J33" s="18" t="s">
        <v>347</v>
      </c>
      <c r="K33" s="18" t="s">
        <v>355</v>
      </c>
      <c r="L33" s="18" t="s">
        <v>404</v>
      </c>
    </row>
    <row r="34" customFormat="false" ht="15" hidden="false" customHeight="false" outlineLevel="0" collapsed="false">
      <c r="A34" s="0" t="s">
        <v>405</v>
      </c>
      <c r="B34" s="18" t="s">
        <v>388</v>
      </c>
      <c r="C34" s="0" t="s">
        <v>335</v>
      </c>
      <c r="D34" s="63" t="n">
        <v>0.62</v>
      </c>
      <c r="E34" s="0" t="s">
        <v>335</v>
      </c>
      <c r="F34" s="30" t="n">
        <f aca="false">D34</f>
        <v>0.62</v>
      </c>
      <c r="J34" s="18" t="s">
        <v>385</v>
      </c>
      <c r="K34" s="18" t="s">
        <v>382</v>
      </c>
      <c r="L34" s="18" t="s">
        <v>406</v>
      </c>
    </row>
    <row r="35" customFormat="false" ht="15" hidden="false" customHeight="false" outlineLevel="0" collapsed="false">
      <c r="A35" s="0" t="s">
        <v>407</v>
      </c>
      <c r="B35" s="18" t="s">
        <v>373</v>
      </c>
      <c r="C35" s="0" t="s">
        <v>335</v>
      </c>
      <c r="D35" s="52" t="n">
        <v>1</v>
      </c>
      <c r="E35" s="0" t="s">
        <v>335</v>
      </c>
      <c r="F35" s="53" t="n">
        <f aca="false">D35</f>
        <v>1</v>
      </c>
      <c r="J35" s="18" t="s">
        <v>336</v>
      </c>
      <c r="K35" s="18" t="s">
        <v>337</v>
      </c>
      <c r="L35" s="18" t="s">
        <v>408</v>
      </c>
    </row>
    <row r="36" customFormat="false" ht="15" hidden="false" customHeight="false" outlineLevel="0" collapsed="false">
      <c r="A36" s="0" t="s">
        <v>409</v>
      </c>
      <c r="B36" s="18" t="s">
        <v>373</v>
      </c>
      <c r="C36" s="0" t="s">
        <v>335</v>
      </c>
      <c r="D36" s="52" t="n">
        <v>1</v>
      </c>
      <c r="E36" s="0" t="s">
        <v>335</v>
      </c>
      <c r="F36" s="53" t="n">
        <f aca="false">D36</f>
        <v>1</v>
      </c>
      <c r="J36" s="18" t="s">
        <v>336</v>
      </c>
      <c r="K36" s="18" t="s">
        <v>337</v>
      </c>
      <c r="L36" s="18" t="s">
        <v>410</v>
      </c>
    </row>
    <row r="37" customFormat="false" ht="15" hidden="false" customHeight="false" outlineLevel="0" collapsed="false">
      <c r="A37" s="0" t="s">
        <v>411</v>
      </c>
      <c r="B37" s="18" t="s">
        <v>340</v>
      </c>
      <c r="C37" s="0" t="s">
        <v>335</v>
      </c>
      <c r="D37" s="52" t="n">
        <v>1</v>
      </c>
      <c r="E37" s="0" t="s">
        <v>335</v>
      </c>
      <c r="F37" s="53" t="n">
        <f aca="false">D37</f>
        <v>1</v>
      </c>
      <c r="J37" s="18" t="s">
        <v>412</v>
      </c>
      <c r="K37" s="18" t="s">
        <v>337</v>
      </c>
      <c r="L37" s="18" t="s">
        <v>413</v>
      </c>
    </row>
    <row r="38" customFormat="false" ht="15" hidden="false" customHeight="false" outlineLevel="0" collapsed="false">
      <c r="A38" s="0" t="s">
        <v>414</v>
      </c>
      <c r="B38" s="18" t="s">
        <v>415</v>
      </c>
      <c r="C38" s="0" t="s">
        <v>335</v>
      </c>
      <c r="D38" s="64" t="n">
        <v>190</v>
      </c>
      <c r="E38" s="0" t="s">
        <v>335</v>
      </c>
      <c r="F38" s="5" t="n">
        <f aca="false">D38</f>
        <v>190</v>
      </c>
      <c r="J38" s="18" t="s">
        <v>389</v>
      </c>
      <c r="K38" s="18" t="s">
        <v>393</v>
      </c>
      <c r="L38" s="18" t="s">
        <v>416</v>
      </c>
    </row>
    <row r="39" customFormat="false" ht="15" hidden="false" customHeight="false" outlineLevel="0" collapsed="false">
      <c r="A39" s="0" t="s">
        <v>417</v>
      </c>
      <c r="B39" s="18" t="s">
        <v>381</v>
      </c>
      <c r="C39" s="0" t="s">
        <v>335</v>
      </c>
      <c r="D39" s="65" t="n">
        <v>2.2</v>
      </c>
      <c r="E39" s="0" t="s">
        <v>335</v>
      </c>
      <c r="F39" s="6" t="n">
        <f aca="false">D39</f>
        <v>2.2</v>
      </c>
      <c r="J39" s="18" t="s">
        <v>354</v>
      </c>
      <c r="K39" s="18" t="s">
        <v>355</v>
      </c>
      <c r="L39" s="18" t="s">
        <v>418</v>
      </c>
    </row>
    <row r="40" customFormat="false" ht="15" hidden="false" customHeight="false" outlineLevel="0" collapsed="false">
      <c r="A40" s="0" t="s">
        <v>419</v>
      </c>
      <c r="B40" s="18" t="s">
        <v>400</v>
      </c>
      <c r="C40" s="0" t="s">
        <v>335</v>
      </c>
      <c r="D40" s="66" t="n">
        <v>0</v>
      </c>
      <c r="E40" s="0" t="s">
        <v>335</v>
      </c>
      <c r="F40" s="5" t="n">
        <f aca="false">D40</f>
        <v>0</v>
      </c>
      <c r="J40" s="18" t="s">
        <v>389</v>
      </c>
      <c r="K40" s="18" t="s">
        <v>382</v>
      </c>
      <c r="L40" s="18" t="s">
        <v>420</v>
      </c>
    </row>
    <row r="41" customFormat="false" ht="15" hidden="false" customHeight="false" outlineLevel="0" collapsed="false">
      <c r="A41" s="0" t="s">
        <v>421</v>
      </c>
      <c r="B41" s="18" t="s">
        <v>373</v>
      </c>
      <c r="C41" s="0" t="s">
        <v>335</v>
      </c>
      <c r="D41" s="67" t="n">
        <v>0</v>
      </c>
      <c r="E41" s="0" t="s">
        <v>335</v>
      </c>
      <c r="F41" s="53" t="n">
        <f aca="false">D41</f>
        <v>0</v>
      </c>
      <c r="J41" s="18" t="s">
        <v>389</v>
      </c>
      <c r="K41" s="18" t="s">
        <v>382</v>
      </c>
      <c r="L41" s="18" t="s">
        <v>422</v>
      </c>
    </row>
    <row r="42" customFormat="false" ht="15" hidden="false" customHeight="false" outlineLevel="0" collapsed="false">
      <c r="A42" s="0" t="s">
        <v>423</v>
      </c>
      <c r="B42" s="18" t="s">
        <v>400</v>
      </c>
      <c r="C42" s="0" t="s">
        <v>335</v>
      </c>
      <c r="D42" s="66" t="n">
        <v>130</v>
      </c>
      <c r="E42" s="0" t="s">
        <v>335</v>
      </c>
      <c r="F42" s="5" t="n">
        <f aca="false">D42</f>
        <v>130</v>
      </c>
      <c r="J42" s="18" t="s">
        <v>389</v>
      </c>
      <c r="K42" s="18" t="s">
        <v>382</v>
      </c>
      <c r="L42" s="18" t="s">
        <v>424</v>
      </c>
    </row>
    <row r="43" customFormat="false" ht="15" hidden="false" customHeight="false" outlineLevel="0" collapsed="false">
      <c r="A43" s="0" t="s">
        <v>425</v>
      </c>
      <c r="B43" s="18" t="s">
        <v>373</v>
      </c>
      <c r="C43" s="0" t="s">
        <v>335</v>
      </c>
      <c r="D43" s="52" t="n">
        <v>0</v>
      </c>
      <c r="E43" s="0" t="s">
        <v>335</v>
      </c>
      <c r="F43" s="53" t="n">
        <f aca="false">D43</f>
        <v>0</v>
      </c>
      <c r="J43" s="18" t="s">
        <v>389</v>
      </c>
      <c r="K43" s="18" t="s">
        <v>337</v>
      </c>
      <c r="L43" s="18" t="s">
        <v>426</v>
      </c>
    </row>
    <row r="44" customFormat="false" ht="15" hidden="false" customHeight="false" outlineLevel="0" collapsed="false">
      <c r="A44" s="0" t="s">
        <v>427</v>
      </c>
      <c r="B44" s="18" t="s">
        <v>428</v>
      </c>
      <c r="C44" s="0" t="s">
        <v>335</v>
      </c>
      <c r="D44" s="60" t="n">
        <v>162</v>
      </c>
      <c r="E44" s="0" t="s">
        <v>335</v>
      </c>
      <c r="F44" s="5" t="n">
        <f aca="false">D44</f>
        <v>162</v>
      </c>
      <c r="J44" s="18" t="s">
        <v>389</v>
      </c>
      <c r="K44" s="18" t="s">
        <v>355</v>
      </c>
      <c r="L44" s="18" t="s">
        <v>429</v>
      </c>
    </row>
    <row r="45" customFormat="false" ht="15" hidden="false" customHeight="false" outlineLevel="0" collapsed="false">
      <c r="A45" s="0" t="s">
        <v>430</v>
      </c>
      <c r="B45" s="18" t="s">
        <v>373</v>
      </c>
      <c r="C45" s="0" t="s">
        <v>335</v>
      </c>
      <c r="D45" s="52" t="n">
        <v>0</v>
      </c>
      <c r="E45" s="0" t="s">
        <v>335</v>
      </c>
      <c r="F45" s="53" t="n">
        <f aca="false">D45</f>
        <v>0</v>
      </c>
      <c r="J45" s="18" t="s">
        <v>385</v>
      </c>
      <c r="K45" s="18" t="s">
        <v>337</v>
      </c>
      <c r="L45" s="18"/>
    </row>
    <row r="46" customFormat="false" ht="15" hidden="false" customHeight="false" outlineLevel="0" collapsed="false">
      <c r="A46" s="0" t="s">
        <v>431</v>
      </c>
      <c r="B46" s="18" t="s">
        <v>343</v>
      </c>
      <c r="C46" s="0" t="s">
        <v>335</v>
      </c>
      <c r="D46" s="52" t="n">
        <v>2028</v>
      </c>
      <c r="E46" s="0" t="s">
        <v>335</v>
      </c>
      <c r="F46" s="53" t="n">
        <f aca="false">D46</f>
        <v>2028</v>
      </c>
      <c r="J46" s="18" t="s">
        <v>336</v>
      </c>
      <c r="K46" s="18" t="s">
        <v>337</v>
      </c>
      <c r="L46" s="18"/>
    </row>
    <row r="47" customFormat="false" ht="15" hidden="false" customHeight="false" outlineLevel="0" collapsed="false">
      <c r="A47" s="0" t="s">
        <v>432</v>
      </c>
      <c r="B47" s="18" t="s">
        <v>340</v>
      </c>
      <c r="C47" s="0" t="s">
        <v>335</v>
      </c>
      <c r="D47" s="19" t="n">
        <v>0</v>
      </c>
      <c r="E47" s="0" t="s">
        <v>335</v>
      </c>
      <c r="F47" s="53" t="n">
        <f aca="false">D47</f>
        <v>0</v>
      </c>
      <c r="J47" s="18" t="s">
        <v>354</v>
      </c>
      <c r="K47" s="18" t="s">
        <v>355</v>
      </c>
      <c r="L47" s="18" t="s">
        <v>433</v>
      </c>
    </row>
    <row r="48" customFormat="false" ht="15" hidden="false" customHeight="false" outlineLevel="0" collapsed="false">
      <c r="A48" s="0" t="s">
        <v>434</v>
      </c>
      <c r="B48" s="18" t="s">
        <v>381</v>
      </c>
      <c r="C48" s="0" t="s">
        <v>335</v>
      </c>
      <c r="D48" s="68" t="n">
        <v>14.5</v>
      </c>
      <c r="E48" s="0" t="s">
        <v>335</v>
      </c>
      <c r="F48" s="57" t="n">
        <f aca="false">D48</f>
        <v>14.5</v>
      </c>
      <c r="J48" s="18" t="s">
        <v>354</v>
      </c>
      <c r="K48" s="18" t="s">
        <v>393</v>
      </c>
      <c r="L48" s="18" t="s">
        <v>435</v>
      </c>
    </row>
    <row r="49" customFormat="false" ht="15" hidden="false" customHeight="false" outlineLevel="0" collapsed="false">
      <c r="A49" s="0" t="s">
        <v>436</v>
      </c>
      <c r="B49" s="18" t="s">
        <v>373</v>
      </c>
      <c r="C49" s="0" t="s">
        <v>335</v>
      </c>
      <c r="D49" s="52" t="n">
        <v>0</v>
      </c>
      <c r="E49" s="0" t="s">
        <v>335</v>
      </c>
      <c r="F49" s="53" t="n">
        <f aca="false">D49</f>
        <v>0</v>
      </c>
      <c r="J49" s="18" t="s">
        <v>354</v>
      </c>
      <c r="K49" s="18" t="s">
        <v>337</v>
      </c>
      <c r="L49" s="18"/>
    </row>
    <row r="50" customFormat="false" ht="15" hidden="false" customHeight="false" outlineLevel="0" collapsed="false">
      <c r="A50" s="0" t="s">
        <v>437</v>
      </c>
      <c r="B50" s="18" t="s">
        <v>373</v>
      </c>
      <c r="C50" s="0" t="s">
        <v>335</v>
      </c>
      <c r="D50" s="52" t="n">
        <v>1</v>
      </c>
      <c r="E50" s="0" t="s">
        <v>335</v>
      </c>
      <c r="F50" s="53" t="n">
        <f aca="false">D50</f>
        <v>1</v>
      </c>
      <c r="J50" s="18" t="s">
        <v>389</v>
      </c>
      <c r="K50" s="18" t="s">
        <v>337</v>
      </c>
      <c r="L50" s="18" t="s">
        <v>438</v>
      </c>
    </row>
    <row r="51" customFormat="false" ht="15" hidden="false" customHeight="false" outlineLevel="0" collapsed="false">
      <c r="A51" s="0" t="s">
        <v>439</v>
      </c>
      <c r="B51" s="18" t="s">
        <v>440</v>
      </c>
      <c r="C51" s="0" t="s">
        <v>335</v>
      </c>
      <c r="D51" s="52" t="n">
        <v>13</v>
      </c>
      <c r="E51" s="0" t="s">
        <v>335</v>
      </c>
      <c r="F51" s="53" t="n">
        <f aca="false">D51</f>
        <v>13</v>
      </c>
      <c r="J51" s="18" t="s">
        <v>389</v>
      </c>
      <c r="K51" s="18" t="s">
        <v>337</v>
      </c>
      <c r="L51" s="18" t="s">
        <v>441</v>
      </c>
    </row>
    <row r="52" customFormat="false" ht="15" hidden="false" customHeight="false" outlineLevel="0" collapsed="false">
      <c r="A52" s="0" t="s">
        <v>442</v>
      </c>
      <c r="B52" s="18" t="s">
        <v>381</v>
      </c>
      <c r="C52" s="68" t="n">
        <v>25</v>
      </c>
      <c r="D52" s="68" t="n">
        <v>22</v>
      </c>
      <c r="E52" s="68" t="n">
        <v>20</v>
      </c>
      <c r="F52" s="57" t="n">
        <f aca="false">CHOOSE(Scen,C52,D52,E52)</f>
        <v>22</v>
      </c>
      <c r="J52" s="18" t="s">
        <v>389</v>
      </c>
      <c r="K52" s="18" t="s">
        <v>348</v>
      </c>
      <c r="L52" s="18" t="s">
        <v>443</v>
      </c>
    </row>
    <row r="53" customFormat="false" ht="15" hidden="false" customHeight="false" outlineLevel="0" collapsed="false">
      <c r="A53" s="0" t="s">
        <v>444</v>
      </c>
      <c r="B53" s="18" t="s">
        <v>388</v>
      </c>
      <c r="C53" s="0" t="s">
        <v>335</v>
      </c>
      <c r="D53" s="24" t="n">
        <v>0.1</v>
      </c>
      <c r="E53" s="0" t="s">
        <v>335</v>
      </c>
      <c r="F53" s="30" t="n">
        <f aca="false">D53</f>
        <v>0.1</v>
      </c>
      <c r="J53" s="18" t="s">
        <v>389</v>
      </c>
      <c r="K53" s="18" t="s">
        <v>355</v>
      </c>
      <c r="L53" s="18" t="s">
        <v>445</v>
      </c>
    </row>
    <row r="54" customFormat="false" ht="15" hidden="false" customHeight="false" outlineLevel="0" collapsed="false">
      <c r="A54" s="0" t="s">
        <v>446</v>
      </c>
      <c r="B54" s="18" t="s">
        <v>381</v>
      </c>
      <c r="C54" s="68" t="n">
        <v>50</v>
      </c>
      <c r="D54" s="68" t="n">
        <v>45</v>
      </c>
      <c r="E54" s="68" t="n">
        <v>40</v>
      </c>
      <c r="F54" s="57" t="n">
        <f aca="false">CHOOSE(Scen,C54,D54,E54)</f>
        <v>45</v>
      </c>
      <c r="J54" s="18" t="s">
        <v>389</v>
      </c>
      <c r="K54" s="18" t="s">
        <v>348</v>
      </c>
      <c r="L54" s="18" t="s">
        <v>447</v>
      </c>
    </row>
    <row r="55" customFormat="false" ht="15" hidden="false" customHeight="false" outlineLevel="0" collapsed="false">
      <c r="A55" s="0" t="s">
        <v>448</v>
      </c>
      <c r="B55" s="18" t="s">
        <v>373</v>
      </c>
      <c r="C55" s="19" t="n">
        <v>1</v>
      </c>
      <c r="D55" s="19" t="n">
        <v>1</v>
      </c>
      <c r="E55" s="19" t="n">
        <v>0</v>
      </c>
      <c r="F55" s="53" t="n">
        <f aca="false">CHOOSE(Scen,C55,D55,E55)</f>
        <v>1</v>
      </c>
      <c r="J55" s="18" t="s">
        <v>385</v>
      </c>
      <c r="K55" s="18" t="s">
        <v>355</v>
      </c>
      <c r="L55" s="18" t="s">
        <v>449</v>
      </c>
    </row>
    <row r="56" customFormat="false" ht="15" hidden="false" customHeight="false" outlineLevel="0" collapsed="false">
      <c r="A56" s="0" t="s">
        <v>450</v>
      </c>
      <c r="B56" s="18" t="s">
        <v>373</v>
      </c>
      <c r="C56" s="0" t="s">
        <v>335</v>
      </c>
      <c r="D56" s="52" t="n">
        <v>1</v>
      </c>
      <c r="E56" s="0" t="s">
        <v>335</v>
      </c>
      <c r="F56" s="53" t="n">
        <f aca="false">D56</f>
        <v>1</v>
      </c>
      <c r="J56" s="18" t="s">
        <v>389</v>
      </c>
      <c r="K56" s="18" t="s">
        <v>348</v>
      </c>
      <c r="L56" s="18" t="s">
        <v>451</v>
      </c>
    </row>
    <row r="57" customFormat="false" ht="15" hidden="false" customHeight="false" outlineLevel="0" collapsed="false">
      <c r="A57" s="0" t="s">
        <v>452</v>
      </c>
      <c r="B57" s="18" t="s">
        <v>373</v>
      </c>
      <c r="C57" s="0" t="s">
        <v>335</v>
      </c>
      <c r="D57" s="52" t="n">
        <v>1</v>
      </c>
      <c r="E57" s="0" t="s">
        <v>335</v>
      </c>
      <c r="F57" s="53" t="n">
        <f aca="false">D57</f>
        <v>1</v>
      </c>
      <c r="J57" s="18" t="s">
        <v>389</v>
      </c>
      <c r="K57" s="18" t="s">
        <v>337</v>
      </c>
      <c r="L57" s="18"/>
    </row>
    <row r="58" customFormat="false" ht="15" hidden="false" customHeight="false" outlineLevel="0" collapsed="false">
      <c r="A58" s="0" t="s">
        <v>453</v>
      </c>
      <c r="B58" s="18" t="s">
        <v>373</v>
      </c>
      <c r="C58" s="0" t="s">
        <v>335</v>
      </c>
      <c r="D58" s="52" t="n">
        <v>1</v>
      </c>
      <c r="E58" s="0" t="s">
        <v>335</v>
      </c>
      <c r="F58" s="53" t="n">
        <f aca="false">D58</f>
        <v>1</v>
      </c>
      <c r="J58" s="18" t="s">
        <v>389</v>
      </c>
      <c r="K58" s="18" t="s">
        <v>348</v>
      </c>
      <c r="L58" s="18" t="s">
        <v>454</v>
      </c>
    </row>
    <row r="59" customFormat="false" ht="15" hidden="false" customHeight="false" outlineLevel="0" collapsed="false">
      <c r="A59" s="0" t="s">
        <v>455</v>
      </c>
      <c r="B59" s="18" t="s">
        <v>456</v>
      </c>
      <c r="C59" s="0" t="s">
        <v>335</v>
      </c>
      <c r="D59" s="64" t="n">
        <v>30000</v>
      </c>
      <c r="E59" s="0" t="s">
        <v>335</v>
      </c>
      <c r="F59" s="5" t="n">
        <f aca="false">D59</f>
        <v>30000</v>
      </c>
      <c r="J59" s="18" t="s">
        <v>389</v>
      </c>
      <c r="K59" s="18" t="s">
        <v>348</v>
      </c>
      <c r="L59" s="18" t="s">
        <v>457</v>
      </c>
    </row>
    <row r="60" customFormat="false" ht="15" hidden="false" customHeight="false" outlineLevel="0" collapsed="false">
      <c r="A60" s="0" t="s">
        <v>458</v>
      </c>
      <c r="B60" s="18" t="s">
        <v>373</v>
      </c>
      <c r="C60" s="52" t="n">
        <v>0</v>
      </c>
      <c r="D60" s="52" t="n">
        <v>0</v>
      </c>
      <c r="E60" s="52" t="n">
        <v>1</v>
      </c>
      <c r="F60" s="53" t="n">
        <f aca="false">CHOOSE(Scen,C60,D60,E60)</f>
        <v>0</v>
      </c>
      <c r="J60" s="18" t="s">
        <v>336</v>
      </c>
      <c r="K60" s="18" t="s">
        <v>337</v>
      </c>
      <c r="L60" s="18" t="s">
        <v>459</v>
      </c>
    </row>
    <row r="61" customFormat="false" ht="15" hidden="false" customHeight="false" outlineLevel="0" collapsed="false">
      <c r="A61" s="0" t="s">
        <v>460</v>
      </c>
      <c r="B61" s="18" t="s">
        <v>373</v>
      </c>
      <c r="C61" s="0" t="s">
        <v>335</v>
      </c>
      <c r="D61" s="52" t="n">
        <v>0</v>
      </c>
      <c r="E61" s="0" t="s">
        <v>335</v>
      </c>
      <c r="F61" s="53" t="n">
        <f aca="false">D61</f>
        <v>0</v>
      </c>
      <c r="J61" s="18" t="s">
        <v>336</v>
      </c>
      <c r="K61" s="18" t="s">
        <v>337</v>
      </c>
      <c r="L61" s="18" t="s">
        <v>461</v>
      </c>
    </row>
    <row r="62" customFormat="false" ht="15" hidden="false" customHeight="false" outlineLevel="0" collapsed="false">
      <c r="A62" s="0" t="s">
        <v>462</v>
      </c>
      <c r="B62" s="18" t="s">
        <v>373</v>
      </c>
      <c r="C62" s="0" t="s">
        <v>335</v>
      </c>
      <c r="D62" s="52" t="n">
        <v>1</v>
      </c>
      <c r="E62" s="0" t="s">
        <v>335</v>
      </c>
      <c r="F62" s="53" t="n">
        <f aca="false">D62</f>
        <v>1</v>
      </c>
      <c r="J62" s="18" t="s">
        <v>336</v>
      </c>
      <c r="K62" s="18" t="s">
        <v>337</v>
      </c>
      <c r="L62" s="18"/>
    </row>
    <row r="63" customFormat="false" ht="15" hidden="false" customHeight="false" outlineLevel="0" collapsed="false">
      <c r="A63" s="0" t="s">
        <v>463</v>
      </c>
      <c r="B63" s="18" t="s">
        <v>464</v>
      </c>
      <c r="C63" s="0" t="s">
        <v>335</v>
      </c>
      <c r="D63" s="22" t="n">
        <v>0.125</v>
      </c>
      <c r="E63" s="0" t="s">
        <v>335</v>
      </c>
      <c r="F63" s="62" t="n">
        <f aca="false">D63</f>
        <v>0.125</v>
      </c>
      <c r="J63" s="18" t="s">
        <v>385</v>
      </c>
      <c r="K63" s="18" t="s">
        <v>355</v>
      </c>
      <c r="L63" s="18" t="s">
        <v>465</v>
      </c>
    </row>
    <row r="64" customFormat="false" ht="15" hidden="false" customHeight="false" outlineLevel="0" collapsed="false">
      <c r="A64" s="0" t="s">
        <v>466</v>
      </c>
      <c r="B64" s="18" t="s">
        <v>440</v>
      </c>
      <c r="C64" s="0" t="s">
        <v>335</v>
      </c>
      <c r="D64" s="19" t="n">
        <v>11</v>
      </c>
      <c r="E64" s="0" t="s">
        <v>335</v>
      </c>
      <c r="F64" s="53" t="n">
        <f aca="false">D64</f>
        <v>11</v>
      </c>
      <c r="J64" s="18" t="s">
        <v>385</v>
      </c>
      <c r="K64" s="18" t="s">
        <v>355</v>
      </c>
      <c r="L64" s="18" t="s">
        <v>441</v>
      </c>
    </row>
    <row r="65" customFormat="false" ht="15" hidden="false" customHeight="false" outlineLevel="0" collapsed="false">
      <c r="A65" s="0" t="s">
        <v>467</v>
      </c>
      <c r="B65" s="18" t="s">
        <v>468</v>
      </c>
      <c r="C65" s="0" t="s">
        <v>335</v>
      </c>
      <c r="D65" s="69" t="s">
        <v>50</v>
      </c>
      <c r="E65" s="0" t="s">
        <v>335</v>
      </c>
      <c r="F65" s="4" t="str">
        <f aca="false">D65</f>
        <v>Q4'27</v>
      </c>
      <c r="J65" s="18" t="s">
        <v>347</v>
      </c>
      <c r="K65" s="18" t="s">
        <v>355</v>
      </c>
      <c r="L65" s="18" t="s">
        <v>469</v>
      </c>
    </row>
    <row r="66" customFormat="false" ht="15" hidden="false" customHeight="false" outlineLevel="0" collapsed="false">
      <c r="A66" s="0" t="s">
        <v>470</v>
      </c>
      <c r="B66" s="18" t="s">
        <v>471</v>
      </c>
      <c r="C66" s="0" t="s">
        <v>335</v>
      </c>
      <c r="D66" s="65" t="n">
        <v>-0.15</v>
      </c>
      <c r="E66" s="0" t="s">
        <v>335</v>
      </c>
      <c r="F66" s="6" t="n">
        <f aca="false">D66</f>
        <v>-0.15</v>
      </c>
      <c r="J66" s="18" t="s">
        <v>347</v>
      </c>
      <c r="K66" s="18" t="s">
        <v>355</v>
      </c>
      <c r="L66" s="18"/>
    </row>
    <row r="67" customFormat="false" ht="15" hidden="false" customHeight="false" outlineLevel="0" collapsed="false">
      <c r="A67" s="0" t="s">
        <v>472</v>
      </c>
      <c r="B67" s="18" t="s">
        <v>471</v>
      </c>
      <c r="C67" s="0" t="s">
        <v>335</v>
      </c>
      <c r="D67" s="56" t="n">
        <v>-6.8</v>
      </c>
      <c r="E67" s="0" t="s">
        <v>335</v>
      </c>
      <c r="F67" s="57" t="n">
        <f aca="false">D67</f>
        <v>-6.8</v>
      </c>
      <c r="J67" s="18" t="s">
        <v>347</v>
      </c>
      <c r="K67" s="18" t="s">
        <v>355</v>
      </c>
      <c r="L67" s="18"/>
    </row>
    <row r="68" customFormat="false" ht="15" hidden="false" customHeight="false" outlineLevel="0" collapsed="false">
      <c r="A68" s="0" t="s">
        <v>473</v>
      </c>
      <c r="B68" s="18" t="s">
        <v>468</v>
      </c>
      <c r="C68" s="0" t="s">
        <v>335</v>
      </c>
      <c r="D68" s="69" t="s">
        <v>474</v>
      </c>
      <c r="E68" s="0" t="s">
        <v>335</v>
      </c>
      <c r="F68" s="4" t="str">
        <f aca="false">D68</f>
        <v>never thru 2030</v>
      </c>
      <c r="J68" s="18" t="s">
        <v>347</v>
      </c>
      <c r="K68" s="18" t="s">
        <v>355</v>
      </c>
      <c r="L68" s="18"/>
    </row>
    <row r="69" customFormat="false" ht="15" hidden="false" customHeight="false" outlineLevel="0" collapsed="false">
      <c r="A69" s="0" t="s">
        <v>475</v>
      </c>
      <c r="B69" s="18" t="s">
        <v>471</v>
      </c>
      <c r="C69" s="0" t="s">
        <v>335</v>
      </c>
      <c r="D69" s="56" t="n">
        <v>7.1</v>
      </c>
      <c r="E69" s="0" t="s">
        <v>335</v>
      </c>
      <c r="F69" s="57" t="n">
        <f aca="false">D69</f>
        <v>7.1</v>
      </c>
      <c r="J69" s="18" t="s">
        <v>347</v>
      </c>
      <c r="K69" s="18" t="s">
        <v>355</v>
      </c>
      <c r="L69" s="18"/>
    </row>
    <row r="70" customFormat="false" ht="15" hidden="false" customHeight="false" outlineLevel="0" collapsed="false">
      <c r="A70" s="0" t="s">
        <v>476</v>
      </c>
      <c r="B70" s="18" t="s">
        <v>471</v>
      </c>
      <c r="C70" s="0" t="s">
        <v>335</v>
      </c>
      <c r="D70" s="56" t="n">
        <v>1.5</v>
      </c>
      <c r="E70" s="0" t="s">
        <v>335</v>
      </c>
      <c r="F70" s="57" t="n">
        <f aca="false">D70</f>
        <v>1.5</v>
      </c>
      <c r="J70" s="18" t="s">
        <v>347</v>
      </c>
      <c r="K70" s="18" t="s">
        <v>355</v>
      </c>
      <c r="L70" s="18"/>
    </row>
    <row r="71" customFormat="false" ht="15" hidden="false" customHeight="false" outlineLevel="0" collapsed="false">
      <c r="A71" s="0" t="s">
        <v>477</v>
      </c>
      <c r="B71" s="18" t="s">
        <v>468</v>
      </c>
      <c r="C71" s="0" t="s">
        <v>335</v>
      </c>
      <c r="D71" s="69" t="s">
        <v>60</v>
      </c>
      <c r="E71" s="0" t="s">
        <v>335</v>
      </c>
      <c r="F71" s="4" t="str">
        <f aca="false">D71</f>
        <v>Q3'27</v>
      </c>
      <c r="J71" s="18" t="s">
        <v>347</v>
      </c>
      <c r="K71" s="18" t="s">
        <v>355</v>
      </c>
      <c r="L71" s="18"/>
    </row>
    <row r="72" customFormat="false" ht="15" hidden="false" customHeight="false" outlineLevel="0" collapsed="false">
      <c r="A72" s="0" t="s">
        <v>478</v>
      </c>
      <c r="B72" s="18" t="s">
        <v>471</v>
      </c>
      <c r="C72" s="0" t="s">
        <v>335</v>
      </c>
      <c r="D72" s="56" t="n">
        <v>-7.4</v>
      </c>
      <c r="E72" s="0" t="s">
        <v>335</v>
      </c>
      <c r="F72" s="57" t="n">
        <f aca="false">D72</f>
        <v>-7.4</v>
      </c>
      <c r="J72" s="18" t="s">
        <v>347</v>
      </c>
      <c r="K72" s="18" t="s">
        <v>355</v>
      </c>
      <c r="L72" s="18"/>
    </row>
    <row r="73" customFormat="false" ht="15" hidden="false" customHeight="false" outlineLevel="0" collapsed="false">
      <c r="A73" s="0" t="s">
        <v>479</v>
      </c>
      <c r="B73" s="18" t="s">
        <v>471</v>
      </c>
      <c r="C73" s="0" t="s">
        <v>335</v>
      </c>
      <c r="D73" s="56" t="n">
        <v>-15.6</v>
      </c>
      <c r="E73" s="0" t="s">
        <v>335</v>
      </c>
      <c r="F73" s="57" t="n">
        <f aca="false">D73</f>
        <v>-15.6</v>
      </c>
      <c r="J73" s="18" t="s">
        <v>347</v>
      </c>
      <c r="K73" s="18" t="s">
        <v>355</v>
      </c>
      <c r="L73" s="18"/>
    </row>
    <row r="74" customFormat="false" ht="15" hidden="false" customHeight="false" outlineLevel="0" collapsed="false">
      <c r="A74" s="0" t="s">
        <v>480</v>
      </c>
      <c r="B74" s="18" t="s">
        <v>468</v>
      </c>
      <c r="C74" s="0" t="s">
        <v>335</v>
      </c>
      <c r="D74" s="69" t="s">
        <v>58</v>
      </c>
      <c r="E74" s="0" t="s">
        <v>335</v>
      </c>
      <c r="F74" s="4" t="str">
        <f aca="false">D74</f>
        <v>Q2'27</v>
      </c>
      <c r="J74" s="18" t="s">
        <v>347</v>
      </c>
      <c r="K74" s="18" t="s">
        <v>355</v>
      </c>
      <c r="L74" s="18"/>
    </row>
    <row r="75" customFormat="false" ht="15" hidden="false" customHeight="false" outlineLevel="0" collapsed="false">
      <c r="A75" s="0" t="s">
        <v>481</v>
      </c>
      <c r="B75" s="18" t="s">
        <v>471</v>
      </c>
      <c r="C75" s="0" t="s">
        <v>335</v>
      </c>
      <c r="D75" s="56" t="n">
        <v>-9.9</v>
      </c>
      <c r="E75" s="0" t="s">
        <v>335</v>
      </c>
      <c r="F75" s="57" t="n">
        <f aca="false">D75</f>
        <v>-9.9</v>
      </c>
      <c r="J75" s="18" t="s">
        <v>347</v>
      </c>
      <c r="K75" s="18" t="s">
        <v>355</v>
      </c>
      <c r="L75" s="18"/>
    </row>
    <row r="76" customFormat="false" ht="15" hidden="false" customHeight="false" outlineLevel="0" collapsed="false">
      <c r="A76" s="0" t="s">
        <v>482</v>
      </c>
      <c r="B76" s="18" t="s">
        <v>471</v>
      </c>
      <c r="C76" s="0" t="s">
        <v>335</v>
      </c>
      <c r="D76" s="69" t="s">
        <v>483</v>
      </c>
      <c r="E76" s="0" t="s">
        <v>335</v>
      </c>
      <c r="F76" s="4" t="str">
        <f aca="false">D76</f>
        <v>negative</v>
      </c>
      <c r="J76" s="18" t="s">
        <v>347</v>
      </c>
      <c r="K76" s="18" t="s">
        <v>355</v>
      </c>
      <c r="L76" s="18"/>
    </row>
    <row r="77" customFormat="false" ht="15" hidden="false" customHeight="false" outlineLevel="0" collapsed="false">
      <c r="A77" s="0" t="s">
        <v>484</v>
      </c>
      <c r="B77" s="18" t="s">
        <v>471</v>
      </c>
      <c r="C77" s="0" t="s">
        <v>335</v>
      </c>
      <c r="D77" s="56" t="n">
        <v>2.3</v>
      </c>
      <c r="E77" s="0" t="s">
        <v>335</v>
      </c>
      <c r="F77" s="57" t="n">
        <f aca="false">D77</f>
        <v>2.3</v>
      </c>
      <c r="J77" s="18" t="s">
        <v>347</v>
      </c>
      <c r="K77" s="18" t="s">
        <v>355</v>
      </c>
      <c r="L77" s="18" t="s">
        <v>485</v>
      </c>
    </row>
    <row r="78" customFormat="false" ht="15" hidden="false" customHeight="false" outlineLevel="0" collapsed="false">
      <c r="A78" s="0" t="s">
        <v>486</v>
      </c>
      <c r="B78" s="18" t="s">
        <v>471</v>
      </c>
      <c r="C78" s="0" t="s">
        <v>335</v>
      </c>
      <c r="D78" s="56" t="n">
        <v>16.3</v>
      </c>
      <c r="E78" s="0" t="s">
        <v>335</v>
      </c>
      <c r="F78" s="57" t="n">
        <f aca="false">D78</f>
        <v>16.3</v>
      </c>
      <c r="J78" s="18" t="s">
        <v>347</v>
      </c>
      <c r="K78" s="18" t="s">
        <v>355</v>
      </c>
      <c r="L78" s="18"/>
    </row>
    <row r="79" customFormat="false" ht="15" hidden="false" customHeight="false" outlineLevel="0" collapsed="false">
      <c r="A79" s="0" t="s">
        <v>487</v>
      </c>
      <c r="B79" s="18" t="s">
        <v>400</v>
      </c>
      <c r="C79" s="0" t="s">
        <v>335</v>
      </c>
      <c r="D79" s="60" t="n">
        <v>-340</v>
      </c>
      <c r="E79" s="0" t="s">
        <v>335</v>
      </c>
      <c r="F79" s="5" t="n">
        <f aca="false">D79</f>
        <v>-340</v>
      </c>
      <c r="J79" s="18" t="s">
        <v>347</v>
      </c>
      <c r="K79" s="18" t="s">
        <v>355</v>
      </c>
      <c r="L79" s="18"/>
    </row>
    <row r="80" customFormat="false" ht="15" hidden="false" customHeight="false" outlineLevel="0" collapsed="false">
      <c r="A80" s="0" t="s">
        <v>488</v>
      </c>
      <c r="B80" s="18" t="s">
        <v>400</v>
      </c>
      <c r="C80" s="0" t="s">
        <v>335</v>
      </c>
      <c r="D80" s="60" t="n">
        <v>-782</v>
      </c>
      <c r="E80" s="0" t="s">
        <v>335</v>
      </c>
      <c r="F80" s="5" t="n">
        <f aca="false">D80</f>
        <v>-782</v>
      </c>
      <c r="J80" s="18" t="s">
        <v>347</v>
      </c>
      <c r="K80" s="18" t="s">
        <v>355</v>
      </c>
      <c r="L80" s="18"/>
    </row>
    <row r="81" customFormat="false" ht="15" hidden="false" customHeight="false" outlineLevel="0" collapsed="false">
      <c r="A81" s="0" t="s">
        <v>489</v>
      </c>
      <c r="B81" s="18" t="s">
        <v>400</v>
      </c>
      <c r="C81" s="0" t="s">
        <v>335</v>
      </c>
      <c r="D81" s="60" t="n">
        <v>-1600</v>
      </c>
      <c r="E81" s="0" t="s">
        <v>335</v>
      </c>
      <c r="F81" s="5" t="n">
        <f aca="false">D81</f>
        <v>-1600</v>
      </c>
      <c r="J81" s="18" t="s">
        <v>347</v>
      </c>
      <c r="K81" s="18" t="s">
        <v>355</v>
      </c>
      <c r="L81" s="18"/>
    </row>
    <row r="82" customFormat="false" ht="15" hidden="false" customHeight="false" outlineLevel="0" collapsed="false">
      <c r="A82" s="0" t="s">
        <v>490</v>
      </c>
      <c r="B82" s="18" t="s">
        <v>491</v>
      </c>
      <c r="C82" s="0" t="s">
        <v>335</v>
      </c>
      <c r="D82" s="60" t="n">
        <v>45000</v>
      </c>
      <c r="E82" s="0" t="s">
        <v>335</v>
      </c>
      <c r="F82" s="5" t="n">
        <f aca="false">D82</f>
        <v>45000</v>
      </c>
      <c r="J82" s="18" t="s">
        <v>354</v>
      </c>
      <c r="K82" s="18" t="s">
        <v>355</v>
      </c>
      <c r="L82" s="18" t="s">
        <v>492</v>
      </c>
    </row>
    <row r="83" customFormat="false" ht="15" hidden="false" customHeight="false" outlineLevel="0" collapsed="false">
      <c r="A83" s="0" t="s">
        <v>493</v>
      </c>
      <c r="B83" s="18" t="s">
        <v>491</v>
      </c>
      <c r="C83" s="0" t="s">
        <v>335</v>
      </c>
      <c r="D83" s="60" t="n">
        <v>60000</v>
      </c>
      <c r="E83" s="0" t="s">
        <v>335</v>
      </c>
      <c r="F83" s="5" t="n">
        <f aca="false">D83</f>
        <v>60000</v>
      </c>
      <c r="J83" s="18" t="s">
        <v>354</v>
      </c>
      <c r="K83" s="18" t="s">
        <v>355</v>
      </c>
      <c r="L83" s="18"/>
    </row>
    <row r="84" customFormat="false" ht="15" hidden="false" customHeight="false" outlineLevel="0" collapsed="false">
      <c r="A84" s="0" t="s">
        <v>494</v>
      </c>
      <c r="B84" s="18" t="s">
        <v>360</v>
      </c>
      <c r="C84" s="0" t="s">
        <v>335</v>
      </c>
      <c r="D84" s="65" t="n">
        <v>11.25</v>
      </c>
      <c r="E84" s="0" t="s">
        <v>335</v>
      </c>
      <c r="F84" s="6" t="n">
        <f aca="false">D84</f>
        <v>11.25</v>
      </c>
      <c r="J84" s="18" t="s">
        <v>354</v>
      </c>
      <c r="K84" s="18" t="s">
        <v>355</v>
      </c>
      <c r="L84" s="18" t="s">
        <v>495</v>
      </c>
    </row>
    <row r="85" customFormat="false" ht="15" hidden="false" customHeight="false" outlineLevel="0" collapsed="false">
      <c r="A85" s="0" t="s">
        <v>496</v>
      </c>
      <c r="B85" s="18" t="s">
        <v>373</v>
      </c>
      <c r="C85" s="52" t="n">
        <v>1</v>
      </c>
      <c r="D85" s="52" t="n">
        <v>1</v>
      </c>
      <c r="E85" s="52" t="n">
        <v>1</v>
      </c>
      <c r="F85" s="53" t="n">
        <f aca="false">CHOOSE(Scen,C85,D85,E85)</f>
        <v>1</v>
      </c>
      <c r="J85" s="18" t="s">
        <v>385</v>
      </c>
      <c r="K85" s="18" t="s">
        <v>337</v>
      </c>
      <c r="L85" s="18" t="s">
        <v>497</v>
      </c>
    </row>
    <row r="86" customFormat="false" ht="15" hidden="false" customHeight="false" outlineLevel="0" collapsed="false">
      <c r="A86" s="0" t="s">
        <v>498</v>
      </c>
      <c r="B86" s="18" t="s">
        <v>388</v>
      </c>
      <c r="C86" s="70" t="n">
        <v>0.0625</v>
      </c>
      <c r="D86" s="70" t="n">
        <v>0.22</v>
      </c>
      <c r="E86" s="70" t="n">
        <v>0.31</v>
      </c>
      <c r="F86" s="71" t="n">
        <f aca="false">CHOOSE(Scen,C86,D86,E86)</f>
        <v>0.22</v>
      </c>
      <c r="J86" s="18" t="s">
        <v>385</v>
      </c>
      <c r="K86" s="18" t="s">
        <v>355</v>
      </c>
      <c r="L86" s="18" t="s">
        <v>499</v>
      </c>
    </row>
    <row r="87" customFormat="false" ht="15" hidden="false" customHeight="false" outlineLevel="0" collapsed="false">
      <c r="A87" s="0" t="s">
        <v>500</v>
      </c>
      <c r="B87" s="18" t="s">
        <v>440</v>
      </c>
      <c r="C87" s="0" t="s">
        <v>335</v>
      </c>
      <c r="D87" s="19" t="n">
        <v>13</v>
      </c>
      <c r="E87" s="0" t="s">
        <v>335</v>
      </c>
      <c r="F87" s="53" t="n">
        <f aca="false">D87</f>
        <v>13</v>
      </c>
      <c r="J87" s="18" t="s">
        <v>385</v>
      </c>
      <c r="K87" s="18" t="s">
        <v>355</v>
      </c>
      <c r="L87" s="18" t="s">
        <v>501</v>
      </c>
    </row>
    <row r="88" customFormat="false" ht="15" hidden="false" customHeight="false" outlineLevel="0" collapsed="false">
      <c r="A88" s="48" t="s">
        <v>502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</row>
    <row r="89" customFormat="false" ht="15" hidden="false" customHeight="false" outlineLevel="0" collapsed="false">
      <c r="A89" s="0" t="s">
        <v>503</v>
      </c>
      <c r="B89" s="18" t="s">
        <v>504</v>
      </c>
      <c r="C89" s="72" t="n">
        <v>1</v>
      </c>
      <c r="D89" s="72" t="n">
        <v>1</v>
      </c>
      <c r="E89" s="72" t="n">
        <v>0.85</v>
      </c>
      <c r="F89" s="55" t="n">
        <f aca="false">CHOOSE(Scen,C89,D89,E89)</f>
        <v>1</v>
      </c>
      <c r="J89" s="18" t="s">
        <v>347</v>
      </c>
      <c r="K89" s="18" t="s">
        <v>382</v>
      </c>
      <c r="L89" s="18" t="s">
        <v>505</v>
      </c>
    </row>
    <row r="90" customFormat="false" ht="15" hidden="false" customHeight="false" outlineLevel="0" collapsed="false">
      <c r="A90" s="0" t="s">
        <v>506</v>
      </c>
      <c r="B90" s="18" t="s">
        <v>353</v>
      </c>
      <c r="C90" s="67" t="n">
        <v>0</v>
      </c>
      <c r="D90" s="67" t="n">
        <v>0</v>
      </c>
      <c r="E90" s="67" t="n">
        <v>0</v>
      </c>
      <c r="F90" s="53" t="n">
        <f aca="false">CHOOSE(Scen,C90,D90,E90)</f>
        <v>0</v>
      </c>
      <c r="J90" s="18" t="s">
        <v>347</v>
      </c>
      <c r="K90" s="18" t="s">
        <v>382</v>
      </c>
      <c r="L90" s="18" t="s">
        <v>507</v>
      </c>
    </row>
    <row r="91" customFormat="false" ht="15" hidden="false" customHeight="false" outlineLevel="0" collapsed="false">
      <c r="A91" s="0" t="s">
        <v>508</v>
      </c>
      <c r="B91" s="18" t="s">
        <v>504</v>
      </c>
      <c r="C91" s="73" t="n">
        <v>1.2</v>
      </c>
      <c r="D91" s="73" t="n">
        <v>1.25</v>
      </c>
      <c r="E91" s="73" t="n">
        <v>1.35</v>
      </c>
      <c r="F91" s="55" t="n">
        <f aca="false">CHOOSE(Scen,C91,D91,E91)</f>
        <v>1.25</v>
      </c>
      <c r="J91" s="18" t="s">
        <v>354</v>
      </c>
      <c r="K91" s="18" t="s">
        <v>355</v>
      </c>
      <c r="L91" s="18" t="s">
        <v>509</v>
      </c>
    </row>
    <row r="92" customFormat="false" ht="15" hidden="false" customHeight="false" outlineLevel="0" collapsed="false">
      <c r="A92" s="0" t="s">
        <v>510</v>
      </c>
      <c r="B92" s="18" t="s">
        <v>388</v>
      </c>
      <c r="C92" s="0" t="s">
        <v>335</v>
      </c>
      <c r="D92" s="63" t="n">
        <v>0.8</v>
      </c>
      <c r="E92" s="0" t="s">
        <v>335</v>
      </c>
      <c r="F92" s="30" t="n">
        <f aca="false">D92</f>
        <v>0.8</v>
      </c>
      <c r="J92" s="18" t="s">
        <v>354</v>
      </c>
      <c r="K92" s="18" t="s">
        <v>382</v>
      </c>
      <c r="L92" s="18" t="s">
        <v>511</v>
      </c>
    </row>
    <row r="93" customFormat="false" ht="15" hidden="false" customHeight="false" outlineLevel="0" collapsed="false">
      <c r="A93" s="0" t="s">
        <v>512</v>
      </c>
      <c r="B93" s="18" t="s">
        <v>513</v>
      </c>
      <c r="C93" s="0" t="s">
        <v>335</v>
      </c>
      <c r="D93" s="60" t="n">
        <v>713</v>
      </c>
      <c r="E93" s="0" t="s">
        <v>335</v>
      </c>
      <c r="F93" s="5" t="n">
        <f aca="false">D93</f>
        <v>713</v>
      </c>
      <c r="J93" s="18" t="s">
        <v>354</v>
      </c>
      <c r="K93" s="18" t="s">
        <v>355</v>
      </c>
      <c r="L93" s="18" t="s">
        <v>514</v>
      </c>
    </row>
    <row r="94" customFormat="false" ht="15" hidden="false" customHeight="false" outlineLevel="0" collapsed="false">
      <c r="A94" s="0" t="s">
        <v>515</v>
      </c>
      <c r="B94" s="18" t="s">
        <v>513</v>
      </c>
      <c r="C94" s="0" t="s">
        <v>335</v>
      </c>
      <c r="D94" s="60" t="n">
        <v>500</v>
      </c>
      <c r="E94" s="0" t="s">
        <v>335</v>
      </c>
      <c r="F94" s="5" t="n">
        <f aca="false">D94</f>
        <v>500</v>
      </c>
      <c r="J94" s="18" t="s">
        <v>354</v>
      </c>
      <c r="K94" s="18" t="s">
        <v>355</v>
      </c>
      <c r="L94" s="18" t="s">
        <v>516</v>
      </c>
    </row>
    <row r="95" customFormat="false" ht="15" hidden="false" customHeight="false" outlineLevel="0" collapsed="false">
      <c r="A95" s="0" t="s">
        <v>517</v>
      </c>
      <c r="B95" s="18" t="s">
        <v>513</v>
      </c>
      <c r="C95" s="0" t="s">
        <v>335</v>
      </c>
      <c r="D95" s="66" t="n">
        <v>320</v>
      </c>
      <c r="E95" s="0" t="s">
        <v>335</v>
      </c>
      <c r="F95" s="5" t="n">
        <f aca="false">D95</f>
        <v>320</v>
      </c>
      <c r="J95" s="18" t="s">
        <v>354</v>
      </c>
      <c r="K95" s="18" t="s">
        <v>382</v>
      </c>
      <c r="L95" s="18" t="s">
        <v>518</v>
      </c>
    </row>
    <row r="96" customFormat="false" ht="15" hidden="false" customHeight="false" outlineLevel="0" collapsed="false">
      <c r="A96" s="48" t="s">
        <v>519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</row>
    <row r="97" customFormat="false" ht="15" hidden="false" customHeight="false" outlineLevel="0" collapsed="false">
      <c r="A97" s="0" t="s">
        <v>520</v>
      </c>
      <c r="B97" s="18" t="s">
        <v>388</v>
      </c>
      <c r="C97" s="59" t="n">
        <v>0.25</v>
      </c>
      <c r="D97" s="59" t="n">
        <v>0.35</v>
      </c>
      <c r="E97" s="59" t="n">
        <v>0.35</v>
      </c>
      <c r="F97" s="30" t="n">
        <f aca="false">CHOOSE(Scen,C97,D97,E97)</f>
        <v>0.35</v>
      </c>
      <c r="J97" s="18" t="s">
        <v>385</v>
      </c>
      <c r="K97" s="18" t="s">
        <v>393</v>
      </c>
      <c r="L97" s="18" t="s">
        <v>521</v>
      </c>
    </row>
    <row r="98" customFormat="false" ht="15" hidden="false" customHeight="false" outlineLevel="0" collapsed="false">
      <c r="A98" s="0" t="s">
        <v>522</v>
      </c>
      <c r="B98" s="18" t="s">
        <v>504</v>
      </c>
      <c r="C98" s="72" t="n">
        <v>1.05</v>
      </c>
      <c r="D98" s="72" t="n">
        <v>1</v>
      </c>
      <c r="E98" s="72" t="n">
        <v>0.9</v>
      </c>
      <c r="F98" s="55" t="n">
        <f aca="false">CHOOSE(Scen,C98,D98,E98)</f>
        <v>1</v>
      </c>
      <c r="J98" s="18" t="s">
        <v>385</v>
      </c>
      <c r="K98" s="18" t="s">
        <v>382</v>
      </c>
      <c r="L98" s="18" t="s">
        <v>523</v>
      </c>
    </row>
    <row r="99" customFormat="false" ht="15" hidden="false" customHeight="false" outlineLevel="0" collapsed="false">
      <c r="A99" s="0" t="s">
        <v>524</v>
      </c>
      <c r="B99" s="18" t="s">
        <v>373</v>
      </c>
      <c r="C99" s="0" t="s">
        <v>335</v>
      </c>
      <c r="D99" s="52" t="n">
        <v>1</v>
      </c>
      <c r="E99" s="0" t="s">
        <v>335</v>
      </c>
      <c r="F99" s="53" t="n">
        <f aca="false">D99</f>
        <v>1</v>
      </c>
      <c r="J99" s="18" t="s">
        <v>385</v>
      </c>
      <c r="K99" s="18" t="s">
        <v>337</v>
      </c>
      <c r="L99" s="18"/>
    </row>
    <row r="100" customFormat="false" ht="15" hidden="false" customHeight="false" outlineLevel="0" collapsed="false">
      <c r="A100" s="0" t="s">
        <v>525</v>
      </c>
      <c r="B100" s="18" t="s">
        <v>373</v>
      </c>
      <c r="C100" s="0" t="s">
        <v>335</v>
      </c>
      <c r="D100" s="67" t="n">
        <v>0</v>
      </c>
      <c r="E100" s="0" t="s">
        <v>335</v>
      </c>
      <c r="F100" s="53" t="n">
        <f aca="false">D100</f>
        <v>0</v>
      </c>
      <c r="J100" s="18" t="s">
        <v>347</v>
      </c>
      <c r="K100" s="18" t="s">
        <v>382</v>
      </c>
      <c r="L100" s="18" t="s">
        <v>526</v>
      </c>
    </row>
    <row r="101" customFormat="false" ht="15" hidden="false" customHeight="false" outlineLevel="0" collapsed="false">
      <c r="A101" s="0" t="s">
        <v>527</v>
      </c>
      <c r="B101" s="18" t="s">
        <v>528</v>
      </c>
      <c r="C101" s="0" t="s">
        <v>335</v>
      </c>
      <c r="D101" s="63" t="n">
        <v>-0.15</v>
      </c>
      <c r="E101" s="0" t="s">
        <v>335</v>
      </c>
      <c r="F101" s="30" t="n">
        <f aca="false">D101</f>
        <v>-0.15</v>
      </c>
      <c r="J101" s="18" t="s">
        <v>347</v>
      </c>
      <c r="K101" s="18" t="s">
        <v>382</v>
      </c>
      <c r="L101" s="18" t="s">
        <v>529</v>
      </c>
    </row>
    <row r="102" customFormat="false" ht="15" hidden="false" customHeight="false" outlineLevel="0" collapsed="false">
      <c r="A102" s="0" t="s">
        <v>530</v>
      </c>
      <c r="B102" s="18" t="s">
        <v>440</v>
      </c>
      <c r="C102" s="0" t="s">
        <v>335</v>
      </c>
      <c r="D102" s="67" t="n">
        <v>17</v>
      </c>
      <c r="E102" s="0" t="s">
        <v>335</v>
      </c>
      <c r="F102" s="53" t="n">
        <f aca="false">D102</f>
        <v>17</v>
      </c>
      <c r="J102" s="18" t="s">
        <v>347</v>
      </c>
      <c r="K102" s="18" t="s">
        <v>382</v>
      </c>
      <c r="L102" s="18" t="s">
        <v>531</v>
      </c>
    </row>
    <row r="103" customFormat="false" ht="15" hidden="false" customHeight="false" outlineLevel="0" collapsed="false">
      <c r="A103" s="0" t="s">
        <v>532</v>
      </c>
      <c r="B103" s="18" t="s">
        <v>528</v>
      </c>
      <c r="C103" s="63" t="n">
        <v>-0.05</v>
      </c>
      <c r="D103" s="63" t="n">
        <v>-0.15</v>
      </c>
      <c r="E103" s="63" t="n">
        <v>-0.3</v>
      </c>
      <c r="F103" s="30" t="n">
        <f aca="false">CHOOSE(Scen,C103,D103,E103)</f>
        <v>-0.15</v>
      </c>
      <c r="J103" s="18" t="s">
        <v>385</v>
      </c>
      <c r="K103" s="18" t="s">
        <v>382</v>
      </c>
      <c r="L103" s="18" t="s">
        <v>533</v>
      </c>
    </row>
    <row r="104" customFormat="false" ht="15" hidden="false" customHeight="false" outlineLevel="0" collapsed="false">
      <c r="A104" s="0" t="s">
        <v>534</v>
      </c>
      <c r="B104" s="18" t="s">
        <v>528</v>
      </c>
      <c r="C104" s="22" t="n">
        <v>-0.025</v>
      </c>
      <c r="D104" s="22" t="n">
        <v>-0.06</v>
      </c>
      <c r="E104" s="22" t="n">
        <v>-0.095</v>
      </c>
      <c r="F104" s="62" t="n">
        <f aca="false">CHOOSE(Scen,C104,D104,E104)</f>
        <v>-0.06</v>
      </c>
      <c r="J104" s="18" t="s">
        <v>385</v>
      </c>
      <c r="K104" s="18" t="s">
        <v>355</v>
      </c>
      <c r="L104" s="18" t="s">
        <v>535</v>
      </c>
    </row>
    <row r="105" customFormat="false" ht="15" hidden="false" customHeight="false" outlineLevel="0" collapsed="false">
      <c r="A105" s="0" t="s">
        <v>536</v>
      </c>
      <c r="B105" s="18" t="s">
        <v>528</v>
      </c>
      <c r="C105" s="22" t="n">
        <v>-0.025</v>
      </c>
      <c r="D105" s="22" t="n">
        <v>-0.06</v>
      </c>
      <c r="E105" s="22" t="n">
        <v>-0.095</v>
      </c>
      <c r="F105" s="62" t="n">
        <f aca="false">CHOOSE(Scen,C105,D105,E105)</f>
        <v>-0.06</v>
      </c>
      <c r="J105" s="18" t="s">
        <v>385</v>
      </c>
      <c r="K105" s="18" t="s">
        <v>355</v>
      </c>
      <c r="L105" s="18" t="s">
        <v>537</v>
      </c>
    </row>
    <row r="106" customFormat="false" ht="15" hidden="false" customHeight="false" outlineLevel="0" collapsed="false">
      <c r="A106" s="0" t="s">
        <v>538</v>
      </c>
      <c r="B106" s="18" t="s">
        <v>440</v>
      </c>
      <c r="C106" s="0" t="s">
        <v>335</v>
      </c>
      <c r="D106" s="52" t="n">
        <v>12</v>
      </c>
      <c r="E106" s="0" t="s">
        <v>335</v>
      </c>
      <c r="F106" s="53" t="n">
        <f aca="false">D106</f>
        <v>12</v>
      </c>
      <c r="J106" s="18" t="s">
        <v>385</v>
      </c>
      <c r="K106" s="18" t="s">
        <v>348</v>
      </c>
      <c r="L106" s="18" t="s">
        <v>539</v>
      </c>
    </row>
    <row r="107" customFormat="false" ht="15" hidden="false" customHeight="false" outlineLevel="0" collapsed="false">
      <c r="A107" s="0" t="s">
        <v>540</v>
      </c>
      <c r="B107" s="18" t="s">
        <v>504</v>
      </c>
      <c r="C107" s="0" t="s">
        <v>335</v>
      </c>
      <c r="D107" s="54" t="n">
        <v>1.22</v>
      </c>
      <c r="E107" s="0" t="s">
        <v>335</v>
      </c>
      <c r="F107" s="55" t="n">
        <f aca="false">D107</f>
        <v>1.22</v>
      </c>
      <c r="J107" s="18" t="s">
        <v>385</v>
      </c>
      <c r="K107" s="18" t="s">
        <v>393</v>
      </c>
      <c r="L107" s="18" t="s">
        <v>541</v>
      </c>
    </row>
    <row r="108" customFormat="false" ht="15" hidden="false" customHeight="false" outlineLevel="0" collapsed="false">
      <c r="A108" s="0" t="s">
        <v>542</v>
      </c>
      <c r="B108" s="18" t="s">
        <v>504</v>
      </c>
      <c r="C108" s="0" t="s">
        <v>335</v>
      </c>
      <c r="D108" s="74" t="n">
        <f aca="false">GPUMW_B/GPUMW_N</f>
        <v>1.5625</v>
      </c>
      <c r="E108" s="0" t="s">
        <v>335</v>
      </c>
      <c r="F108" s="55" t="n">
        <f aca="false">D108</f>
        <v>1.5625</v>
      </c>
      <c r="J108" s="18" t="s">
        <v>385</v>
      </c>
      <c r="K108" s="18" t="s">
        <v>355</v>
      </c>
      <c r="L108" s="18" t="s">
        <v>543</v>
      </c>
    </row>
    <row r="109" customFormat="false" ht="15" hidden="false" customHeight="false" outlineLevel="0" collapsed="false">
      <c r="A109" s="0" t="s">
        <v>544</v>
      </c>
      <c r="B109" s="18" t="s">
        <v>373</v>
      </c>
      <c r="C109" s="0" t="s">
        <v>335</v>
      </c>
      <c r="D109" s="52" t="n">
        <v>1</v>
      </c>
      <c r="E109" s="0" t="s">
        <v>335</v>
      </c>
      <c r="F109" s="53" t="n">
        <f aca="false">D109</f>
        <v>1</v>
      </c>
      <c r="J109" s="18" t="s">
        <v>385</v>
      </c>
      <c r="K109" s="18" t="s">
        <v>337</v>
      </c>
      <c r="L109" s="18" t="s">
        <v>545</v>
      </c>
    </row>
    <row r="110" customFormat="false" ht="15" hidden="false" customHeight="false" outlineLevel="0" collapsed="false">
      <c r="A110" s="0" t="s">
        <v>546</v>
      </c>
      <c r="B110" s="18" t="s">
        <v>388</v>
      </c>
      <c r="C110" s="0" t="s">
        <v>335</v>
      </c>
      <c r="D110" s="59" t="n">
        <v>0</v>
      </c>
      <c r="E110" s="0" t="s">
        <v>335</v>
      </c>
      <c r="F110" s="30" t="n">
        <f aca="false">D110</f>
        <v>0</v>
      </c>
      <c r="J110" s="18" t="s">
        <v>385</v>
      </c>
      <c r="K110" s="18" t="s">
        <v>393</v>
      </c>
      <c r="L110" s="18" t="s">
        <v>547</v>
      </c>
    </row>
    <row r="111" customFormat="false" ht="15" hidden="false" customHeight="false" outlineLevel="0" collapsed="false">
      <c r="A111" s="0" t="s">
        <v>548</v>
      </c>
      <c r="B111" s="18" t="s">
        <v>549</v>
      </c>
      <c r="C111" s="0" t="s">
        <v>335</v>
      </c>
      <c r="D111" s="52" t="n">
        <v>0</v>
      </c>
      <c r="E111" s="0" t="s">
        <v>335</v>
      </c>
      <c r="F111" s="53" t="n">
        <f aca="false">D111</f>
        <v>0</v>
      </c>
      <c r="J111" s="18" t="s">
        <v>385</v>
      </c>
      <c r="K111" s="18" t="s">
        <v>393</v>
      </c>
      <c r="L111" s="18" t="s">
        <v>550</v>
      </c>
    </row>
    <row r="112" customFormat="false" ht="15" hidden="false" customHeight="false" outlineLevel="0" collapsed="false">
      <c r="A112" s="0" t="s">
        <v>551</v>
      </c>
      <c r="B112" s="18" t="s">
        <v>440</v>
      </c>
      <c r="C112" s="0" t="s">
        <v>335</v>
      </c>
      <c r="D112" s="19" t="n">
        <v>13</v>
      </c>
      <c r="E112" s="0" t="s">
        <v>335</v>
      </c>
      <c r="F112" s="53" t="n">
        <f aca="false">D112</f>
        <v>13</v>
      </c>
      <c r="J112" s="18" t="s">
        <v>385</v>
      </c>
      <c r="K112" s="18" t="s">
        <v>355</v>
      </c>
      <c r="L112" s="18" t="s">
        <v>552</v>
      </c>
    </row>
    <row r="113" customFormat="false" ht="15" hidden="false" customHeight="false" outlineLevel="0" collapsed="false">
      <c r="A113" s="0" t="s">
        <v>553</v>
      </c>
      <c r="B113" s="18" t="s">
        <v>353</v>
      </c>
      <c r="C113" s="52" t="n">
        <v>3</v>
      </c>
      <c r="D113" s="52" t="n">
        <v>4</v>
      </c>
      <c r="E113" s="52" t="n">
        <v>5</v>
      </c>
      <c r="F113" s="53" t="n">
        <f aca="false">CHOOSE(Scen,C113,D113,E113)</f>
        <v>4</v>
      </c>
      <c r="J113" s="18" t="s">
        <v>554</v>
      </c>
      <c r="K113" s="18" t="s">
        <v>393</v>
      </c>
      <c r="L113" s="18" t="s">
        <v>555</v>
      </c>
    </row>
    <row r="114" customFormat="false" ht="15" hidden="false" customHeight="false" outlineLevel="0" collapsed="false">
      <c r="A114" s="0" t="s">
        <v>556</v>
      </c>
      <c r="B114" s="18" t="s">
        <v>504</v>
      </c>
      <c r="C114" s="65" t="n">
        <v>1</v>
      </c>
      <c r="D114" s="65" t="n">
        <v>0.95</v>
      </c>
      <c r="E114" s="65" t="n">
        <v>0.85</v>
      </c>
      <c r="F114" s="6" t="n">
        <f aca="false">CHOOSE(Scen,C114,D114,E114)</f>
        <v>0.95</v>
      </c>
      <c r="J114" s="18" t="s">
        <v>385</v>
      </c>
      <c r="K114" s="18" t="s">
        <v>355</v>
      </c>
      <c r="L114" s="18" t="s">
        <v>557</v>
      </c>
    </row>
    <row r="115" customFormat="false" ht="15" hidden="false" customHeight="false" outlineLevel="0" collapsed="false">
      <c r="A115" s="0" t="s">
        <v>558</v>
      </c>
      <c r="B115" s="18" t="s">
        <v>504</v>
      </c>
      <c r="C115" s="65" t="n">
        <v>0.85</v>
      </c>
      <c r="D115" s="65" t="n">
        <v>0.72</v>
      </c>
      <c r="E115" s="65" t="n">
        <v>0.65</v>
      </c>
      <c r="F115" s="6" t="n">
        <f aca="false">CHOOSE(Scen,C115,D115,E115)</f>
        <v>0.72</v>
      </c>
      <c r="J115" s="18" t="s">
        <v>385</v>
      </c>
      <c r="K115" s="18" t="s">
        <v>355</v>
      </c>
      <c r="L115" s="18" t="s">
        <v>559</v>
      </c>
    </row>
    <row r="116" customFormat="false" ht="15" hidden="false" customHeight="false" outlineLevel="0" collapsed="false">
      <c r="A116" s="0" t="s">
        <v>560</v>
      </c>
      <c r="B116" s="18" t="s">
        <v>388</v>
      </c>
      <c r="C116" s="63" t="n">
        <v>0.9</v>
      </c>
      <c r="D116" s="63" t="n">
        <f aca="false">IF(UtilQ2&gt;1,1,IF(UtilQ2&lt;0.4,0.4,UtilQ2))</f>
        <v>0.82509878873241</v>
      </c>
      <c r="E116" s="63" t="n">
        <v>0.65</v>
      </c>
      <c r="F116" s="30" t="n">
        <f aca="false">CHOOSE(Scen,C116,D116,E116)</f>
        <v>0.82509878873241</v>
      </c>
      <c r="J116" s="18" t="s">
        <v>385</v>
      </c>
      <c r="K116" s="18" t="s">
        <v>382</v>
      </c>
      <c r="L116" s="18" t="s">
        <v>561</v>
      </c>
    </row>
    <row r="117" customFormat="false" ht="15" hidden="false" customHeight="false" outlineLevel="0" collapsed="false">
      <c r="A117" s="0" t="s">
        <v>562</v>
      </c>
      <c r="B117" s="18" t="s">
        <v>388</v>
      </c>
      <c r="C117" s="63" t="n">
        <v>0.95</v>
      </c>
      <c r="D117" s="63" t="n">
        <f aca="false">IF(UtilQ2&gt;1,1,IF(UtilQ2&lt;0.4,0.4,UtilQ2))</f>
        <v>0.82509878873241</v>
      </c>
      <c r="E117" s="63" t="n">
        <v>0.75</v>
      </c>
      <c r="F117" s="30" t="n">
        <f aca="false">CHOOSE(Scen,C117,D117,E117)</f>
        <v>0.82509878873241</v>
      </c>
      <c r="J117" s="18" t="s">
        <v>385</v>
      </c>
      <c r="K117" s="18" t="s">
        <v>382</v>
      </c>
      <c r="L117" s="18" t="s">
        <v>563</v>
      </c>
    </row>
    <row r="118" customFormat="false" ht="15" hidden="false" customHeight="false" outlineLevel="0" collapsed="false">
      <c r="A118" s="0" t="s">
        <v>564</v>
      </c>
      <c r="B118" s="18" t="s">
        <v>388</v>
      </c>
      <c r="C118" s="63" t="n">
        <v>0.5</v>
      </c>
      <c r="D118" s="63" t="n">
        <v>0.4</v>
      </c>
      <c r="E118" s="63" t="n">
        <v>0.3</v>
      </c>
      <c r="F118" s="30" t="n">
        <f aca="false">CHOOSE(Scen,C118,D118,E118)</f>
        <v>0.4</v>
      </c>
      <c r="J118" s="18" t="s">
        <v>385</v>
      </c>
      <c r="K118" s="18" t="s">
        <v>382</v>
      </c>
      <c r="L118" s="18"/>
    </row>
    <row r="119" customFormat="false" ht="15" hidden="false" customHeight="false" outlineLevel="0" collapsed="false">
      <c r="A119" s="0" t="s">
        <v>565</v>
      </c>
      <c r="B119" s="18" t="s">
        <v>388</v>
      </c>
      <c r="C119" s="63" t="n">
        <v>0.7</v>
      </c>
      <c r="D119" s="63" t="n">
        <v>0.65</v>
      </c>
      <c r="E119" s="63" t="n">
        <v>0.6</v>
      </c>
      <c r="F119" s="30" t="n">
        <f aca="false">CHOOSE(Scen,C119,D119,E119)</f>
        <v>0.65</v>
      </c>
      <c r="J119" s="18" t="s">
        <v>566</v>
      </c>
      <c r="K119" s="18" t="s">
        <v>382</v>
      </c>
      <c r="L119" s="18" t="s">
        <v>567</v>
      </c>
    </row>
    <row r="120" customFormat="false" ht="15" hidden="false" customHeight="false" outlineLevel="0" collapsed="false">
      <c r="A120" s="48" t="s">
        <v>568</v>
      </c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</row>
    <row r="121" customFormat="false" ht="15" hidden="false" customHeight="false" outlineLevel="0" collapsed="false">
      <c r="A121" s="0" t="s">
        <v>569</v>
      </c>
      <c r="B121" s="18" t="s">
        <v>400</v>
      </c>
      <c r="C121" s="0" t="s">
        <v>335</v>
      </c>
      <c r="D121" s="54" t="n">
        <v>17392.9</v>
      </c>
      <c r="E121" s="0" t="s">
        <v>335</v>
      </c>
      <c r="F121" s="55" t="n">
        <f aca="false">D121</f>
        <v>17392.9</v>
      </c>
      <c r="J121" s="18" t="s">
        <v>389</v>
      </c>
      <c r="K121" s="18" t="s">
        <v>348</v>
      </c>
      <c r="L121" s="18" t="s">
        <v>570</v>
      </c>
    </row>
    <row r="122" customFormat="false" ht="15" hidden="false" customHeight="false" outlineLevel="0" collapsed="false">
      <c r="A122" s="0" t="s">
        <v>571</v>
      </c>
      <c r="B122" s="18" t="s">
        <v>415</v>
      </c>
      <c r="C122" s="0" t="s">
        <v>335</v>
      </c>
      <c r="D122" s="60" t="n">
        <v>240</v>
      </c>
      <c r="E122" s="0" t="s">
        <v>335</v>
      </c>
      <c r="F122" s="5" t="n">
        <f aca="false">D122</f>
        <v>240</v>
      </c>
      <c r="J122" s="18" t="s">
        <v>354</v>
      </c>
      <c r="K122" s="18" t="s">
        <v>355</v>
      </c>
      <c r="L122" s="18" t="s">
        <v>572</v>
      </c>
    </row>
    <row r="123" customFormat="false" ht="15" hidden="false" customHeight="false" outlineLevel="0" collapsed="false">
      <c r="A123" s="0" t="s">
        <v>573</v>
      </c>
      <c r="B123" s="18" t="s">
        <v>340</v>
      </c>
      <c r="C123" s="0" t="s">
        <v>335</v>
      </c>
      <c r="D123" s="52" t="n">
        <v>9</v>
      </c>
      <c r="E123" s="0" t="s">
        <v>335</v>
      </c>
      <c r="F123" s="53" t="n">
        <f aca="false">D123</f>
        <v>9</v>
      </c>
      <c r="J123" s="18" t="s">
        <v>389</v>
      </c>
      <c r="K123" s="18" t="s">
        <v>348</v>
      </c>
      <c r="L123" s="18" t="s">
        <v>574</v>
      </c>
    </row>
    <row r="124" customFormat="false" ht="15" hidden="false" customHeight="false" outlineLevel="0" collapsed="false">
      <c r="A124" s="0" t="s">
        <v>575</v>
      </c>
      <c r="B124" s="18" t="s">
        <v>396</v>
      </c>
      <c r="C124" s="0" t="s">
        <v>335</v>
      </c>
      <c r="D124" s="54" t="n">
        <v>12</v>
      </c>
      <c r="E124" s="0" t="s">
        <v>335</v>
      </c>
      <c r="F124" s="55" t="n">
        <f aca="false">D124</f>
        <v>12</v>
      </c>
      <c r="J124" s="18" t="s">
        <v>389</v>
      </c>
      <c r="K124" s="18" t="s">
        <v>348</v>
      </c>
      <c r="L124" s="18" t="s">
        <v>576</v>
      </c>
    </row>
    <row r="125" customFormat="false" ht="15" hidden="false" customHeight="false" outlineLevel="0" collapsed="false">
      <c r="A125" s="0" t="s">
        <v>577</v>
      </c>
      <c r="B125" s="18" t="s">
        <v>396</v>
      </c>
      <c r="C125" s="0" t="s">
        <v>335</v>
      </c>
      <c r="D125" s="54" t="n">
        <v>22.5</v>
      </c>
      <c r="E125" s="0" t="s">
        <v>335</v>
      </c>
      <c r="F125" s="55" t="n">
        <f aca="false">D125</f>
        <v>22.5</v>
      </c>
      <c r="J125" s="18" t="s">
        <v>389</v>
      </c>
      <c r="K125" s="18" t="s">
        <v>393</v>
      </c>
      <c r="L125" s="18" t="s">
        <v>578</v>
      </c>
    </row>
    <row r="126" customFormat="false" ht="15" hidden="false" customHeight="false" outlineLevel="0" collapsed="false">
      <c r="A126" s="0" t="s">
        <v>579</v>
      </c>
      <c r="B126" s="18" t="s">
        <v>504</v>
      </c>
      <c r="C126" s="0" t="s">
        <v>335</v>
      </c>
      <c r="D126" s="73" t="n">
        <v>0.5</v>
      </c>
      <c r="E126" s="0" t="s">
        <v>335</v>
      </c>
      <c r="F126" s="55" t="n">
        <f aca="false">D126</f>
        <v>0.5</v>
      </c>
      <c r="J126" s="18" t="s">
        <v>336</v>
      </c>
      <c r="K126" s="18" t="s">
        <v>355</v>
      </c>
      <c r="L126" s="18" t="s">
        <v>580</v>
      </c>
    </row>
    <row r="127" customFormat="false" ht="15" hidden="false" customHeight="false" outlineLevel="0" collapsed="false">
      <c r="A127" s="0" t="s">
        <v>581</v>
      </c>
      <c r="B127" s="18" t="s">
        <v>415</v>
      </c>
      <c r="C127" s="0" t="s">
        <v>335</v>
      </c>
      <c r="D127" s="75" t="n">
        <v>122.9</v>
      </c>
      <c r="E127" s="0" t="s">
        <v>335</v>
      </c>
      <c r="F127" s="76" t="n">
        <f aca="false">D127</f>
        <v>122.9</v>
      </c>
      <c r="J127" s="18" t="s">
        <v>354</v>
      </c>
      <c r="K127" s="18" t="s">
        <v>355</v>
      </c>
      <c r="L127" s="18" t="s">
        <v>582</v>
      </c>
    </row>
    <row r="128" customFormat="false" ht="15" hidden="false" customHeight="false" outlineLevel="0" collapsed="false">
      <c r="A128" s="0" t="s">
        <v>583</v>
      </c>
      <c r="B128" s="18" t="s">
        <v>373</v>
      </c>
      <c r="C128" s="0" t="s">
        <v>335</v>
      </c>
      <c r="D128" s="52" t="n">
        <v>1</v>
      </c>
      <c r="E128" s="0" t="s">
        <v>335</v>
      </c>
      <c r="F128" s="53" t="n">
        <f aca="false">D128</f>
        <v>1</v>
      </c>
      <c r="J128" s="18" t="s">
        <v>354</v>
      </c>
      <c r="K128" s="18" t="s">
        <v>337</v>
      </c>
      <c r="L128" s="18" t="s">
        <v>584</v>
      </c>
    </row>
    <row r="129" customFormat="false" ht="15" hidden="false" customHeight="false" outlineLevel="0" collapsed="false">
      <c r="A129" s="0" t="s">
        <v>585</v>
      </c>
      <c r="B129" s="18" t="s">
        <v>440</v>
      </c>
      <c r="C129" s="19" t="n">
        <v>13</v>
      </c>
      <c r="D129" s="19" t="n">
        <v>14</v>
      </c>
      <c r="E129" s="19" t="n">
        <v>15</v>
      </c>
      <c r="F129" s="53" t="n">
        <f aca="false">CHOOSE(Scen,C129,D129,E129)</f>
        <v>14</v>
      </c>
      <c r="J129" s="18" t="s">
        <v>354</v>
      </c>
      <c r="K129" s="18" t="s">
        <v>355</v>
      </c>
      <c r="L129" s="18" t="s">
        <v>586</v>
      </c>
    </row>
    <row r="130" customFormat="false" ht="15" hidden="false" customHeight="false" outlineLevel="0" collapsed="false">
      <c r="A130" s="0" t="s">
        <v>587</v>
      </c>
      <c r="B130" s="18" t="s">
        <v>588</v>
      </c>
      <c r="C130" s="0" t="s">
        <v>335</v>
      </c>
      <c r="D130" s="60" t="n">
        <v>350</v>
      </c>
      <c r="E130" s="0" t="s">
        <v>335</v>
      </c>
      <c r="F130" s="5" t="n">
        <f aca="false">D130</f>
        <v>350</v>
      </c>
      <c r="J130" s="18" t="s">
        <v>412</v>
      </c>
      <c r="K130" s="18" t="s">
        <v>355</v>
      </c>
      <c r="L130" s="18" t="s">
        <v>589</v>
      </c>
    </row>
    <row r="131" customFormat="false" ht="15" hidden="false" customHeight="false" outlineLevel="0" collapsed="false">
      <c r="A131" s="0" t="s">
        <v>590</v>
      </c>
      <c r="B131" s="18" t="s">
        <v>340</v>
      </c>
      <c r="C131" s="0" t="s">
        <v>335</v>
      </c>
      <c r="D131" s="52" t="n">
        <v>1</v>
      </c>
      <c r="E131" s="0" t="s">
        <v>335</v>
      </c>
      <c r="F131" s="53" t="n">
        <f aca="false">D131</f>
        <v>1</v>
      </c>
      <c r="J131" s="18" t="s">
        <v>389</v>
      </c>
      <c r="K131" s="18" t="s">
        <v>337</v>
      </c>
      <c r="L131" s="18" t="s">
        <v>591</v>
      </c>
    </row>
    <row r="132" customFormat="false" ht="15" hidden="false" customHeight="false" outlineLevel="0" collapsed="false">
      <c r="A132" s="0" t="s">
        <v>592</v>
      </c>
      <c r="B132" s="18" t="s">
        <v>588</v>
      </c>
      <c r="C132" s="0" t="s">
        <v>335</v>
      </c>
      <c r="D132" s="21" t="n">
        <f aca="false">IF(TopCust=1,0.21,0.24)*574.9</f>
        <v>120.729</v>
      </c>
      <c r="E132" s="0" t="s">
        <v>335</v>
      </c>
      <c r="F132" s="76" t="n">
        <f aca="false">D132</f>
        <v>120.729</v>
      </c>
      <c r="J132" s="18" t="s">
        <v>389</v>
      </c>
      <c r="K132" s="18" t="s">
        <v>393</v>
      </c>
      <c r="L132" s="18" t="s">
        <v>593</v>
      </c>
    </row>
    <row r="133" customFormat="false" ht="15" hidden="false" customHeight="false" outlineLevel="0" collapsed="false">
      <c r="A133" s="0" t="s">
        <v>594</v>
      </c>
      <c r="B133" s="18" t="s">
        <v>588</v>
      </c>
      <c r="C133" s="0" t="s">
        <v>335</v>
      </c>
      <c r="D133" s="21" t="n">
        <f aca="false">2880.7/20</f>
        <v>144.035</v>
      </c>
      <c r="E133" s="0" t="s">
        <v>335</v>
      </c>
      <c r="F133" s="76" t="n">
        <f aca="false">D133</f>
        <v>144.035</v>
      </c>
      <c r="J133" s="18" t="s">
        <v>389</v>
      </c>
      <c r="K133" s="18" t="s">
        <v>393</v>
      </c>
      <c r="L133" s="18" t="s">
        <v>595</v>
      </c>
    </row>
    <row r="134" customFormat="false" ht="15" hidden="false" customHeight="false" outlineLevel="0" collapsed="false">
      <c r="A134" s="0" t="s">
        <v>596</v>
      </c>
      <c r="B134" s="18" t="s">
        <v>588</v>
      </c>
      <c r="C134" s="0" t="s">
        <v>335</v>
      </c>
      <c r="D134" s="64" t="n">
        <v>40</v>
      </c>
      <c r="E134" s="0" t="s">
        <v>335</v>
      </c>
      <c r="F134" s="5" t="n">
        <f aca="false">D134</f>
        <v>40</v>
      </c>
      <c r="J134" s="18" t="s">
        <v>385</v>
      </c>
      <c r="K134" s="18" t="s">
        <v>393</v>
      </c>
      <c r="L134" s="18" t="s">
        <v>597</v>
      </c>
    </row>
    <row r="135" customFormat="false" ht="15" hidden="false" customHeight="false" outlineLevel="0" collapsed="false">
      <c r="A135" s="0" t="s">
        <v>598</v>
      </c>
      <c r="B135" s="18" t="s">
        <v>588</v>
      </c>
      <c r="C135" s="0" t="s">
        <v>335</v>
      </c>
      <c r="D135" s="64" t="n">
        <v>125</v>
      </c>
      <c r="E135" s="0" t="s">
        <v>335</v>
      </c>
      <c r="F135" s="5" t="n">
        <f aca="false">D135</f>
        <v>125</v>
      </c>
      <c r="J135" s="18" t="s">
        <v>385</v>
      </c>
      <c r="K135" s="18" t="s">
        <v>393</v>
      </c>
      <c r="L135" s="18"/>
    </row>
    <row r="136" customFormat="false" ht="15" hidden="false" customHeight="false" outlineLevel="0" collapsed="false">
      <c r="A136" s="0" t="s">
        <v>599</v>
      </c>
      <c r="B136" s="18" t="s">
        <v>415</v>
      </c>
      <c r="C136" s="66" t="n">
        <v>0</v>
      </c>
      <c r="D136" s="66" t="n">
        <v>0</v>
      </c>
      <c r="E136" s="66" t="n">
        <v>0</v>
      </c>
      <c r="F136" s="5" t="n">
        <f aca="false">CHOOSE(Scen,C136,D136,E136)</f>
        <v>0</v>
      </c>
      <c r="J136" s="18" t="s">
        <v>354</v>
      </c>
      <c r="K136" s="18" t="s">
        <v>382</v>
      </c>
      <c r="L136" s="18" t="s">
        <v>600</v>
      </c>
    </row>
    <row r="137" customFormat="false" ht="15" hidden="false" customHeight="false" outlineLevel="0" collapsed="false">
      <c r="A137" s="0" t="s">
        <v>601</v>
      </c>
      <c r="B137" s="18" t="s">
        <v>415</v>
      </c>
      <c r="C137" s="66" t="n">
        <v>0</v>
      </c>
      <c r="D137" s="66" t="n">
        <v>0</v>
      </c>
      <c r="E137" s="66" t="n">
        <v>0</v>
      </c>
      <c r="F137" s="5" t="n">
        <f aca="false">CHOOSE(Scen,C137,D137,E137)</f>
        <v>0</v>
      </c>
      <c r="J137" s="18" t="s">
        <v>354</v>
      </c>
      <c r="K137" s="18" t="s">
        <v>382</v>
      </c>
      <c r="L137" s="18" t="s">
        <v>602</v>
      </c>
    </row>
    <row r="138" customFormat="false" ht="15" hidden="false" customHeight="false" outlineLevel="0" collapsed="false">
      <c r="A138" s="0" t="s">
        <v>603</v>
      </c>
      <c r="B138" s="18" t="s">
        <v>415</v>
      </c>
      <c r="C138" s="66" t="n">
        <v>0</v>
      </c>
      <c r="D138" s="66" t="n">
        <v>0</v>
      </c>
      <c r="E138" s="66" t="n">
        <v>0</v>
      </c>
      <c r="F138" s="5" t="n">
        <f aca="false">CHOOSE(Scen,C138,D138,E138)</f>
        <v>0</v>
      </c>
      <c r="J138" s="18" t="s">
        <v>354</v>
      </c>
      <c r="K138" s="18" t="s">
        <v>382</v>
      </c>
      <c r="L138" s="18" t="s">
        <v>602</v>
      </c>
    </row>
    <row r="139" customFormat="false" ht="15" hidden="false" customHeight="false" outlineLevel="0" collapsed="false">
      <c r="A139" s="0" t="s">
        <v>604</v>
      </c>
      <c r="B139" s="18" t="s">
        <v>504</v>
      </c>
      <c r="C139" s="0" t="s">
        <v>335</v>
      </c>
      <c r="D139" s="73" t="n">
        <v>1.2</v>
      </c>
      <c r="E139" s="0" t="s">
        <v>335</v>
      </c>
      <c r="F139" s="55" t="n">
        <f aca="false">D139</f>
        <v>1.2</v>
      </c>
      <c r="J139" s="18" t="s">
        <v>354</v>
      </c>
      <c r="K139" s="18" t="s">
        <v>355</v>
      </c>
      <c r="L139" s="18" t="s">
        <v>605</v>
      </c>
    </row>
    <row r="140" customFormat="false" ht="15" hidden="false" customHeight="false" outlineLevel="0" collapsed="false">
      <c r="A140" s="0" t="s">
        <v>606</v>
      </c>
      <c r="B140" s="18" t="s">
        <v>353</v>
      </c>
      <c r="C140" s="19" t="n">
        <v>2</v>
      </c>
      <c r="D140" s="19" t="n">
        <v>4</v>
      </c>
      <c r="E140" s="19" t="n">
        <v>6</v>
      </c>
      <c r="F140" s="53" t="n">
        <f aca="false">CHOOSE(Scen,C140,D140,E140)</f>
        <v>4</v>
      </c>
      <c r="J140" s="18" t="s">
        <v>385</v>
      </c>
      <c r="K140" s="18" t="s">
        <v>355</v>
      </c>
      <c r="L140" s="18" t="s">
        <v>607</v>
      </c>
    </row>
    <row r="141" customFormat="false" ht="15" hidden="false" customHeight="false" outlineLevel="0" collapsed="false">
      <c r="A141" s="0" t="s">
        <v>608</v>
      </c>
      <c r="B141" s="18" t="s">
        <v>388</v>
      </c>
      <c r="C141" s="0" t="s">
        <v>335</v>
      </c>
      <c r="D141" s="24" t="n">
        <v>0.45</v>
      </c>
      <c r="E141" s="0" t="s">
        <v>335</v>
      </c>
      <c r="F141" s="30" t="n">
        <f aca="false">D141</f>
        <v>0.45</v>
      </c>
      <c r="J141" s="18" t="s">
        <v>385</v>
      </c>
      <c r="K141" s="18" t="s">
        <v>355</v>
      </c>
      <c r="L141" s="18" t="s">
        <v>609</v>
      </c>
    </row>
    <row r="142" customFormat="false" ht="15" hidden="false" customHeight="false" outlineLevel="0" collapsed="false">
      <c r="A142" s="0" t="s">
        <v>610</v>
      </c>
      <c r="B142" s="18" t="s">
        <v>388</v>
      </c>
      <c r="C142" s="0" t="s">
        <v>335</v>
      </c>
      <c r="D142" s="24" t="n">
        <v>0.5</v>
      </c>
      <c r="E142" s="0" t="s">
        <v>335</v>
      </c>
      <c r="F142" s="30" t="n">
        <f aca="false">D142</f>
        <v>0.5</v>
      </c>
      <c r="J142" s="18" t="s">
        <v>385</v>
      </c>
      <c r="K142" s="18" t="s">
        <v>355</v>
      </c>
      <c r="L142" s="18" t="s">
        <v>611</v>
      </c>
    </row>
    <row r="143" customFormat="false" ht="15" hidden="false" customHeight="false" outlineLevel="0" collapsed="false">
      <c r="A143" s="0" t="s">
        <v>612</v>
      </c>
      <c r="B143" s="18" t="s">
        <v>388</v>
      </c>
      <c r="C143" s="0" t="s">
        <v>335</v>
      </c>
      <c r="D143" s="24" t="n">
        <v>0.04</v>
      </c>
      <c r="E143" s="0" t="s">
        <v>335</v>
      </c>
      <c r="F143" s="30" t="n">
        <f aca="false">D143</f>
        <v>0.04</v>
      </c>
      <c r="J143" s="18" t="s">
        <v>385</v>
      </c>
      <c r="K143" s="18" t="s">
        <v>355</v>
      </c>
      <c r="L143" s="18" t="s">
        <v>613</v>
      </c>
    </row>
    <row r="144" customFormat="false" ht="15" hidden="false" customHeight="false" outlineLevel="0" collapsed="false">
      <c r="A144" s="0" t="s">
        <v>614</v>
      </c>
      <c r="B144" s="18" t="s">
        <v>415</v>
      </c>
      <c r="C144" s="0" t="s">
        <v>335</v>
      </c>
      <c r="D144" s="60" t="n">
        <v>83</v>
      </c>
      <c r="E144" s="0" t="s">
        <v>335</v>
      </c>
      <c r="F144" s="5" t="n">
        <f aca="false">D144</f>
        <v>83</v>
      </c>
      <c r="J144" s="18" t="s">
        <v>615</v>
      </c>
      <c r="K144" s="18" t="s">
        <v>355</v>
      </c>
      <c r="L144" s="18" t="s">
        <v>616</v>
      </c>
    </row>
    <row r="145" customFormat="false" ht="15" hidden="false" customHeight="false" outlineLevel="0" collapsed="false">
      <c r="A145" s="0" t="s">
        <v>617</v>
      </c>
      <c r="B145" s="18" t="s">
        <v>415</v>
      </c>
      <c r="C145" s="0" t="s">
        <v>335</v>
      </c>
      <c r="D145" s="60" t="n">
        <v>200</v>
      </c>
      <c r="E145" s="0" t="s">
        <v>335</v>
      </c>
      <c r="F145" s="5" t="n">
        <f aca="false">D145</f>
        <v>200</v>
      </c>
      <c r="J145" s="18" t="s">
        <v>615</v>
      </c>
      <c r="K145" s="18" t="s">
        <v>355</v>
      </c>
      <c r="L145" s="18"/>
    </row>
    <row r="146" customFormat="false" ht="15" hidden="false" customHeight="false" outlineLevel="0" collapsed="false">
      <c r="A146" s="0" t="s">
        <v>618</v>
      </c>
      <c r="B146" s="18" t="s">
        <v>388</v>
      </c>
      <c r="C146" s="0" t="s">
        <v>335</v>
      </c>
      <c r="D146" s="24" t="n">
        <v>0.35</v>
      </c>
      <c r="E146" s="0" t="s">
        <v>335</v>
      </c>
      <c r="F146" s="30" t="n">
        <f aca="false">D146</f>
        <v>0.35</v>
      </c>
      <c r="J146" s="18" t="s">
        <v>347</v>
      </c>
      <c r="K146" s="18" t="s">
        <v>355</v>
      </c>
      <c r="L146" s="18" t="s">
        <v>619</v>
      </c>
    </row>
    <row r="147" customFormat="false" ht="15" hidden="false" customHeight="false" outlineLevel="0" collapsed="false">
      <c r="A147" s="0" t="s">
        <v>620</v>
      </c>
      <c r="B147" s="18" t="s">
        <v>388</v>
      </c>
      <c r="C147" s="0" t="s">
        <v>335</v>
      </c>
      <c r="D147" s="63" t="n">
        <v>0</v>
      </c>
      <c r="E147" s="0" t="s">
        <v>335</v>
      </c>
      <c r="F147" s="30" t="n">
        <f aca="false">D147</f>
        <v>0</v>
      </c>
      <c r="J147" s="18" t="s">
        <v>615</v>
      </c>
      <c r="K147" s="18" t="s">
        <v>382</v>
      </c>
      <c r="L147" s="18" t="s">
        <v>621</v>
      </c>
    </row>
    <row r="148" customFormat="false" ht="15" hidden="false" customHeight="false" outlineLevel="0" collapsed="false">
      <c r="A148" s="48" t="s">
        <v>622</v>
      </c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</row>
    <row r="149" customFormat="false" ht="15" hidden="false" customHeight="false" outlineLevel="0" collapsed="false">
      <c r="A149" s="0" t="s">
        <v>623</v>
      </c>
      <c r="B149" s="18" t="s">
        <v>464</v>
      </c>
      <c r="C149" s="77" t="n">
        <v>0.03</v>
      </c>
      <c r="D149" s="77" t="n">
        <v>0.02</v>
      </c>
      <c r="E149" s="77" t="n">
        <v>0</v>
      </c>
      <c r="F149" s="62" t="n">
        <f aca="false">CHOOSE(Scen,C149,D149,E149)</f>
        <v>0.02</v>
      </c>
      <c r="J149" s="18" t="s">
        <v>389</v>
      </c>
      <c r="K149" s="18" t="s">
        <v>382</v>
      </c>
      <c r="L149" s="18" t="s">
        <v>624</v>
      </c>
    </row>
    <row r="150" customFormat="false" ht="15" hidden="false" customHeight="false" outlineLevel="0" collapsed="false">
      <c r="A150" s="48" t="s">
        <v>625</v>
      </c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</row>
    <row r="151" customFormat="false" ht="15" hidden="false" customHeight="false" outlineLevel="0" collapsed="false">
      <c r="A151" s="0" t="s">
        <v>626</v>
      </c>
      <c r="B151" s="18" t="s">
        <v>627</v>
      </c>
      <c r="C151" s="66" t="n">
        <v>65</v>
      </c>
      <c r="D151" s="66" t="n">
        <v>75</v>
      </c>
      <c r="E151" s="66" t="n">
        <v>90</v>
      </c>
      <c r="F151" s="5" t="n">
        <f aca="false">CHOOSE(Scen,C151,D151,E151)</f>
        <v>75</v>
      </c>
      <c r="J151" s="18" t="s">
        <v>354</v>
      </c>
      <c r="K151" s="18" t="s">
        <v>382</v>
      </c>
      <c r="L151" s="18" t="s">
        <v>628</v>
      </c>
    </row>
    <row r="152" customFormat="false" ht="15" hidden="false" customHeight="false" outlineLevel="0" collapsed="false">
      <c r="A152" s="0" t="s">
        <v>629</v>
      </c>
      <c r="B152" s="18" t="s">
        <v>630</v>
      </c>
      <c r="C152" s="73" t="n">
        <v>2</v>
      </c>
      <c r="D152" s="73" t="n">
        <v>2.25</v>
      </c>
      <c r="E152" s="73" t="n">
        <v>2.5</v>
      </c>
      <c r="F152" s="55" t="n">
        <f aca="false">CHOOSE(Scen,C152,D152,E152)</f>
        <v>2.25</v>
      </c>
      <c r="J152" s="18" t="s">
        <v>354</v>
      </c>
      <c r="K152" s="18" t="s">
        <v>355</v>
      </c>
      <c r="L152" s="18" t="s">
        <v>631</v>
      </c>
    </row>
    <row r="153" customFormat="false" ht="15" hidden="false" customHeight="false" outlineLevel="0" collapsed="false">
      <c r="A153" s="0" t="s">
        <v>632</v>
      </c>
      <c r="B153" s="18" t="s">
        <v>630</v>
      </c>
      <c r="C153" s="54" t="n">
        <v>0.9</v>
      </c>
      <c r="D153" s="54" t="n">
        <v>1.1</v>
      </c>
      <c r="E153" s="54" t="n">
        <v>1.6</v>
      </c>
      <c r="F153" s="55" t="n">
        <f aca="false">CHOOSE(Scen,C153,D153,E153)</f>
        <v>1.1</v>
      </c>
      <c r="J153" s="18" t="s">
        <v>354</v>
      </c>
      <c r="K153" s="18" t="s">
        <v>393</v>
      </c>
      <c r="L153" s="18" t="s">
        <v>633</v>
      </c>
    </row>
    <row r="154" customFormat="false" ht="15" hidden="false" customHeight="false" outlineLevel="0" collapsed="false">
      <c r="A154" s="0" t="s">
        <v>634</v>
      </c>
      <c r="B154" s="18" t="s">
        <v>635</v>
      </c>
      <c r="C154" s="77" t="n">
        <v>0.05</v>
      </c>
      <c r="D154" s="77" t="n">
        <v>0.06</v>
      </c>
      <c r="E154" s="77" t="n">
        <v>0.08</v>
      </c>
      <c r="F154" s="62" t="n">
        <f aca="false">CHOOSE(Scen,C154,D154,E154)</f>
        <v>0.06</v>
      </c>
      <c r="J154" s="18" t="s">
        <v>336</v>
      </c>
      <c r="K154" s="18" t="s">
        <v>382</v>
      </c>
      <c r="L154" s="18" t="s">
        <v>636</v>
      </c>
    </row>
    <row r="155" customFormat="false" ht="15" hidden="false" customHeight="false" outlineLevel="0" collapsed="false">
      <c r="A155" s="0" t="s">
        <v>637</v>
      </c>
      <c r="B155" s="18" t="s">
        <v>635</v>
      </c>
      <c r="C155" s="0" t="s">
        <v>335</v>
      </c>
      <c r="D155" s="22" t="n">
        <v>0.04</v>
      </c>
      <c r="E155" s="0" t="s">
        <v>335</v>
      </c>
      <c r="F155" s="62" t="n">
        <f aca="false">D155</f>
        <v>0.04</v>
      </c>
      <c r="J155" s="18" t="s">
        <v>389</v>
      </c>
      <c r="K155" s="18" t="s">
        <v>355</v>
      </c>
      <c r="L155" s="18" t="s">
        <v>638</v>
      </c>
    </row>
    <row r="156" customFormat="false" ht="15" hidden="false" customHeight="false" outlineLevel="0" collapsed="false">
      <c r="A156" s="48" t="s">
        <v>639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</row>
    <row r="157" customFormat="false" ht="15" hidden="false" customHeight="false" outlineLevel="0" collapsed="false">
      <c r="A157" s="0" t="s">
        <v>640</v>
      </c>
      <c r="B157" s="18" t="s">
        <v>491</v>
      </c>
      <c r="C157" s="0" t="s">
        <v>335</v>
      </c>
      <c r="D157" s="66" t="n">
        <v>35000</v>
      </c>
      <c r="E157" s="0" t="s">
        <v>335</v>
      </c>
      <c r="F157" s="5" t="n">
        <f aca="false">D157</f>
        <v>35000</v>
      </c>
      <c r="J157" s="18" t="s">
        <v>385</v>
      </c>
      <c r="K157" s="18" t="s">
        <v>382</v>
      </c>
      <c r="L157" s="18" t="s">
        <v>641</v>
      </c>
    </row>
    <row r="158" customFormat="false" ht="15" hidden="false" customHeight="false" outlineLevel="0" collapsed="false">
      <c r="A158" s="0" t="s">
        <v>642</v>
      </c>
      <c r="B158" s="18" t="s">
        <v>491</v>
      </c>
      <c r="C158" s="0" t="s">
        <v>335</v>
      </c>
      <c r="D158" s="66" t="n">
        <v>60000</v>
      </c>
      <c r="E158" s="0" t="s">
        <v>335</v>
      </c>
      <c r="F158" s="5" t="n">
        <f aca="false">D158</f>
        <v>60000</v>
      </c>
      <c r="J158" s="18" t="s">
        <v>385</v>
      </c>
      <c r="K158" s="18" t="s">
        <v>382</v>
      </c>
      <c r="L158" s="18" t="s">
        <v>643</v>
      </c>
    </row>
    <row r="159" customFormat="false" ht="15" hidden="false" customHeight="false" outlineLevel="0" collapsed="false">
      <c r="A159" s="0" t="s">
        <v>644</v>
      </c>
      <c r="B159" s="18" t="s">
        <v>491</v>
      </c>
      <c r="C159" s="0" t="s">
        <v>335</v>
      </c>
      <c r="D159" s="66" t="n">
        <v>90000</v>
      </c>
      <c r="E159" s="0" t="s">
        <v>335</v>
      </c>
      <c r="F159" s="5" t="n">
        <f aca="false">D159</f>
        <v>90000</v>
      </c>
      <c r="J159" s="18" t="s">
        <v>385</v>
      </c>
      <c r="K159" s="18" t="s">
        <v>382</v>
      </c>
      <c r="L159" s="18"/>
    </row>
    <row r="160" customFormat="false" ht="15" hidden="false" customHeight="false" outlineLevel="0" collapsed="false">
      <c r="A160" s="0" t="s">
        <v>645</v>
      </c>
      <c r="B160" s="18" t="s">
        <v>360</v>
      </c>
      <c r="C160" s="0" t="s">
        <v>335</v>
      </c>
      <c r="D160" s="73" t="n">
        <v>30</v>
      </c>
      <c r="E160" s="0" t="s">
        <v>335</v>
      </c>
      <c r="F160" s="55" t="n">
        <f aca="false">D160</f>
        <v>30</v>
      </c>
      <c r="J160" s="18" t="s">
        <v>354</v>
      </c>
      <c r="K160" s="18" t="s">
        <v>355</v>
      </c>
      <c r="L160" s="18" t="s">
        <v>646</v>
      </c>
    </row>
    <row r="161" customFormat="false" ht="15" hidden="false" customHeight="false" outlineLevel="0" collapsed="false">
      <c r="A161" s="0" t="s">
        <v>647</v>
      </c>
      <c r="B161" s="18" t="s">
        <v>360</v>
      </c>
      <c r="C161" s="0" t="s">
        <v>335</v>
      </c>
      <c r="D161" s="72" t="n">
        <v>4</v>
      </c>
      <c r="E161" s="0" t="s">
        <v>335</v>
      </c>
      <c r="F161" s="55" t="n">
        <f aca="false">D161</f>
        <v>4</v>
      </c>
      <c r="J161" s="18" t="s">
        <v>354</v>
      </c>
      <c r="K161" s="18" t="s">
        <v>382</v>
      </c>
      <c r="L161" s="18" t="s">
        <v>648</v>
      </c>
    </row>
    <row r="162" customFormat="false" ht="15" hidden="false" customHeight="false" outlineLevel="0" collapsed="false">
      <c r="A162" s="0" t="s">
        <v>649</v>
      </c>
      <c r="B162" s="18" t="s">
        <v>360</v>
      </c>
      <c r="C162" s="0" t="s">
        <v>335</v>
      </c>
      <c r="D162" s="72" t="n">
        <v>6</v>
      </c>
      <c r="E162" s="0" t="s">
        <v>335</v>
      </c>
      <c r="F162" s="55" t="n">
        <f aca="false">D162</f>
        <v>6</v>
      </c>
      <c r="J162" s="18" t="s">
        <v>354</v>
      </c>
      <c r="K162" s="18" t="s">
        <v>382</v>
      </c>
      <c r="L162" s="18" t="s">
        <v>650</v>
      </c>
    </row>
    <row r="163" customFormat="false" ht="15" hidden="false" customHeight="false" outlineLevel="0" collapsed="false">
      <c r="A163" s="0" t="s">
        <v>651</v>
      </c>
      <c r="B163" s="18" t="s">
        <v>353</v>
      </c>
      <c r="C163" s="0" t="s">
        <v>335</v>
      </c>
      <c r="D163" s="19" t="n">
        <v>2</v>
      </c>
      <c r="E163" s="0" t="s">
        <v>335</v>
      </c>
      <c r="F163" s="53" t="n">
        <f aca="false">D163</f>
        <v>2</v>
      </c>
      <c r="J163" s="18" t="s">
        <v>354</v>
      </c>
      <c r="K163" s="18" t="s">
        <v>355</v>
      </c>
      <c r="L163" s="18" t="s">
        <v>652</v>
      </c>
    </row>
    <row r="164" customFormat="false" ht="15" hidden="false" customHeight="false" outlineLevel="0" collapsed="false">
      <c r="A164" s="0" t="s">
        <v>653</v>
      </c>
      <c r="B164" s="18" t="s">
        <v>353</v>
      </c>
      <c r="C164" s="19" t="n">
        <v>1</v>
      </c>
      <c r="D164" s="19" t="n">
        <v>1</v>
      </c>
      <c r="E164" s="19" t="n">
        <v>0</v>
      </c>
      <c r="F164" s="53" t="n">
        <f aca="false">CHOOSE(Scen,C164,D164,E164)</f>
        <v>1</v>
      </c>
      <c r="J164" s="18" t="s">
        <v>654</v>
      </c>
      <c r="K164" s="18" t="s">
        <v>355</v>
      </c>
      <c r="L164" s="18" t="s">
        <v>655</v>
      </c>
    </row>
    <row r="165" customFormat="false" ht="15" hidden="false" customHeight="false" outlineLevel="0" collapsed="false">
      <c r="A165" s="0" t="s">
        <v>656</v>
      </c>
      <c r="B165" s="18" t="s">
        <v>353</v>
      </c>
      <c r="C165" s="19" t="n">
        <v>1</v>
      </c>
      <c r="D165" s="19" t="n">
        <v>1</v>
      </c>
      <c r="E165" s="19" t="n">
        <v>2</v>
      </c>
      <c r="F165" s="53" t="n">
        <f aca="false">CHOOSE(Scen,C165,D165,E165)</f>
        <v>1</v>
      </c>
      <c r="J165" s="18" t="s">
        <v>354</v>
      </c>
      <c r="K165" s="18" t="s">
        <v>355</v>
      </c>
      <c r="L165" s="18" t="s">
        <v>657</v>
      </c>
    </row>
    <row r="166" customFormat="false" ht="15" hidden="false" customHeight="false" outlineLevel="0" collapsed="false">
      <c r="A166" s="0" t="s">
        <v>658</v>
      </c>
      <c r="B166" s="18" t="s">
        <v>400</v>
      </c>
      <c r="C166" s="0" t="s">
        <v>335</v>
      </c>
      <c r="D166" s="78" t="n">
        <v>167.6</v>
      </c>
      <c r="E166" s="0" t="s">
        <v>335</v>
      </c>
      <c r="F166" s="76" t="n">
        <f aca="false">D166</f>
        <v>167.6</v>
      </c>
      <c r="J166" s="18" t="s">
        <v>389</v>
      </c>
      <c r="K166" s="18" t="s">
        <v>348</v>
      </c>
      <c r="L166" s="18" t="s">
        <v>659</v>
      </c>
    </row>
    <row r="167" customFormat="false" ht="15" hidden="false" customHeight="false" outlineLevel="0" collapsed="false">
      <c r="A167" s="0" t="s">
        <v>660</v>
      </c>
      <c r="B167" s="18" t="s">
        <v>440</v>
      </c>
      <c r="C167" s="0" t="s">
        <v>335</v>
      </c>
      <c r="D167" s="52" t="n">
        <v>5</v>
      </c>
      <c r="E167" s="0" t="s">
        <v>335</v>
      </c>
      <c r="F167" s="53" t="n">
        <f aca="false">D167</f>
        <v>5</v>
      </c>
      <c r="J167" s="18" t="s">
        <v>385</v>
      </c>
      <c r="K167" s="18" t="s">
        <v>348</v>
      </c>
      <c r="L167" s="18"/>
    </row>
    <row r="168" customFormat="false" ht="15" hidden="false" customHeight="false" outlineLevel="0" collapsed="false">
      <c r="A168" s="0" t="s">
        <v>661</v>
      </c>
      <c r="B168" s="18" t="s">
        <v>440</v>
      </c>
      <c r="C168" s="0" t="s">
        <v>335</v>
      </c>
      <c r="D168" s="52" t="n">
        <v>6</v>
      </c>
      <c r="E168" s="0" t="s">
        <v>335</v>
      </c>
      <c r="F168" s="53" t="n">
        <f aca="false">D168</f>
        <v>6</v>
      </c>
      <c r="J168" s="18" t="s">
        <v>385</v>
      </c>
      <c r="K168" s="18" t="s">
        <v>348</v>
      </c>
      <c r="L168" s="18"/>
    </row>
    <row r="169" customFormat="false" ht="15" hidden="false" customHeight="false" outlineLevel="0" collapsed="false">
      <c r="A169" s="0" t="s">
        <v>662</v>
      </c>
      <c r="B169" s="18" t="s">
        <v>440</v>
      </c>
      <c r="C169" s="0" t="s">
        <v>335</v>
      </c>
      <c r="D169" s="52" t="n">
        <v>8</v>
      </c>
      <c r="E169" s="0" t="s">
        <v>335</v>
      </c>
      <c r="F169" s="53" t="n">
        <f aca="false">D169</f>
        <v>8</v>
      </c>
      <c r="J169" s="18" t="s">
        <v>385</v>
      </c>
      <c r="K169" s="18" t="s">
        <v>348</v>
      </c>
      <c r="L169" s="18"/>
    </row>
    <row r="170" customFormat="false" ht="15" hidden="false" customHeight="false" outlineLevel="0" collapsed="false">
      <c r="A170" s="0" t="s">
        <v>663</v>
      </c>
      <c r="B170" s="18" t="s">
        <v>440</v>
      </c>
      <c r="C170" s="0" t="s">
        <v>335</v>
      </c>
      <c r="D170" s="67" t="n">
        <v>14</v>
      </c>
      <c r="E170" s="0" t="s">
        <v>335</v>
      </c>
      <c r="F170" s="53" t="n">
        <f aca="false">D170</f>
        <v>14</v>
      </c>
      <c r="J170" s="18" t="s">
        <v>385</v>
      </c>
      <c r="K170" s="18" t="s">
        <v>382</v>
      </c>
      <c r="L170" s="18" t="s">
        <v>664</v>
      </c>
    </row>
    <row r="171" customFormat="false" ht="15" hidden="false" customHeight="false" outlineLevel="0" collapsed="false">
      <c r="A171" s="0" t="s">
        <v>665</v>
      </c>
      <c r="B171" s="18" t="s">
        <v>400</v>
      </c>
      <c r="C171" s="0" t="s">
        <v>335</v>
      </c>
      <c r="D171" s="60" t="n">
        <v>1450</v>
      </c>
      <c r="E171" s="0" t="s">
        <v>335</v>
      </c>
      <c r="F171" s="5" t="n">
        <f aca="false">D171</f>
        <v>1450</v>
      </c>
      <c r="J171" s="18" t="s">
        <v>347</v>
      </c>
      <c r="K171" s="18" t="s">
        <v>355</v>
      </c>
      <c r="L171" s="18" t="s">
        <v>666</v>
      </c>
    </row>
    <row r="172" customFormat="false" ht="15" hidden="false" customHeight="false" outlineLevel="0" collapsed="false">
      <c r="A172" s="0" t="s">
        <v>667</v>
      </c>
      <c r="B172" s="18" t="s">
        <v>400</v>
      </c>
      <c r="C172" s="0" t="s">
        <v>335</v>
      </c>
      <c r="D172" s="78" t="n">
        <v>582.3</v>
      </c>
      <c r="E172" s="0" t="s">
        <v>335</v>
      </c>
      <c r="F172" s="76" t="n">
        <f aca="false">D172</f>
        <v>582.3</v>
      </c>
      <c r="J172" s="18" t="s">
        <v>389</v>
      </c>
      <c r="K172" s="18" t="s">
        <v>348</v>
      </c>
      <c r="L172" s="18" t="s">
        <v>668</v>
      </c>
    </row>
    <row r="173" customFormat="false" ht="15" hidden="false" customHeight="false" outlineLevel="0" collapsed="false">
      <c r="A173" s="0" t="s">
        <v>669</v>
      </c>
      <c r="B173" s="18" t="s">
        <v>396</v>
      </c>
      <c r="C173" s="0" t="s">
        <v>335</v>
      </c>
      <c r="D173" s="68" t="n">
        <v>20</v>
      </c>
      <c r="E173" s="0" t="s">
        <v>335</v>
      </c>
      <c r="F173" s="57" t="n">
        <f aca="false">D173</f>
        <v>20</v>
      </c>
      <c r="J173" s="18" t="s">
        <v>385</v>
      </c>
      <c r="K173" s="18" t="s">
        <v>393</v>
      </c>
      <c r="L173" s="18"/>
    </row>
    <row r="174" customFormat="false" ht="15" hidden="false" customHeight="false" outlineLevel="0" collapsed="false">
      <c r="A174" s="0" t="s">
        <v>670</v>
      </c>
      <c r="B174" s="18" t="s">
        <v>396</v>
      </c>
      <c r="C174" s="0" t="s">
        <v>335</v>
      </c>
      <c r="D174" s="68" t="n">
        <v>25</v>
      </c>
      <c r="E174" s="0" t="s">
        <v>335</v>
      </c>
      <c r="F174" s="57" t="n">
        <f aca="false">D174</f>
        <v>25</v>
      </c>
      <c r="J174" s="18" t="s">
        <v>385</v>
      </c>
      <c r="K174" s="18" t="s">
        <v>393</v>
      </c>
      <c r="L174" s="18"/>
    </row>
    <row r="175" customFormat="false" ht="15" hidden="false" customHeight="false" outlineLevel="0" collapsed="false">
      <c r="A175" s="0" t="s">
        <v>671</v>
      </c>
      <c r="B175" s="18" t="s">
        <v>396</v>
      </c>
      <c r="C175" s="0" t="s">
        <v>335</v>
      </c>
      <c r="D175" s="68" t="n">
        <v>12</v>
      </c>
      <c r="E175" s="0" t="s">
        <v>335</v>
      </c>
      <c r="F175" s="57" t="n">
        <f aca="false">D175</f>
        <v>12</v>
      </c>
      <c r="J175" s="18" t="s">
        <v>385</v>
      </c>
      <c r="K175" s="18" t="s">
        <v>393</v>
      </c>
      <c r="L175" s="18"/>
    </row>
    <row r="176" customFormat="false" ht="15" hidden="false" customHeight="false" outlineLevel="0" collapsed="false">
      <c r="A176" s="0" t="s">
        <v>672</v>
      </c>
      <c r="B176" s="18" t="s">
        <v>340</v>
      </c>
      <c r="C176" s="0" t="s">
        <v>335</v>
      </c>
      <c r="D176" s="52" t="n">
        <v>2</v>
      </c>
      <c r="E176" s="0" t="s">
        <v>335</v>
      </c>
      <c r="F176" s="53" t="n">
        <f aca="false">D176</f>
        <v>2</v>
      </c>
      <c r="J176" s="18" t="s">
        <v>336</v>
      </c>
      <c r="K176" s="18" t="s">
        <v>337</v>
      </c>
      <c r="L176" s="18" t="s">
        <v>673</v>
      </c>
    </row>
    <row r="177" customFormat="false" ht="15" hidden="false" customHeight="false" outlineLevel="0" collapsed="false">
      <c r="A177" s="0" t="s">
        <v>674</v>
      </c>
      <c r="B177" s="18" t="s">
        <v>388</v>
      </c>
      <c r="C177" s="79" t="n">
        <v>0.374</v>
      </c>
      <c r="D177" s="79" t="n">
        <v>0.374</v>
      </c>
      <c r="E177" s="79" t="n">
        <v>0.374</v>
      </c>
      <c r="F177" s="62" t="n">
        <f aca="false">CHOOSE(Scen,C177,D177,E177)</f>
        <v>0.374</v>
      </c>
      <c r="J177" s="18" t="s">
        <v>389</v>
      </c>
      <c r="K177" s="18" t="s">
        <v>393</v>
      </c>
      <c r="L177" s="18" t="s">
        <v>675</v>
      </c>
    </row>
    <row r="178" customFormat="false" ht="15" hidden="false" customHeight="false" outlineLevel="0" collapsed="false">
      <c r="A178" s="0" t="s">
        <v>676</v>
      </c>
      <c r="B178" s="18" t="s">
        <v>677</v>
      </c>
      <c r="C178" s="0" t="s">
        <v>335</v>
      </c>
      <c r="D178" s="19" t="n">
        <v>5</v>
      </c>
      <c r="E178" s="0" t="s">
        <v>335</v>
      </c>
      <c r="F178" s="53" t="n">
        <f aca="false">D178</f>
        <v>5</v>
      </c>
      <c r="J178" s="18" t="s">
        <v>336</v>
      </c>
      <c r="K178" s="18" t="s">
        <v>355</v>
      </c>
      <c r="L178" s="18" t="s">
        <v>678</v>
      </c>
    </row>
    <row r="179" customFormat="false" ht="15" hidden="false" customHeight="false" outlineLevel="0" collapsed="false">
      <c r="A179" s="0" t="s">
        <v>679</v>
      </c>
      <c r="B179" s="18" t="s">
        <v>388</v>
      </c>
      <c r="C179" s="0" t="s">
        <v>335</v>
      </c>
      <c r="D179" s="24" t="n">
        <v>0.6</v>
      </c>
      <c r="E179" s="0" t="s">
        <v>335</v>
      </c>
      <c r="F179" s="30" t="n">
        <f aca="false">D179</f>
        <v>0.6</v>
      </c>
      <c r="J179" s="18" t="s">
        <v>680</v>
      </c>
      <c r="K179" s="18" t="s">
        <v>355</v>
      </c>
      <c r="L179" s="18" t="s">
        <v>681</v>
      </c>
    </row>
    <row r="180" customFormat="false" ht="15" hidden="false" customHeight="false" outlineLevel="0" collapsed="false">
      <c r="A180" s="0" t="s">
        <v>682</v>
      </c>
      <c r="B180" s="18" t="s">
        <v>388</v>
      </c>
      <c r="C180" s="0" t="s">
        <v>335</v>
      </c>
      <c r="D180" s="24" t="n">
        <v>0.4</v>
      </c>
      <c r="E180" s="0" t="s">
        <v>335</v>
      </c>
      <c r="F180" s="30" t="n">
        <f aca="false">D180</f>
        <v>0.4</v>
      </c>
      <c r="J180" s="18" t="s">
        <v>680</v>
      </c>
      <c r="K180" s="18" t="s">
        <v>355</v>
      </c>
      <c r="L180" s="18"/>
    </row>
    <row r="181" customFormat="false" ht="15" hidden="false" customHeight="false" outlineLevel="0" collapsed="false">
      <c r="A181" s="0" t="s">
        <v>683</v>
      </c>
      <c r="B181" s="18" t="s">
        <v>400</v>
      </c>
      <c r="C181" s="0" t="s">
        <v>335</v>
      </c>
      <c r="D181" s="66"/>
      <c r="E181" s="0" t="s">
        <v>335</v>
      </c>
      <c r="F181" s="5" t="n">
        <f aca="false">D181</f>
        <v>0</v>
      </c>
      <c r="J181" s="18" t="s">
        <v>389</v>
      </c>
      <c r="K181" s="18" t="s">
        <v>382</v>
      </c>
      <c r="L181" s="18" t="s">
        <v>684</v>
      </c>
    </row>
    <row r="182" customFormat="false" ht="15" hidden="false" customHeight="false" outlineLevel="0" collapsed="false">
      <c r="A182" s="0" t="s">
        <v>685</v>
      </c>
      <c r="B182" s="18" t="s">
        <v>400</v>
      </c>
      <c r="C182" s="0" t="s">
        <v>335</v>
      </c>
      <c r="D182" s="60" t="n">
        <v>3000</v>
      </c>
      <c r="E182" s="0" t="s">
        <v>335</v>
      </c>
      <c r="F182" s="5" t="n">
        <f aca="false">D182</f>
        <v>3000</v>
      </c>
      <c r="J182" s="18" t="s">
        <v>389</v>
      </c>
      <c r="K182" s="18" t="s">
        <v>355</v>
      </c>
      <c r="L182" s="18" t="s">
        <v>686</v>
      </c>
    </row>
    <row r="183" customFormat="false" ht="15" hidden="false" customHeight="false" outlineLevel="0" collapsed="false">
      <c r="A183" s="0" t="s">
        <v>687</v>
      </c>
      <c r="B183" s="18" t="s">
        <v>353</v>
      </c>
      <c r="C183" s="0" t="s">
        <v>335</v>
      </c>
      <c r="D183" s="19" t="n">
        <v>3</v>
      </c>
      <c r="E183" s="0" t="s">
        <v>335</v>
      </c>
      <c r="F183" s="53" t="n">
        <f aca="false">D183</f>
        <v>3</v>
      </c>
      <c r="J183" s="18" t="s">
        <v>354</v>
      </c>
      <c r="K183" s="18" t="s">
        <v>355</v>
      </c>
      <c r="L183" s="18" t="s">
        <v>688</v>
      </c>
    </row>
    <row r="184" customFormat="false" ht="15" hidden="false" customHeight="false" outlineLevel="0" collapsed="false">
      <c r="A184" s="0" t="s">
        <v>689</v>
      </c>
      <c r="B184" s="18" t="s">
        <v>635</v>
      </c>
      <c r="C184" s="0" t="s">
        <v>335</v>
      </c>
      <c r="D184" s="77" t="n">
        <v>0.02</v>
      </c>
      <c r="E184" s="0" t="s">
        <v>335</v>
      </c>
      <c r="F184" s="62" t="n">
        <f aca="false">D184</f>
        <v>0.02</v>
      </c>
      <c r="J184" s="18" t="s">
        <v>336</v>
      </c>
      <c r="K184" s="18" t="s">
        <v>382</v>
      </c>
      <c r="L184" s="18"/>
    </row>
    <row r="185" customFormat="false" ht="15" hidden="false" customHeight="false" outlineLevel="0" collapsed="false">
      <c r="A185" s="0" t="s">
        <v>690</v>
      </c>
      <c r="B185" s="18" t="s">
        <v>388</v>
      </c>
      <c r="C185" s="0" t="s">
        <v>335</v>
      </c>
      <c r="D185" s="63" t="n">
        <v>0.8</v>
      </c>
      <c r="E185" s="0" t="s">
        <v>335</v>
      </c>
      <c r="F185" s="30" t="n">
        <f aca="false">D185</f>
        <v>0.8</v>
      </c>
      <c r="J185" s="18" t="s">
        <v>389</v>
      </c>
      <c r="K185" s="18" t="s">
        <v>382</v>
      </c>
      <c r="L185" s="18" t="s">
        <v>691</v>
      </c>
    </row>
    <row r="186" customFormat="false" ht="15" hidden="false" customHeight="false" outlineLevel="0" collapsed="false">
      <c r="A186" s="0" t="s">
        <v>692</v>
      </c>
      <c r="B186" s="18" t="s">
        <v>388</v>
      </c>
      <c r="C186" s="0" t="s">
        <v>335</v>
      </c>
      <c r="D186" s="63" t="n">
        <v>0.08</v>
      </c>
      <c r="E186" s="0" t="s">
        <v>335</v>
      </c>
      <c r="F186" s="30" t="n">
        <f aca="false">D186</f>
        <v>0.08</v>
      </c>
      <c r="J186" s="18" t="s">
        <v>389</v>
      </c>
      <c r="K186" s="18" t="s">
        <v>382</v>
      </c>
      <c r="L186" s="18"/>
    </row>
    <row r="187" customFormat="false" ht="15" hidden="false" customHeight="false" outlineLevel="0" collapsed="false">
      <c r="A187" s="0" t="s">
        <v>693</v>
      </c>
      <c r="B187" s="18" t="s">
        <v>388</v>
      </c>
      <c r="C187" s="0" t="s">
        <v>335</v>
      </c>
      <c r="D187" s="63" t="n">
        <v>0.12</v>
      </c>
      <c r="E187" s="0" t="s">
        <v>335</v>
      </c>
      <c r="F187" s="30" t="n">
        <f aca="false">D187</f>
        <v>0.12</v>
      </c>
      <c r="J187" s="18" t="s">
        <v>389</v>
      </c>
      <c r="K187" s="18" t="s">
        <v>382</v>
      </c>
      <c r="L187" s="18"/>
    </row>
    <row r="188" customFormat="false" ht="15" hidden="false" customHeight="false" outlineLevel="0" collapsed="false">
      <c r="A188" s="0" t="s">
        <v>694</v>
      </c>
      <c r="B188" s="18" t="s">
        <v>677</v>
      </c>
      <c r="C188" s="68" t="n">
        <v>6</v>
      </c>
      <c r="D188" s="68" t="n">
        <v>5</v>
      </c>
      <c r="E188" s="68" t="n">
        <v>4</v>
      </c>
      <c r="F188" s="57" t="n">
        <f aca="false">CHOOSE(Scen,C188,D188,E188)</f>
        <v>5</v>
      </c>
      <c r="J188" s="18" t="s">
        <v>654</v>
      </c>
      <c r="K188" s="18" t="s">
        <v>348</v>
      </c>
      <c r="L188" s="18" t="s">
        <v>695</v>
      </c>
    </row>
    <row r="189" customFormat="false" ht="15" hidden="false" customHeight="false" outlineLevel="0" collapsed="false">
      <c r="A189" s="0" t="s">
        <v>696</v>
      </c>
      <c r="B189" s="18" t="s">
        <v>677</v>
      </c>
      <c r="C189" s="68" t="n">
        <v>6</v>
      </c>
      <c r="D189" s="68" t="n">
        <v>5</v>
      </c>
      <c r="E189" s="68" t="n">
        <v>4</v>
      </c>
      <c r="F189" s="57" t="n">
        <f aca="false">CHOOSE(Scen,C189,D189,E189)</f>
        <v>5</v>
      </c>
      <c r="J189" s="18" t="s">
        <v>654</v>
      </c>
      <c r="K189" s="18" t="s">
        <v>348</v>
      </c>
      <c r="L189" s="18" t="s">
        <v>697</v>
      </c>
    </row>
    <row r="190" customFormat="false" ht="15" hidden="false" customHeight="false" outlineLevel="0" collapsed="false">
      <c r="A190" s="0" t="s">
        <v>698</v>
      </c>
      <c r="B190" s="18" t="s">
        <v>677</v>
      </c>
      <c r="C190" s="68" t="n">
        <v>6</v>
      </c>
      <c r="D190" s="68" t="n">
        <v>5</v>
      </c>
      <c r="E190" s="68" t="n">
        <v>4</v>
      </c>
      <c r="F190" s="57" t="n">
        <f aca="false">CHOOSE(Scen,C190,D190,E190)</f>
        <v>5</v>
      </c>
      <c r="J190" s="18" t="s">
        <v>654</v>
      </c>
      <c r="K190" s="18" t="s">
        <v>348</v>
      </c>
      <c r="L190" s="18" t="s">
        <v>699</v>
      </c>
    </row>
    <row r="191" customFormat="false" ht="15" hidden="false" customHeight="false" outlineLevel="0" collapsed="false">
      <c r="A191" s="0" t="s">
        <v>700</v>
      </c>
      <c r="B191" s="18" t="s">
        <v>677</v>
      </c>
      <c r="C191" s="0" t="s">
        <v>335</v>
      </c>
      <c r="D191" s="52" t="n">
        <v>0</v>
      </c>
      <c r="E191" s="0" t="s">
        <v>335</v>
      </c>
      <c r="F191" s="53" t="n">
        <f aca="false">D191</f>
        <v>0</v>
      </c>
      <c r="J191" s="18" t="s">
        <v>336</v>
      </c>
      <c r="K191" s="18" t="s">
        <v>337</v>
      </c>
      <c r="L191" s="18" t="s">
        <v>701</v>
      </c>
    </row>
    <row r="192" customFormat="false" ht="15" hidden="false" customHeight="false" outlineLevel="0" collapsed="false">
      <c r="A192" s="0" t="s">
        <v>702</v>
      </c>
      <c r="B192" s="18" t="s">
        <v>677</v>
      </c>
      <c r="C192" s="0" t="s">
        <v>335</v>
      </c>
      <c r="D192" s="52" t="n">
        <v>20</v>
      </c>
      <c r="E192" s="0" t="s">
        <v>335</v>
      </c>
      <c r="F192" s="53" t="n">
        <f aca="false">D192</f>
        <v>20</v>
      </c>
      <c r="J192" s="18" t="s">
        <v>389</v>
      </c>
      <c r="K192" s="18" t="s">
        <v>348</v>
      </c>
      <c r="L192" s="18" t="s">
        <v>703</v>
      </c>
    </row>
    <row r="193" customFormat="false" ht="15" hidden="false" customHeight="false" outlineLevel="0" collapsed="false">
      <c r="A193" s="0" t="s">
        <v>704</v>
      </c>
      <c r="B193" s="18" t="s">
        <v>677</v>
      </c>
      <c r="C193" s="0" t="s">
        <v>335</v>
      </c>
      <c r="D193" s="19" t="n">
        <v>10</v>
      </c>
      <c r="E193" s="0" t="s">
        <v>335</v>
      </c>
      <c r="F193" s="53" t="n">
        <f aca="false">D193</f>
        <v>10</v>
      </c>
      <c r="J193" s="18" t="s">
        <v>389</v>
      </c>
      <c r="K193" s="18" t="s">
        <v>355</v>
      </c>
      <c r="L193" s="18" t="s">
        <v>705</v>
      </c>
    </row>
    <row r="194" customFormat="false" ht="15" hidden="false" customHeight="false" outlineLevel="0" collapsed="false">
      <c r="A194" s="0" t="s">
        <v>706</v>
      </c>
      <c r="B194" s="18" t="s">
        <v>677</v>
      </c>
      <c r="C194" s="0" t="s">
        <v>335</v>
      </c>
      <c r="D194" s="19" t="n">
        <v>5</v>
      </c>
      <c r="E194" s="0" t="s">
        <v>335</v>
      </c>
      <c r="F194" s="53" t="n">
        <f aca="false">D194</f>
        <v>5</v>
      </c>
      <c r="J194" s="18" t="s">
        <v>336</v>
      </c>
      <c r="K194" s="18" t="s">
        <v>355</v>
      </c>
      <c r="L194" s="18"/>
    </row>
    <row r="195" customFormat="false" ht="15" hidden="false" customHeight="false" outlineLevel="0" collapsed="false">
      <c r="A195" s="0" t="s">
        <v>707</v>
      </c>
      <c r="B195" s="18" t="s">
        <v>440</v>
      </c>
      <c r="C195" s="0" t="s">
        <v>335</v>
      </c>
      <c r="D195" s="67" t="n">
        <v>0</v>
      </c>
      <c r="E195" s="0" t="s">
        <v>335</v>
      </c>
      <c r="F195" s="53" t="n">
        <f aca="false">D195</f>
        <v>0</v>
      </c>
      <c r="J195" s="18" t="s">
        <v>347</v>
      </c>
      <c r="K195" s="18" t="s">
        <v>382</v>
      </c>
      <c r="L195" s="18" t="s">
        <v>708</v>
      </c>
    </row>
    <row r="196" customFormat="false" ht="15" hidden="false" customHeight="false" outlineLevel="0" collapsed="false">
      <c r="A196" s="0" t="s">
        <v>709</v>
      </c>
      <c r="B196" s="18" t="s">
        <v>388</v>
      </c>
      <c r="C196" s="0" t="s">
        <v>335</v>
      </c>
      <c r="D196" s="63" t="n">
        <v>0</v>
      </c>
      <c r="E196" s="0" t="s">
        <v>335</v>
      </c>
      <c r="F196" s="30" t="n">
        <f aca="false">D196</f>
        <v>0</v>
      </c>
      <c r="J196" s="18" t="s">
        <v>347</v>
      </c>
      <c r="K196" s="18" t="s">
        <v>382</v>
      </c>
      <c r="L196" s="18"/>
    </row>
    <row r="197" customFormat="false" ht="15" hidden="false" customHeight="false" outlineLevel="0" collapsed="false">
      <c r="A197" s="0" t="s">
        <v>710</v>
      </c>
      <c r="B197" s="18" t="s">
        <v>440</v>
      </c>
      <c r="C197" s="0" t="s">
        <v>335</v>
      </c>
      <c r="D197" s="67" t="n">
        <v>0</v>
      </c>
      <c r="E197" s="0" t="s">
        <v>335</v>
      </c>
      <c r="F197" s="53" t="n">
        <f aca="false">D197</f>
        <v>0</v>
      </c>
      <c r="J197" s="18" t="s">
        <v>347</v>
      </c>
      <c r="K197" s="18" t="s">
        <v>382</v>
      </c>
      <c r="L197" s="18"/>
    </row>
    <row r="198" customFormat="false" ht="15" hidden="false" customHeight="false" outlineLevel="0" collapsed="false">
      <c r="A198" s="0" t="s">
        <v>711</v>
      </c>
      <c r="B198" s="18" t="s">
        <v>388</v>
      </c>
      <c r="C198" s="0" t="s">
        <v>335</v>
      </c>
      <c r="D198" s="63" t="n">
        <v>0</v>
      </c>
      <c r="E198" s="0" t="s">
        <v>335</v>
      </c>
      <c r="F198" s="30" t="n">
        <f aca="false">D198</f>
        <v>0</v>
      </c>
      <c r="J198" s="18" t="s">
        <v>347</v>
      </c>
      <c r="K198" s="18" t="s">
        <v>382</v>
      </c>
      <c r="L198" s="18"/>
    </row>
    <row r="199" customFormat="false" ht="15" hidden="false" customHeight="false" outlineLevel="0" collapsed="false">
      <c r="A199" s="0" t="s">
        <v>712</v>
      </c>
      <c r="B199" s="18" t="s">
        <v>440</v>
      </c>
      <c r="C199" s="0" t="s">
        <v>335</v>
      </c>
      <c r="D199" s="67" t="n">
        <v>0</v>
      </c>
      <c r="E199" s="0" t="s">
        <v>335</v>
      </c>
      <c r="F199" s="53" t="n">
        <f aca="false">D199</f>
        <v>0</v>
      </c>
      <c r="J199" s="18" t="s">
        <v>347</v>
      </c>
      <c r="K199" s="18" t="s">
        <v>382</v>
      </c>
      <c r="L199" s="18"/>
    </row>
    <row r="200" customFormat="false" ht="15" hidden="false" customHeight="false" outlineLevel="0" collapsed="false">
      <c r="A200" s="0" t="s">
        <v>713</v>
      </c>
      <c r="B200" s="18" t="s">
        <v>388</v>
      </c>
      <c r="C200" s="0" t="s">
        <v>335</v>
      </c>
      <c r="D200" s="63" t="n">
        <v>0</v>
      </c>
      <c r="E200" s="0" t="s">
        <v>335</v>
      </c>
      <c r="F200" s="30" t="n">
        <f aca="false">D200</f>
        <v>0</v>
      </c>
      <c r="J200" s="18" t="s">
        <v>347</v>
      </c>
      <c r="K200" s="18" t="s">
        <v>382</v>
      </c>
      <c r="L200" s="18"/>
    </row>
    <row r="201" customFormat="false" ht="15" hidden="false" customHeight="false" outlineLevel="0" collapsed="false">
      <c r="A201" s="0" t="s">
        <v>714</v>
      </c>
      <c r="B201" s="18" t="s">
        <v>400</v>
      </c>
      <c r="C201" s="0" t="s">
        <v>335</v>
      </c>
      <c r="D201" s="54" t="n">
        <v>142.4</v>
      </c>
      <c r="E201" s="0" t="s">
        <v>335</v>
      </c>
      <c r="F201" s="55" t="n">
        <f aca="false">D201</f>
        <v>142.4</v>
      </c>
      <c r="J201" s="18" t="s">
        <v>389</v>
      </c>
      <c r="K201" s="18" t="s">
        <v>393</v>
      </c>
      <c r="L201" s="18" t="s">
        <v>715</v>
      </c>
    </row>
    <row r="202" customFormat="false" ht="15" hidden="false" customHeight="false" outlineLevel="0" collapsed="false">
      <c r="A202" s="0" t="s">
        <v>716</v>
      </c>
      <c r="B202" s="18" t="s">
        <v>588</v>
      </c>
      <c r="C202" s="0" t="s">
        <v>335</v>
      </c>
      <c r="D202" s="72" t="n">
        <v>5</v>
      </c>
      <c r="E202" s="0" t="s">
        <v>335</v>
      </c>
      <c r="F202" s="55" t="n">
        <f aca="false">D202</f>
        <v>5</v>
      </c>
      <c r="J202" s="18" t="s">
        <v>389</v>
      </c>
      <c r="K202" s="18" t="s">
        <v>382</v>
      </c>
      <c r="L202" s="18" t="s">
        <v>717</v>
      </c>
    </row>
    <row r="203" customFormat="false" ht="15" hidden="false" customHeight="false" outlineLevel="0" collapsed="false">
      <c r="A203" s="48" t="s">
        <v>718</v>
      </c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</row>
    <row r="204" customFormat="false" ht="15" hidden="false" customHeight="false" outlineLevel="0" collapsed="false">
      <c r="A204" s="0" t="s">
        <v>719</v>
      </c>
      <c r="B204" s="18" t="s">
        <v>400</v>
      </c>
      <c r="C204" s="0" t="s">
        <v>335</v>
      </c>
      <c r="D204" s="54" t="n">
        <v>5975.2</v>
      </c>
      <c r="E204" s="0" t="s">
        <v>335</v>
      </c>
      <c r="F204" s="55" t="n">
        <f aca="false">D204</f>
        <v>5975.2</v>
      </c>
      <c r="J204" s="18" t="s">
        <v>389</v>
      </c>
      <c r="K204" s="18" t="s">
        <v>348</v>
      </c>
      <c r="L204" s="18" t="s">
        <v>720</v>
      </c>
    </row>
    <row r="205" customFormat="false" ht="15" hidden="false" customHeight="false" outlineLevel="0" collapsed="false">
      <c r="A205" s="0" t="s">
        <v>721</v>
      </c>
      <c r="B205" s="18" t="s">
        <v>400</v>
      </c>
      <c r="C205" s="0" t="s">
        <v>335</v>
      </c>
      <c r="D205" s="54" t="n">
        <v>1577.5</v>
      </c>
      <c r="E205" s="0" t="s">
        <v>335</v>
      </c>
      <c r="F205" s="55" t="n">
        <f aca="false">D205</f>
        <v>1577.5</v>
      </c>
      <c r="J205" s="18" t="s">
        <v>389</v>
      </c>
      <c r="K205" s="18" t="s">
        <v>348</v>
      </c>
      <c r="L205" s="18" t="s">
        <v>722</v>
      </c>
    </row>
    <row r="206" customFormat="false" ht="15" hidden="false" customHeight="false" outlineLevel="0" collapsed="false">
      <c r="A206" s="0" t="s">
        <v>723</v>
      </c>
      <c r="B206" s="18" t="s">
        <v>400</v>
      </c>
      <c r="C206" s="0" t="s">
        <v>335</v>
      </c>
      <c r="D206" s="54" t="n">
        <v>9000</v>
      </c>
      <c r="E206" s="0" t="s">
        <v>335</v>
      </c>
      <c r="F206" s="55" t="n">
        <f aca="false">D206</f>
        <v>9000</v>
      </c>
      <c r="J206" s="18" t="s">
        <v>389</v>
      </c>
      <c r="K206" s="18" t="s">
        <v>348</v>
      </c>
      <c r="L206" s="18" t="s">
        <v>724</v>
      </c>
    </row>
    <row r="207" customFormat="false" ht="15" hidden="false" customHeight="false" outlineLevel="0" collapsed="false">
      <c r="A207" s="0" t="s">
        <v>725</v>
      </c>
      <c r="B207" s="18" t="s">
        <v>388</v>
      </c>
      <c r="C207" s="79" t="n">
        <v>0.45</v>
      </c>
      <c r="D207" s="79" t="n">
        <v>0.385</v>
      </c>
      <c r="E207" s="79" t="n">
        <v>0.25</v>
      </c>
      <c r="F207" s="62" t="n">
        <f aca="false">CHOOSE(Scen,C207,D207,E207)</f>
        <v>0.385</v>
      </c>
      <c r="J207" s="18" t="s">
        <v>654</v>
      </c>
      <c r="K207" s="18" t="s">
        <v>393</v>
      </c>
      <c r="L207" s="18" t="s">
        <v>726</v>
      </c>
    </row>
    <row r="208" customFormat="false" ht="15" hidden="false" customHeight="false" outlineLevel="0" collapsed="false">
      <c r="A208" s="0" t="s">
        <v>727</v>
      </c>
      <c r="B208" s="18" t="s">
        <v>353</v>
      </c>
      <c r="C208" s="0" t="s">
        <v>335</v>
      </c>
      <c r="D208" s="19" t="n">
        <v>12</v>
      </c>
      <c r="E208" s="0" t="s">
        <v>335</v>
      </c>
      <c r="F208" s="53" t="n">
        <f aca="false">D208</f>
        <v>12</v>
      </c>
      <c r="J208" s="18" t="s">
        <v>336</v>
      </c>
      <c r="K208" s="18" t="s">
        <v>355</v>
      </c>
      <c r="L208" s="18" t="s">
        <v>728</v>
      </c>
    </row>
    <row r="209" customFormat="false" ht="15" hidden="false" customHeight="false" outlineLevel="0" collapsed="false">
      <c r="A209" s="48" t="s">
        <v>729</v>
      </c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</row>
    <row r="210" customFormat="false" ht="15" hidden="false" customHeight="false" outlineLevel="0" collapsed="false">
      <c r="A210" s="0" t="s">
        <v>730</v>
      </c>
      <c r="B210" s="18" t="s">
        <v>373</v>
      </c>
      <c r="C210" s="0" t="s">
        <v>335</v>
      </c>
      <c r="D210" s="52" t="n">
        <v>1</v>
      </c>
      <c r="E210" s="0" t="s">
        <v>335</v>
      </c>
      <c r="F210" s="53" t="n">
        <f aca="false">D210</f>
        <v>1</v>
      </c>
      <c r="J210" s="18" t="s">
        <v>389</v>
      </c>
      <c r="K210" s="18" t="s">
        <v>337</v>
      </c>
      <c r="L210" s="18" t="s">
        <v>731</v>
      </c>
    </row>
    <row r="211" customFormat="false" ht="15" hidden="false" customHeight="false" outlineLevel="0" collapsed="false">
      <c r="A211" s="0" t="s">
        <v>732</v>
      </c>
      <c r="B211" s="18" t="s">
        <v>373</v>
      </c>
      <c r="C211" s="0" t="s">
        <v>335</v>
      </c>
      <c r="D211" s="52" t="n">
        <v>0</v>
      </c>
      <c r="E211" s="0" t="s">
        <v>335</v>
      </c>
      <c r="F211" s="53" t="n">
        <f aca="false">D211</f>
        <v>0</v>
      </c>
      <c r="J211" s="18" t="s">
        <v>389</v>
      </c>
      <c r="K211" s="18" t="s">
        <v>337</v>
      </c>
      <c r="L211" s="18" t="s">
        <v>733</v>
      </c>
    </row>
    <row r="212" customFormat="false" ht="15" hidden="false" customHeight="false" outlineLevel="0" collapsed="false">
      <c r="A212" s="0" t="s">
        <v>734</v>
      </c>
      <c r="B212" s="18" t="s">
        <v>400</v>
      </c>
      <c r="C212" s="0" t="s">
        <v>335</v>
      </c>
      <c r="D212" s="64" t="n">
        <v>5750</v>
      </c>
      <c r="E212" s="0" t="s">
        <v>335</v>
      </c>
      <c r="F212" s="5" t="n">
        <f aca="false">D212</f>
        <v>5750</v>
      </c>
      <c r="J212" s="18" t="s">
        <v>389</v>
      </c>
      <c r="K212" s="18" t="s">
        <v>348</v>
      </c>
      <c r="L212" s="18" t="s">
        <v>735</v>
      </c>
    </row>
    <row r="213" customFormat="false" ht="15" hidden="false" customHeight="false" outlineLevel="0" collapsed="false">
      <c r="A213" s="0" t="s">
        <v>736</v>
      </c>
      <c r="B213" s="18" t="s">
        <v>400</v>
      </c>
      <c r="C213" s="0" t="s">
        <v>335</v>
      </c>
      <c r="D213" s="78" t="n">
        <v>8042.1</v>
      </c>
      <c r="E213" s="0" t="s">
        <v>335</v>
      </c>
      <c r="F213" s="76" t="n">
        <f aca="false">D213</f>
        <v>8042.1</v>
      </c>
      <c r="J213" s="18" t="s">
        <v>389</v>
      </c>
      <c r="K213" s="18" t="s">
        <v>348</v>
      </c>
      <c r="L213" s="18" t="s">
        <v>737</v>
      </c>
    </row>
    <row r="214" customFormat="false" ht="15" hidden="false" customHeight="false" outlineLevel="0" collapsed="false">
      <c r="A214" s="0" t="s">
        <v>738</v>
      </c>
      <c r="B214" s="18" t="s">
        <v>400</v>
      </c>
      <c r="C214" s="0" t="s">
        <v>335</v>
      </c>
      <c r="D214" s="64" t="n">
        <v>1056</v>
      </c>
      <c r="E214" s="0" t="s">
        <v>335</v>
      </c>
      <c r="F214" s="5" t="n">
        <f aca="false">D214</f>
        <v>1056</v>
      </c>
      <c r="J214" s="18" t="s">
        <v>389</v>
      </c>
      <c r="K214" s="18" t="s">
        <v>348</v>
      </c>
      <c r="L214" s="18"/>
    </row>
    <row r="215" customFormat="false" ht="15" hidden="false" customHeight="false" outlineLevel="0" collapsed="false">
      <c r="A215" s="0" t="s">
        <v>739</v>
      </c>
      <c r="B215" s="18" t="s">
        <v>400</v>
      </c>
      <c r="C215" s="0" t="s">
        <v>335</v>
      </c>
      <c r="D215" s="78" t="n">
        <v>7697.1</v>
      </c>
      <c r="E215" s="0" t="s">
        <v>335</v>
      </c>
      <c r="F215" s="76" t="n">
        <f aca="false">D215</f>
        <v>7697.1</v>
      </c>
      <c r="J215" s="18" t="s">
        <v>389</v>
      </c>
      <c r="K215" s="18" t="s">
        <v>393</v>
      </c>
      <c r="L215" s="18" t="s">
        <v>740</v>
      </c>
    </row>
    <row r="216" customFormat="false" ht="15" hidden="false" customHeight="false" outlineLevel="0" collapsed="false">
      <c r="A216" s="0" t="s">
        <v>741</v>
      </c>
      <c r="B216" s="18" t="s">
        <v>400</v>
      </c>
      <c r="C216" s="0" t="s">
        <v>335</v>
      </c>
      <c r="D216" s="78" t="n">
        <v>46.7</v>
      </c>
      <c r="E216" s="0" t="s">
        <v>335</v>
      </c>
      <c r="F216" s="76" t="n">
        <f aca="false">D216</f>
        <v>46.7</v>
      </c>
      <c r="J216" s="18" t="s">
        <v>389</v>
      </c>
      <c r="K216" s="18" t="s">
        <v>348</v>
      </c>
      <c r="L216" s="18"/>
    </row>
    <row r="217" customFormat="false" ht="15" hidden="false" customHeight="false" outlineLevel="0" collapsed="false">
      <c r="A217" s="0" t="s">
        <v>742</v>
      </c>
      <c r="B217" s="18" t="s">
        <v>471</v>
      </c>
      <c r="C217" s="0" t="s">
        <v>335</v>
      </c>
      <c r="D217" s="56" t="n">
        <v>14.6</v>
      </c>
      <c r="E217" s="0" t="s">
        <v>335</v>
      </c>
      <c r="F217" s="57" t="n">
        <f aca="false">D217</f>
        <v>14.6</v>
      </c>
      <c r="J217" s="18" t="s">
        <v>347</v>
      </c>
      <c r="K217" s="18" t="s">
        <v>355</v>
      </c>
      <c r="L217" s="18" t="s">
        <v>743</v>
      </c>
    </row>
    <row r="218" customFormat="false" ht="15" hidden="false" customHeight="false" outlineLevel="0" collapsed="false">
      <c r="A218" s="0" t="s">
        <v>744</v>
      </c>
      <c r="B218" s="18" t="s">
        <v>471</v>
      </c>
      <c r="C218" s="0" t="s">
        <v>335</v>
      </c>
      <c r="D218" s="56" t="n">
        <v>1.1</v>
      </c>
      <c r="E218" s="0" t="s">
        <v>335</v>
      </c>
      <c r="F218" s="57" t="n">
        <f aca="false">D218</f>
        <v>1.1</v>
      </c>
      <c r="J218" s="18" t="s">
        <v>347</v>
      </c>
      <c r="K218" s="18" t="s">
        <v>355</v>
      </c>
      <c r="L218" s="18"/>
    </row>
    <row r="219" customFormat="false" ht="15" hidden="false" customHeight="false" outlineLevel="0" collapsed="false">
      <c r="A219" s="0" t="s">
        <v>745</v>
      </c>
      <c r="B219" s="18" t="s">
        <v>471</v>
      </c>
      <c r="C219" s="0" t="s">
        <v>335</v>
      </c>
      <c r="D219" s="56" t="n">
        <v>-2.7</v>
      </c>
      <c r="E219" s="0" t="s">
        <v>335</v>
      </c>
      <c r="F219" s="57" t="n">
        <f aca="false">D219</f>
        <v>-2.7</v>
      </c>
      <c r="J219" s="18" t="s">
        <v>347</v>
      </c>
      <c r="K219" s="18" t="s">
        <v>355</v>
      </c>
      <c r="L219" s="18"/>
    </row>
    <row r="220" customFormat="false" ht="15" hidden="false" customHeight="false" outlineLevel="0" collapsed="false">
      <c r="A220" s="0" t="s">
        <v>746</v>
      </c>
      <c r="B220" s="18" t="s">
        <v>471</v>
      </c>
      <c r="C220" s="0" t="s">
        <v>335</v>
      </c>
      <c r="D220" s="56" t="n">
        <v>-9.9</v>
      </c>
      <c r="E220" s="0" t="s">
        <v>335</v>
      </c>
      <c r="F220" s="57" t="n">
        <f aca="false">D220</f>
        <v>-9.9</v>
      </c>
      <c r="J220" s="18" t="s">
        <v>347</v>
      </c>
      <c r="K220" s="18" t="s">
        <v>355</v>
      </c>
      <c r="L220" s="18"/>
    </row>
    <row r="221" customFormat="false" ht="15" hidden="false" customHeight="false" outlineLevel="0" collapsed="false">
      <c r="A221" s="0" t="s">
        <v>747</v>
      </c>
      <c r="B221" s="18" t="s">
        <v>400</v>
      </c>
      <c r="C221" s="0" t="s">
        <v>335</v>
      </c>
      <c r="D221" s="60" t="n">
        <v>7000</v>
      </c>
      <c r="E221" s="0" t="s">
        <v>335</v>
      </c>
      <c r="F221" s="5" t="n">
        <f aca="false">D221</f>
        <v>7000</v>
      </c>
      <c r="J221" s="18" t="s">
        <v>347</v>
      </c>
      <c r="K221" s="18" t="s">
        <v>355</v>
      </c>
      <c r="L221" s="18"/>
    </row>
    <row r="222" customFormat="false" ht="15" hidden="false" customHeight="false" outlineLevel="0" collapsed="false">
      <c r="A222" s="0" t="s">
        <v>748</v>
      </c>
      <c r="B222" s="18" t="s">
        <v>400</v>
      </c>
      <c r="C222" s="0" t="s">
        <v>335</v>
      </c>
      <c r="D222" s="60" t="n">
        <v>9900</v>
      </c>
      <c r="E222" s="0" t="s">
        <v>335</v>
      </c>
      <c r="F222" s="5" t="n">
        <f aca="false">D222</f>
        <v>9900</v>
      </c>
      <c r="J222" s="18" t="s">
        <v>347</v>
      </c>
      <c r="K222" s="18" t="s">
        <v>355</v>
      </c>
      <c r="L222" s="18"/>
    </row>
    <row r="223" customFormat="false" ht="15" hidden="false" customHeight="false" outlineLevel="0" collapsed="false">
      <c r="A223" s="0" t="s">
        <v>749</v>
      </c>
      <c r="B223" s="18" t="s">
        <v>400</v>
      </c>
      <c r="C223" s="0" t="s">
        <v>335</v>
      </c>
      <c r="D223" s="60" t="n">
        <v>12900</v>
      </c>
      <c r="E223" s="0" t="s">
        <v>335</v>
      </c>
      <c r="F223" s="5" t="n">
        <f aca="false">D223</f>
        <v>12900</v>
      </c>
      <c r="J223" s="18" t="s">
        <v>347</v>
      </c>
      <c r="K223" s="18" t="s">
        <v>355</v>
      </c>
      <c r="L223" s="18"/>
    </row>
    <row r="224" customFormat="false" ht="15" hidden="false" customHeight="false" outlineLevel="0" collapsed="false">
      <c r="A224" s="0" t="s">
        <v>750</v>
      </c>
      <c r="B224" s="18" t="s">
        <v>400</v>
      </c>
      <c r="C224" s="0" t="s">
        <v>335</v>
      </c>
      <c r="D224" s="60" t="n">
        <v>7600</v>
      </c>
      <c r="E224" s="0" t="s">
        <v>335</v>
      </c>
      <c r="F224" s="5" t="n">
        <f aca="false">D224</f>
        <v>7600</v>
      </c>
      <c r="J224" s="18" t="s">
        <v>347</v>
      </c>
      <c r="K224" s="18" t="s">
        <v>355</v>
      </c>
      <c r="L224" s="18"/>
    </row>
    <row r="225" customFormat="false" ht="15" hidden="false" customHeight="false" outlineLevel="0" collapsed="false">
      <c r="A225" s="0" t="s">
        <v>751</v>
      </c>
      <c r="B225" s="18" t="s">
        <v>400</v>
      </c>
      <c r="C225" s="0" t="s">
        <v>335</v>
      </c>
      <c r="D225" s="60" t="n">
        <v>25300</v>
      </c>
      <c r="E225" s="0" t="s">
        <v>335</v>
      </c>
      <c r="F225" s="5" t="n">
        <f aca="false">D225</f>
        <v>25300</v>
      </c>
      <c r="J225" s="18" t="s">
        <v>347</v>
      </c>
      <c r="K225" s="18" t="s">
        <v>355</v>
      </c>
      <c r="L225" s="18"/>
    </row>
    <row r="226" customFormat="false" ht="15" hidden="false" customHeight="false" outlineLevel="0" collapsed="false">
      <c r="A226" s="0" t="s">
        <v>752</v>
      </c>
      <c r="B226" s="18" t="s">
        <v>504</v>
      </c>
      <c r="C226" s="0" t="s">
        <v>335</v>
      </c>
      <c r="D226" s="56" t="n">
        <v>11.1</v>
      </c>
      <c r="E226" s="0" t="s">
        <v>335</v>
      </c>
      <c r="F226" s="57" t="n">
        <f aca="false">D226</f>
        <v>11.1</v>
      </c>
      <c r="J226" s="18" t="s">
        <v>347</v>
      </c>
      <c r="K226" s="18" t="s">
        <v>355</v>
      </c>
      <c r="L226" s="18"/>
    </row>
    <row r="227" customFormat="false" ht="15" hidden="false" customHeight="false" outlineLevel="0" collapsed="false">
      <c r="A227" s="0" t="s">
        <v>753</v>
      </c>
      <c r="B227" s="18" t="s">
        <v>504</v>
      </c>
      <c r="C227" s="0" t="s">
        <v>335</v>
      </c>
      <c r="D227" s="56" t="n">
        <v>4.8</v>
      </c>
      <c r="E227" s="0" t="s">
        <v>335</v>
      </c>
      <c r="F227" s="57" t="n">
        <f aca="false">D227</f>
        <v>4.8</v>
      </c>
      <c r="J227" s="18" t="s">
        <v>347</v>
      </c>
      <c r="K227" s="18" t="s">
        <v>355</v>
      </c>
      <c r="L227" s="18"/>
    </row>
    <row r="228" customFormat="false" ht="15" hidden="false" customHeight="false" outlineLevel="0" collapsed="false">
      <c r="A228" s="0" t="s">
        <v>754</v>
      </c>
      <c r="B228" s="18" t="s">
        <v>392</v>
      </c>
      <c r="C228" s="0" t="s">
        <v>335</v>
      </c>
      <c r="D228" s="80" t="n">
        <v>3.27</v>
      </c>
      <c r="E228" s="0" t="s">
        <v>335</v>
      </c>
      <c r="F228" s="6" t="n">
        <f aca="false">D228</f>
        <v>3.27</v>
      </c>
      <c r="J228" s="18" t="s">
        <v>385</v>
      </c>
      <c r="K228" s="18" t="s">
        <v>393</v>
      </c>
      <c r="L228" s="18" t="s">
        <v>755</v>
      </c>
    </row>
    <row r="229" customFormat="false" ht="15" hidden="false" customHeight="false" outlineLevel="0" collapsed="false">
      <c r="A229" s="0" t="s">
        <v>756</v>
      </c>
      <c r="B229" s="18" t="s">
        <v>504</v>
      </c>
      <c r="C229" s="0" t="s">
        <v>335</v>
      </c>
      <c r="D229" s="80" t="n">
        <v>0.46</v>
      </c>
      <c r="E229" s="0" t="s">
        <v>335</v>
      </c>
      <c r="F229" s="6" t="n">
        <f aca="false">D229</f>
        <v>0.46</v>
      </c>
      <c r="J229" s="18" t="s">
        <v>389</v>
      </c>
      <c r="K229" s="18" t="s">
        <v>393</v>
      </c>
      <c r="L229" s="18" t="s">
        <v>757</v>
      </c>
    </row>
    <row r="230" customFormat="false" ht="15" hidden="false" customHeight="false" outlineLevel="0" collapsed="false">
      <c r="A230" s="0" t="s">
        <v>758</v>
      </c>
      <c r="B230" s="18" t="s">
        <v>400</v>
      </c>
      <c r="C230" s="0" t="s">
        <v>335</v>
      </c>
      <c r="D230" s="64" t="n">
        <v>5197.7</v>
      </c>
      <c r="E230" s="0" t="s">
        <v>335</v>
      </c>
      <c r="F230" s="5" t="n">
        <f aca="false">D230</f>
        <v>5197.7</v>
      </c>
      <c r="J230" s="18" t="s">
        <v>389</v>
      </c>
      <c r="K230" s="18" t="s">
        <v>348</v>
      </c>
      <c r="L230" s="18" t="s">
        <v>759</v>
      </c>
    </row>
    <row r="231" customFormat="false" ht="15" hidden="false" customHeight="false" outlineLevel="0" collapsed="false">
      <c r="A231" s="0" t="s">
        <v>760</v>
      </c>
      <c r="B231" s="18" t="s">
        <v>396</v>
      </c>
      <c r="C231" s="0" t="s">
        <v>335</v>
      </c>
      <c r="D231" s="68" t="n">
        <v>13</v>
      </c>
      <c r="E231" s="0" t="s">
        <v>335</v>
      </c>
      <c r="F231" s="57" t="n">
        <f aca="false">D231</f>
        <v>13</v>
      </c>
      <c r="J231" s="18" t="s">
        <v>761</v>
      </c>
      <c r="K231" s="18" t="s">
        <v>393</v>
      </c>
      <c r="L231" s="18" t="s">
        <v>762</v>
      </c>
    </row>
    <row r="232" customFormat="false" ht="15" hidden="false" customHeight="false" outlineLevel="0" collapsed="false">
      <c r="A232" s="0" t="s">
        <v>763</v>
      </c>
      <c r="B232" s="18" t="s">
        <v>400</v>
      </c>
      <c r="C232" s="0" t="s">
        <v>335</v>
      </c>
      <c r="D232" s="66" t="n">
        <v>2000</v>
      </c>
      <c r="E232" s="0" t="s">
        <v>335</v>
      </c>
      <c r="F232" s="5" t="n">
        <f aca="false">D232</f>
        <v>2000</v>
      </c>
      <c r="J232" s="18" t="s">
        <v>336</v>
      </c>
      <c r="K232" s="18" t="s">
        <v>382</v>
      </c>
      <c r="L232" s="18" t="s">
        <v>764</v>
      </c>
    </row>
    <row r="233" customFormat="false" ht="15" hidden="false" customHeight="false" outlineLevel="0" collapsed="false">
      <c r="A233" s="0" t="s">
        <v>765</v>
      </c>
      <c r="B233" s="18" t="s">
        <v>388</v>
      </c>
      <c r="C233" s="0" t="s">
        <v>335</v>
      </c>
      <c r="D233" s="81" t="n">
        <v>0.035</v>
      </c>
      <c r="E233" s="0" t="s">
        <v>335</v>
      </c>
      <c r="F233" s="71" t="n">
        <f aca="false">D233</f>
        <v>0.035</v>
      </c>
      <c r="J233" s="18" t="s">
        <v>336</v>
      </c>
      <c r="K233" s="18" t="s">
        <v>382</v>
      </c>
      <c r="L233" s="18"/>
    </row>
    <row r="234" customFormat="false" ht="15" hidden="false" customHeight="false" outlineLevel="0" collapsed="false">
      <c r="A234" s="0" t="s">
        <v>766</v>
      </c>
      <c r="B234" s="18" t="s">
        <v>388</v>
      </c>
      <c r="C234" s="0" t="s">
        <v>335</v>
      </c>
      <c r="D234" s="81" t="n">
        <v>0.04</v>
      </c>
      <c r="E234" s="0" t="s">
        <v>335</v>
      </c>
      <c r="F234" s="71" t="n">
        <f aca="false">D234</f>
        <v>0.04</v>
      </c>
      <c r="J234" s="18" t="s">
        <v>389</v>
      </c>
      <c r="K234" s="18" t="s">
        <v>382</v>
      </c>
      <c r="L234" s="18"/>
    </row>
    <row r="235" customFormat="false" ht="15" hidden="false" customHeight="false" outlineLevel="0" collapsed="false">
      <c r="A235" s="0" t="s">
        <v>767</v>
      </c>
      <c r="B235" s="18" t="s">
        <v>388</v>
      </c>
      <c r="C235" s="0" t="s">
        <v>335</v>
      </c>
      <c r="D235" s="82" t="n">
        <v>0.025</v>
      </c>
      <c r="E235" s="0" t="s">
        <v>335</v>
      </c>
      <c r="F235" s="71" t="n">
        <f aca="false">D235</f>
        <v>0.025</v>
      </c>
      <c r="J235" s="18" t="s">
        <v>389</v>
      </c>
      <c r="K235" s="18" t="s">
        <v>348</v>
      </c>
      <c r="L235" s="18" t="s">
        <v>768</v>
      </c>
    </row>
    <row r="236" customFormat="false" ht="15" hidden="false" customHeight="false" outlineLevel="0" collapsed="false">
      <c r="A236" s="0" t="s">
        <v>769</v>
      </c>
      <c r="B236" s="18" t="s">
        <v>400</v>
      </c>
      <c r="C236" s="0" t="s">
        <v>335</v>
      </c>
      <c r="D236" s="64" t="n">
        <v>775</v>
      </c>
      <c r="E236" s="0" t="s">
        <v>335</v>
      </c>
      <c r="F236" s="5" t="n">
        <f aca="false">D236</f>
        <v>775</v>
      </c>
      <c r="J236" s="18" t="s">
        <v>389</v>
      </c>
      <c r="K236" s="18" t="s">
        <v>348</v>
      </c>
      <c r="L236" s="18" t="s">
        <v>770</v>
      </c>
    </row>
    <row r="237" customFormat="false" ht="15" hidden="false" customHeight="false" outlineLevel="0" collapsed="false">
      <c r="A237" s="0" t="s">
        <v>771</v>
      </c>
      <c r="B237" s="18" t="s">
        <v>440</v>
      </c>
      <c r="C237" s="0" t="s">
        <v>335</v>
      </c>
      <c r="D237" s="52" t="n">
        <v>11</v>
      </c>
      <c r="E237" s="0" t="s">
        <v>335</v>
      </c>
      <c r="F237" s="53" t="n">
        <f aca="false">D237</f>
        <v>11</v>
      </c>
      <c r="J237" s="18" t="s">
        <v>389</v>
      </c>
      <c r="K237" s="18" t="s">
        <v>348</v>
      </c>
      <c r="L237" s="18" t="s">
        <v>772</v>
      </c>
    </row>
    <row r="238" customFormat="false" ht="15" hidden="false" customHeight="false" outlineLevel="0" collapsed="false">
      <c r="A238" s="0" t="s">
        <v>773</v>
      </c>
      <c r="B238" s="18" t="s">
        <v>440</v>
      </c>
      <c r="C238" s="0" t="s">
        <v>335</v>
      </c>
      <c r="D238" s="52" t="n">
        <v>28</v>
      </c>
      <c r="E238" s="0" t="s">
        <v>335</v>
      </c>
      <c r="F238" s="53" t="n">
        <f aca="false">D238</f>
        <v>28</v>
      </c>
      <c r="J238" s="18" t="s">
        <v>389</v>
      </c>
      <c r="K238" s="18" t="s">
        <v>348</v>
      </c>
      <c r="L238" s="18" t="s">
        <v>774</v>
      </c>
    </row>
    <row r="239" customFormat="false" ht="15" hidden="false" customHeight="false" outlineLevel="0" collapsed="false">
      <c r="A239" s="0" t="s">
        <v>775</v>
      </c>
      <c r="B239" s="18" t="s">
        <v>388</v>
      </c>
      <c r="C239" s="0" t="s">
        <v>335</v>
      </c>
      <c r="D239" s="81" t="n">
        <v>0.03</v>
      </c>
      <c r="E239" s="0" t="s">
        <v>335</v>
      </c>
      <c r="F239" s="71" t="n">
        <f aca="false">D239</f>
        <v>0.03</v>
      </c>
      <c r="J239" s="18" t="s">
        <v>389</v>
      </c>
      <c r="K239" s="18" t="s">
        <v>382</v>
      </c>
      <c r="L239" s="18"/>
    </row>
    <row r="240" customFormat="false" ht="15" hidden="false" customHeight="false" outlineLevel="0" collapsed="false">
      <c r="A240" s="0" t="s">
        <v>776</v>
      </c>
      <c r="B240" s="18" t="s">
        <v>388</v>
      </c>
      <c r="C240" s="63" t="n">
        <v>0.6</v>
      </c>
      <c r="D240" s="63" t="n">
        <v>0.5</v>
      </c>
      <c r="E240" s="63" t="n">
        <v>0.3</v>
      </c>
      <c r="F240" s="30" t="n">
        <f aca="false">CHOOSE(Scen,C240,D240,E240)</f>
        <v>0.5</v>
      </c>
      <c r="J240" s="18" t="s">
        <v>336</v>
      </c>
      <c r="K240" s="18" t="s">
        <v>382</v>
      </c>
      <c r="L240" s="18"/>
    </row>
    <row r="241" customFormat="false" ht="15" hidden="false" customHeight="false" outlineLevel="0" collapsed="false">
      <c r="A241" s="0" t="s">
        <v>777</v>
      </c>
      <c r="B241" s="18" t="s">
        <v>388</v>
      </c>
      <c r="C241" s="0" t="s">
        <v>335</v>
      </c>
      <c r="D241" s="63" t="n">
        <v>0.03</v>
      </c>
      <c r="E241" s="0" t="s">
        <v>335</v>
      </c>
      <c r="F241" s="30" t="n">
        <f aca="false">D241</f>
        <v>0.03</v>
      </c>
      <c r="J241" s="18" t="s">
        <v>336</v>
      </c>
      <c r="K241" s="18" t="s">
        <v>382</v>
      </c>
      <c r="L241" s="18"/>
    </row>
    <row r="242" customFormat="false" ht="15" hidden="false" customHeight="false" outlineLevel="0" collapsed="false">
      <c r="A242" s="0" t="s">
        <v>778</v>
      </c>
      <c r="B242" s="18" t="s">
        <v>400</v>
      </c>
      <c r="C242" s="0" t="s">
        <v>335</v>
      </c>
      <c r="D242" s="64" t="n">
        <v>5680</v>
      </c>
      <c r="E242" s="0" t="s">
        <v>335</v>
      </c>
      <c r="F242" s="5" t="n">
        <f aca="false">D242</f>
        <v>5680</v>
      </c>
      <c r="J242" s="18" t="s">
        <v>389</v>
      </c>
      <c r="K242" s="18" t="s">
        <v>348</v>
      </c>
      <c r="L242" s="18" t="s">
        <v>779</v>
      </c>
    </row>
    <row r="243" customFormat="false" ht="15" hidden="false" customHeight="false" outlineLevel="0" collapsed="false">
      <c r="A243" s="0" t="s">
        <v>780</v>
      </c>
      <c r="B243" s="18" t="s">
        <v>781</v>
      </c>
      <c r="C243" s="0" t="s">
        <v>335</v>
      </c>
      <c r="D243" s="54" t="n">
        <v>15.77</v>
      </c>
      <c r="E243" s="0" t="s">
        <v>335</v>
      </c>
      <c r="F243" s="55" t="n">
        <f aca="false">D243</f>
        <v>15.77</v>
      </c>
      <c r="J243" s="18" t="s">
        <v>389</v>
      </c>
      <c r="K243" s="18" t="s">
        <v>348</v>
      </c>
      <c r="L243" s="18" t="s">
        <v>782</v>
      </c>
    </row>
    <row r="244" customFormat="false" ht="15" hidden="false" customHeight="false" outlineLevel="0" collapsed="false">
      <c r="A244" s="0" t="s">
        <v>783</v>
      </c>
      <c r="B244" s="18" t="s">
        <v>440</v>
      </c>
      <c r="C244" s="0" t="s">
        <v>335</v>
      </c>
      <c r="D244" s="52" t="n">
        <v>11</v>
      </c>
      <c r="E244" s="0" t="s">
        <v>335</v>
      </c>
      <c r="F244" s="53" t="n">
        <f aca="false">D244</f>
        <v>11</v>
      </c>
      <c r="J244" s="18" t="s">
        <v>389</v>
      </c>
      <c r="K244" s="18" t="s">
        <v>348</v>
      </c>
      <c r="L244" s="18" t="s">
        <v>784</v>
      </c>
    </row>
    <row r="245" customFormat="false" ht="15" hidden="false" customHeight="false" outlineLevel="0" collapsed="false">
      <c r="A245" s="0" t="s">
        <v>785</v>
      </c>
      <c r="B245" s="18" t="s">
        <v>781</v>
      </c>
      <c r="C245" s="0" t="s">
        <v>335</v>
      </c>
      <c r="D245" s="72" t="n">
        <v>0</v>
      </c>
      <c r="E245" s="0" t="s">
        <v>335</v>
      </c>
      <c r="F245" s="55" t="n">
        <f aca="false">D245</f>
        <v>0</v>
      </c>
      <c r="J245" s="18" t="s">
        <v>389</v>
      </c>
      <c r="K245" s="18" t="s">
        <v>786</v>
      </c>
      <c r="L245" s="18" t="s">
        <v>787</v>
      </c>
    </row>
    <row r="246" customFormat="false" ht="15" hidden="false" customHeight="false" outlineLevel="0" collapsed="false">
      <c r="A246" s="0" t="s">
        <v>788</v>
      </c>
      <c r="B246" s="18" t="s">
        <v>340</v>
      </c>
      <c r="C246" s="0" t="s">
        <v>335</v>
      </c>
      <c r="D246" s="52" t="n">
        <v>2</v>
      </c>
      <c r="E246" s="0" t="s">
        <v>335</v>
      </c>
      <c r="F246" s="53" t="n">
        <f aca="false">D246</f>
        <v>2</v>
      </c>
      <c r="J246" s="18" t="s">
        <v>336</v>
      </c>
      <c r="K246" s="18" t="s">
        <v>337</v>
      </c>
      <c r="L246" s="18" t="s">
        <v>789</v>
      </c>
    </row>
    <row r="247" customFormat="false" ht="15" hidden="false" customHeight="false" outlineLevel="0" collapsed="false">
      <c r="A247" s="0" t="s">
        <v>790</v>
      </c>
      <c r="B247" s="18" t="s">
        <v>781</v>
      </c>
      <c r="C247" s="0" t="s">
        <v>335</v>
      </c>
      <c r="D247" s="83" t="n">
        <v>21.065936</v>
      </c>
      <c r="E247" s="0" t="s">
        <v>335</v>
      </c>
      <c r="F247" s="84" t="n">
        <f aca="false">D247</f>
        <v>21.065936</v>
      </c>
      <c r="J247" s="18" t="s">
        <v>389</v>
      </c>
      <c r="K247" s="18" t="s">
        <v>348</v>
      </c>
      <c r="L247" s="18" t="s">
        <v>791</v>
      </c>
    </row>
    <row r="248" customFormat="false" ht="15" hidden="false" customHeight="false" outlineLevel="0" collapsed="false">
      <c r="A248" s="0" t="s">
        <v>792</v>
      </c>
      <c r="B248" s="18" t="s">
        <v>440</v>
      </c>
      <c r="C248" s="0" t="s">
        <v>335</v>
      </c>
      <c r="D248" s="52" t="n">
        <v>9</v>
      </c>
      <c r="E248" s="0" t="s">
        <v>335</v>
      </c>
      <c r="F248" s="53" t="n">
        <f aca="false">D248</f>
        <v>9</v>
      </c>
      <c r="J248" s="18" t="s">
        <v>389</v>
      </c>
      <c r="K248" s="18" t="s">
        <v>348</v>
      </c>
      <c r="L248" s="18" t="s">
        <v>793</v>
      </c>
    </row>
    <row r="249" customFormat="false" ht="15" hidden="false" customHeight="false" outlineLevel="0" collapsed="false">
      <c r="A249" s="0" t="s">
        <v>794</v>
      </c>
      <c r="B249" s="18" t="s">
        <v>781</v>
      </c>
      <c r="C249" s="0" t="s">
        <v>335</v>
      </c>
      <c r="D249" s="83" t="n">
        <v>6.7406</v>
      </c>
      <c r="E249" s="0" t="s">
        <v>335</v>
      </c>
      <c r="F249" s="84" t="n">
        <f aca="false">D249</f>
        <v>6.7406</v>
      </c>
      <c r="J249" s="18" t="s">
        <v>389</v>
      </c>
      <c r="K249" s="18" t="s">
        <v>348</v>
      </c>
      <c r="L249" s="18" t="s">
        <v>795</v>
      </c>
    </row>
    <row r="250" customFormat="false" ht="15" hidden="false" customHeight="false" outlineLevel="0" collapsed="false">
      <c r="A250" s="0" t="s">
        <v>796</v>
      </c>
      <c r="B250" s="18" t="s">
        <v>346</v>
      </c>
      <c r="C250" s="0" t="s">
        <v>335</v>
      </c>
      <c r="D250" s="54" t="n">
        <v>88.65</v>
      </c>
      <c r="E250" s="0" t="s">
        <v>335</v>
      </c>
      <c r="F250" s="55" t="n">
        <f aca="false">D250</f>
        <v>88.65</v>
      </c>
      <c r="J250" s="18" t="s">
        <v>389</v>
      </c>
      <c r="K250" s="18" t="s">
        <v>348</v>
      </c>
      <c r="L250" s="18"/>
    </row>
    <row r="251" customFormat="false" ht="15" hidden="false" customHeight="false" outlineLevel="0" collapsed="false">
      <c r="A251" s="0" t="s">
        <v>797</v>
      </c>
      <c r="B251" s="18" t="s">
        <v>781</v>
      </c>
      <c r="C251" s="0" t="s">
        <v>335</v>
      </c>
      <c r="D251" s="83" t="n">
        <v>6.234091</v>
      </c>
      <c r="E251" s="0" t="s">
        <v>335</v>
      </c>
      <c r="F251" s="84" t="n">
        <f aca="false">D251</f>
        <v>6.234091</v>
      </c>
      <c r="J251" s="18" t="s">
        <v>389</v>
      </c>
      <c r="K251" s="18" t="s">
        <v>348</v>
      </c>
      <c r="L251" s="18" t="s">
        <v>798</v>
      </c>
    </row>
    <row r="252" customFormat="false" ht="15" hidden="false" customHeight="false" outlineLevel="0" collapsed="false">
      <c r="A252" s="0" t="s">
        <v>799</v>
      </c>
      <c r="B252" s="18" t="s">
        <v>781</v>
      </c>
      <c r="C252" s="0" t="s">
        <v>335</v>
      </c>
      <c r="D252" s="83" t="n">
        <v>2.743655</v>
      </c>
      <c r="E252" s="0" t="s">
        <v>335</v>
      </c>
      <c r="F252" s="84" t="n">
        <f aca="false">D252</f>
        <v>2.743655</v>
      </c>
      <c r="J252" s="18" t="s">
        <v>389</v>
      </c>
      <c r="K252" s="18" t="s">
        <v>348</v>
      </c>
      <c r="L252" s="18" t="s">
        <v>800</v>
      </c>
    </row>
    <row r="253" customFormat="false" ht="15" hidden="false" customHeight="false" outlineLevel="0" collapsed="false">
      <c r="A253" s="0" t="s">
        <v>801</v>
      </c>
      <c r="B253" s="18" t="s">
        <v>373</v>
      </c>
      <c r="C253" s="0" t="s">
        <v>335</v>
      </c>
      <c r="D253" s="52" t="n">
        <v>0</v>
      </c>
      <c r="E253" s="0" t="s">
        <v>335</v>
      </c>
      <c r="F253" s="53" t="n">
        <f aca="false">D253</f>
        <v>0</v>
      </c>
      <c r="J253" s="18" t="s">
        <v>336</v>
      </c>
      <c r="K253" s="18" t="s">
        <v>337</v>
      </c>
      <c r="L253" s="18"/>
    </row>
    <row r="254" customFormat="false" ht="15" hidden="false" customHeight="false" outlineLevel="0" collapsed="false">
      <c r="A254" s="0" t="s">
        <v>802</v>
      </c>
      <c r="B254" s="18" t="s">
        <v>781</v>
      </c>
      <c r="C254" s="0" t="s">
        <v>335</v>
      </c>
      <c r="D254" s="83" t="n">
        <v>12.270507</v>
      </c>
      <c r="E254" s="0" t="s">
        <v>335</v>
      </c>
      <c r="F254" s="84" t="n">
        <f aca="false">D254</f>
        <v>12.270507</v>
      </c>
      <c r="J254" s="18" t="s">
        <v>389</v>
      </c>
      <c r="K254" s="18" t="s">
        <v>348</v>
      </c>
      <c r="L254" s="18" t="s">
        <v>803</v>
      </c>
    </row>
    <row r="255" customFormat="false" ht="15" hidden="false" customHeight="false" outlineLevel="0" collapsed="false">
      <c r="A255" s="0" t="s">
        <v>804</v>
      </c>
      <c r="B255" s="18" t="s">
        <v>781</v>
      </c>
      <c r="C255" s="0" t="s">
        <v>335</v>
      </c>
      <c r="D255" s="68" t="n">
        <v>369.2</v>
      </c>
      <c r="E255" s="0" t="s">
        <v>335</v>
      </c>
      <c r="F255" s="57" t="n">
        <f aca="false">D255</f>
        <v>369.2</v>
      </c>
      <c r="J255" s="18" t="s">
        <v>389</v>
      </c>
      <c r="K255" s="18" t="s">
        <v>348</v>
      </c>
      <c r="L255" s="18" t="s">
        <v>805</v>
      </c>
    </row>
    <row r="256" customFormat="false" ht="15" hidden="false" customHeight="false" outlineLevel="0" collapsed="false">
      <c r="A256" s="0" t="s">
        <v>806</v>
      </c>
      <c r="B256" s="18" t="s">
        <v>781</v>
      </c>
      <c r="C256" s="0" t="s">
        <v>335</v>
      </c>
      <c r="D256" s="68" t="n">
        <v>381.5</v>
      </c>
      <c r="E256" s="0" t="s">
        <v>335</v>
      </c>
      <c r="F256" s="57" t="n">
        <f aca="false">D256</f>
        <v>381.5</v>
      </c>
      <c r="J256" s="18" t="s">
        <v>389</v>
      </c>
      <c r="K256" s="18" t="s">
        <v>348</v>
      </c>
      <c r="L256" s="18" t="s">
        <v>807</v>
      </c>
    </row>
    <row r="257" customFormat="false" ht="15" hidden="false" customHeight="false" outlineLevel="0" collapsed="false">
      <c r="A257" s="0" t="s">
        <v>808</v>
      </c>
      <c r="B257" s="18" t="s">
        <v>781</v>
      </c>
      <c r="C257" s="0" t="s">
        <v>335</v>
      </c>
      <c r="D257" s="80" t="n">
        <v>50.03</v>
      </c>
      <c r="E257" s="0" t="s">
        <v>335</v>
      </c>
      <c r="F257" s="6" t="n">
        <f aca="false">D257</f>
        <v>50.03</v>
      </c>
      <c r="J257" s="18" t="s">
        <v>389</v>
      </c>
      <c r="K257" s="18" t="s">
        <v>348</v>
      </c>
      <c r="L257" s="18" t="s">
        <v>809</v>
      </c>
    </row>
    <row r="258" customFormat="false" ht="15" hidden="false" customHeight="false" outlineLevel="0" collapsed="false">
      <c r="A258" s="0" t="s">
        <v>810</v>
      </c>
      <c r="B258" s="18" t="s">
        <v>400</v>
      </c>
      <c r="C258" s="0" t="s">
        <v>335</v>
      </c>
      <c r="D258" s="64" t="n">
        <v>7680</v>
      </c>
      <c r="E258" s="0" t="s">
        <v>335</v>
      </c>
      <c r="F258" s="5" t="n">
        <f aca="false">D258</f>
        <v>7680</v>
      </c>
      <c r="J258" s="18" t="s">
        <v>389</v>
      </c>
      <c r="K258" s="18" t="s">
        <v>348</v>
      </c>
      <c r="L258" s="18"/>
    </row>
    <row r="259" customFormat="false" ht="15" hidden="false" customHeight="false" outlineLevel="0" collapsed="false">
      <c r="A259" s="0" t="s">
        <v>811</v>
      </c>
      <c r="B259" s="18" t="s">
        <v>400</v>
      </c>
      <c r="C259" s="0" t="s">
        <v>335</v>
      </c>
      <c r="D259" s="64" t="n">
        <v>79500</v>
      </c>
      <c r="E259" s="0" t="s">
        <v>335</v>
      </c>
      <c r="F259" s="5" t="n">
        <f aca="false">D259</f>
        <v>79500</v>
      </c>
      <c r="J259" s="18" t="s">
        <v>385</v>
      </c>
      <c r="K259" s="18" t="s">
        <v>393</v>
      </c>
      <c r="L259" s="18" t="s">
        <v>812</v>
      </c>
    </row>
    <row r="260" customFormat="false" ht="15" hidden="false" customHeight="false" outlineLevel="0" collapsed="false">
      <c r="A260" s="0" t="s">
        <v>813</v>
      </c>
      <c r="B260" s="18" t="s">
        <v>415</v>
      </c>
      <c r="C260" s="0" t="s">
        <v>335</v>
      </c>
      <c r="D260" s="64" t="n">
        <v>1500</v>
      </c>
      <c r="E260" s="0" t="s">
        <v>335</v>
      </c>
      <c r="F260" s="5" t="n">
        <f aca="false">D260</f>
        <v>1500</v>
      </c>
      <c r="J260" s="18" t="s">
        <v>385</v>
      </c>
      <c r="K260" s="18" t="s">
        <v>393</v>
      </c>
      <c r="L260" s="18"/>
    </row>
    <row r="261" customFormat="false" ht="15" hidden="false" customHeight="false" outlineLevel="0" collapsed="false">
      <c r="A261" s="0" t="s">
        <v>814</v>
      </c>
      <c r="B261" s="18" t="s">
        <v>415</v>
      </c>
      <c r="C261" s="0" t="s">
        <v>335</v>
      </c>
      <c r="D261" s="64" t="n">
        <v>3700</v>
      </c>
      <c r="E261" s="0" t="s">
        <v>335</v>
      </c>
      <c r="F261" s="5" t="n">
        <f aca="false">D261</f>
        <v>3700</v>
      </c>
      <c r="J261" s="18" t="s">
        <v>385</v>
      </c>
      <c r="K261" s="18" t="s">
        <v>393</v>
      </c>
      <c r="L261" s="18"/>
    </row>
    <row r="262" customFormat="false" ht="15" hidden="false" customHeight="false" outlineLevel="0" collapsed="false">
      <c r="A262" s="0" t="s">
        <v>815</v>
      </c>
      <c r="B262" s="18" t="s">
        <v>400</v>
      </c>
      <c r="C262" s="0" t="s">
        <v>335</v>
      </c>
      <c r="D262" s="66" t="n">
        <v>0</v>
      </c>
      <c r="E262" s="0" t="s">
        <v>335</v>
      </c>
      <c r="F262" s="5" t="n">
        <f aca="false">D262</f>
        <v>0</v>
      </c>
      <c r="J262" s="18" t="s">
        <v>385</v>
      </c>
      <c r="K262" s="18" t="s">
        <v>382</v>
      </c>
      <c r="L262" s="18"/>
    </row>
    <row r="263" customFormat="false" ht="15" hidden="false" customHeight="false" outlineLevel="0" collapsed="false">
      <c r="A263" s="0" t="s">
        <v>816</v>
      </c>
      <c r="B263" s="18" t="s">
        <v>400</v>
      </c>
      <c r="C263" s="0" t="s">
        <v>335</v>
      </c>
      <c r="D263" s="66" t="n">
        <v>0</v>
      </c>
      <c r="E263" s="0" t="s">
        <v>335</v>
      </c>
      <c r="F263" s="5" t="n">
        <f aca="false">D263</f>
        <v>0</v>
      </c>
      <c r="J263" s="18" t="s">
        <v>385</v>
      </c>
      <c r="K263" s="18" t="s">
        <v>382</v>
      </c>
      <c r="L263" s="18"/>
    </row>
    <row r="264" customFormat="false" ht="15" hidden="false" customHeight="false" outlineLevel="0" collapsed="false">
      <c r="A264" s="0" t="s">
        <v>817</v>
      </c>
      <c r="B264" s="18" t="s">
        <v>340</v>
      </c>
      <c r="C264" s="0" t="s">
        <v>335</v>
      </c>
      <c r="D264" s="52" t="n">
        <v>2</v>
      </c>
      <c r="E264" s="0" t="s">
        <v>335</v>
      </c>
      <c r="F264" s="53" t="n">
        <f aca="false">D264</f>
        <v>2</v>
      </c>
      <c r="J264" s="18" t="s">
        <v>336</v>
      </c>
      <c r="K264" s="18" t="s">
        <v>337</v>
      </c>
      <c r="L264" s="18" t="s">
        <v>818</v>
      </c>
    </row>
    <row r="265" customFormat="false" ht="15" hidden="false" customHeight="false" outlineLevel="0" collapsed="false">
      <c r="A265" s="0" t="s">
        <v>819</v>
      </c>
      <c r="B265" s="18" t="s">
        <v>464</v>
      </c>
      <c r="C265" s="0" t="s">
        <v>335</v>
      </c>
      <c r="D265" s="81" t="n">
        <v>0</v>
      </c>
      <c r="E265" s="0" t="s">
        <v>335</v>
      </c>
      <c r="F265" s="71" t="n">
        <f aca="false">D265</f>
        <v>0</v>
      </c>
      <c r="J265" s="18" t="s">
        <v>389</v>
      </c>
      <c r="K265" s="18" t="s">
        <v>382</v>
      </c>
      <c r="L265" s="18" t="s">
        <v>820</v>
      </c>
    </row>
    <row r="266" customFormat="false" ht="15" hidden="false" customHeight="false" outlineLevel="0" collapsed="false">
      <c r="A266" s="0" t="s">
        <v>821</v>
      </c>
      <c r="B266" s="18" t="s">
        <v>388</v>
      </c>
      <c r="C266" s="0" t="s">
        <v>335</v>
      </c>
      <c r="D266" s="22" t="n">
        <v>0.258</v>
      </c>
      <c r="E266" s="0" t="s">
        <v>335</v>
      </c>
      <c r="F266" s="62" t="n">
        <f aca="false">D266</f>
        <v>0.258</v>
      </c>
      <c r="J266" s="18" t="s">
        <v>389</v>
      </c>
      <c r="K266" s="18" t="s">
        <v>355</v>
      </c>
      <c r="L266" s="18" t="s">
        <v>822</v>
      </c>
    </row>
    <row r="267" customFormat="false" ht="15" hidden="false" customHeight="false" outlineLevel="0" collapsed="false">
      <c r="A267" s="48" t="s">
        <v>823</v>
      </c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</row>
    <row r="268" customFormat="false" ht="15" hidden="false" customHeight="false" outlineLevel="0" collapsed="false">
      <c r="A268" s="0" t="s">
        <v>824</v>
      </c>
      <c r="B268" s="18" t="s">
        <v>388</v>
      </c>
      <c r="C268" s="22" t="n">
        <v>0.1</v>
      </c>
      <c r="D268" s="22" t="n">
        <v>0.11</v>
      </c>
      <c r="E268" s="22" t="n">
        <v>0.13</v>
      </c>
      <c r="F268" s="62" t="n">
        <f aca="false">CHOOSE(Scen,C268,D268,E268)</f>
        <v>0.11</v>
      </c>
      <c r="J268" s="18" t="s">
        <v>336</v>
      </c>
      <c r="K268" s="18" t="s">
        <v>355</v>
      </c>
      <c r="L268" s="18"/>
    </row>
    <row r="269" customFormat="false" ht="15" hidden="false" customHeight="false" outlineLevel="0" collapsed="false">
      <c r="A269" s="0" t="s">
        <v>825</v>
      </c>
      <c r="B269" s="18" t="s">
        <v>388</v>
      </c>
      <c r="C269" s="22" t="n">
        <v>0.12</v>
      </c>
      <c r="D269" s="22" t="n">
        <v>0.13</v>
      </c>
      <c r="E269" s="22" t="n">
        <v>0.15</v>
      </c>
      <c r="F269" s="62" t="n">
        <f aca="false">CHOOSE(Scen,C269,D269,E269)</f>
        <v>0.13</v>
      </c>
      <c r="J269" s="18" t="s">
        <v>336</v>
      </c>
      <c r="K269" s="18" t="s">
        <v>355</v>
      </c>
      <c r="L269" s="18"/>
    </row>
    <row r="270" customFormat="false" ht="15" hidden="false" customHeight="false" outlineLevel="0" collapsed="false">
      <c r="A270" s="0" t="s">
        <v>826</v>
      </c>
      <c r="B270" s="18" t="s">
        <v>388</v>
      </c>
      <c r="C270" s="22" t="n">
        <v>0.035</v>
      </c>
      <c r="D270" s="22" t="n">
        <v>0.03</v>
      </c>
      <c r="E270" s="22" t="n">
        <v>0.02</v>
      </c>
      <c r="F270" s="62" t="n">
        <f aca="false">CHOOSE(Scen,C270,D270,E270)</f>
        <v>0.03</v>
      </c>
      <c r="J270" s="18" t="s">
        <v>336</v>
      </c>
      <c r="K270" s="18" t="s">
        <v>355</v>
      </c>
      <c r="L270" s="18"/>
    </row>
    <row r="271" customFormat="false" ht="15" hidden="false" customHeight="false" outlineLevel="0" collapsed="false">
      <c r="A271" s="0" t="s">
        <v>827</v>
      </c>
      <c r="B271" s="18" t="s">
        <v>373</v>
      </c>
      <c r="C271" s="0" t="s">
        <v>335</v>
      </c>
      <c r="D271" s="52" t="n">
        <v>1</v>
      </c>
      <c r="E271" s="0" t="s">
        <v>335</v>
      </c>
      <c r="F271" s="53" t="n">
        <f aca="false">D271</f>
        <v>1</v>
      </c>
      <c r="J271" s="18" t="s">
        <v>347</v>
      </c>
      <c r="K271" s="18" t="s">
        <v>337</v>
      </c>
      <c r="L271" s="18" t="s">
        <v>828</v>
      </c>
    </row>
    <row r="272" customFormat="false" ht="15" hidden="false" customHeight="false" outlineLevel="0" collapsed="false">
      <c r="A272" s="0" t="s">
        <v>829</v>
      </c>
      <c r="B272" s="18" t="s">
        <v>388</v>
      </c>
      <c r="C272" s="22" t="n">
        <v>0.14</v>
      </c>
      <c r="D272" s="22" t="n">
        <v>0.12</v>
      </c>
      <c r="E272" s="22" t="n">
        <v>0.1</v>
      </c>
      <c r="F272" s="62" t="n">
        <f aca="false">CHOOSE(Scen,C272,D272,E272)</f>
        <v>0.12</v>
      </c>
      <c r="J272" s="18" t="s">
        <v>347</v>
      </c>
      <c r="K272" s="18" t="s">
        <v>355</v>
      </c>
      <c r="L272" s="18" t="s">
        <v>830</v>
      </c>
    </row>
    <row r="273" customFormat="false" ht="15" hidden="false" customHeight="false" outlineLevel="0" collapsed="false">
      <c r="A273" s="0" t="s">
        <v>831</v>
      </c>
      <c r="B273" s="18" t="s">
        <v>388</v>
      </c>
      <c r="C273" s="22" t="n">
        <v>0.25</v>
      </c>
      <c r="D273" s="22" t="n">
        <v>0.25</v>
      </c>
      <c r="E273" s="22" t="n">
        <v>0.2</v>
      </c>
      <c r="F273" s="62" t="n">
        <f aca="false">CHOOSE(Scen,C273,D273,E273)</f>
        <v>0.25</v>
      </c>
      <c r="J273" s="18" t="s">
        <v>347</v>
      </c>
      <c r="K273" s="18" t="s">
        <v>355</v>
      </c>
      <c r="L273" s="18" t="s">
        <v>832</v>
      </c>
    </row>
    <row r="274" customFormat="false" ht="15" hidden="false" customHeight="false" outlineLevel="0" collapsed="false">
      <c r="A274" s="0" t="s">
        <v>833</v>
      </c>
      <c r="B274" s="18" t="s">
        <v>388</v>
      </c>
      <c r="C274" s="0" t="s">
        <v>335</v>
      </c>
      <c r="D274" s="22" t="n">
        <v>0.04</v>
      </c>
      <c r="E274" s="0" t="s">
        <v>335</v>
      </c>
      <c r="F274" s="62" t="n">
        <f aca="false">D274</f>
        <v>0.04</v>
      </c>
      <c r="J274" s="18" t="s">
        <v>336</v>
      </c>
      <c r="K274" s="18" t="s">
        <v>355</v>
      </c>
      <c r="L274" s="18"/>
    </row>
    <row r="275" customFormat="false" ht="15" hidden="false" customHeight="false" outlineLevel="0" collapsed="false">
      <c r="A275" s="0" t="s">
        <v>834</v>
      </c>
      <c r="B275" s="18" t="s">
        <v>504</v>
      </c>
      <c r="C275" s="85" t="n">
        <v>18</v>
      </c>
      <c r="D275" s="85" t="n">
        <v>14</v>
      </c>
      <c r="E275" s="85" t="n">
        <v>9</v>
      </c>
      <c r="F275" s="86" t="n">
        <f aca="false">CHOOSE(Scen,C275,D275,E275)</f>
        <v>14</v>
      </c>
      <c r="J275" s="18" t="s">
        <v>385</v>
      </c>
      <c r="K275" s="18" t="s">
        <v>382</v>
      </c>
      <c r="L275" s="18" t="s">
        <v>835</v>
      </c>
    </row>
    <row r="276" customFormat="false" ht="15" hidden="false" customHeight="false" outlineLevel="0" collapsed="false">
      <c r="A276" s="0" t="s">
        <v>836</v>
      </c>
      <c r="B276" s="18" t="s">
        <v>388</v>
      </c>
      <c r="C276" s="0" t="s">
        <v>335</v>
      </c>
      <c r="D276" s="59" t="n">
        <v>1</v>
      </c>
      <c r="E276" s="0" t="s">
        <v>335</v>
      </c>
      <c r="F276" s="30" t="n">
        <f aca="false">D276</f>
        <v>1</v>
      </c>
      <c r="J276" s="18" t="s">
        <v>336</v>
      </c>
      <c r="K276" s="18" t="s">
        <v>337</v>
      </c>
      <c r="L276" s="18" t="s">
        <v>837</v>
      </c>
    </row>
    <row r="277" customFormat="false" ht="15" hidden="false" customHeight="false" outlineLevel="0" collapsed="false">
      <c r="A277" s="0" t="s">
        <v>838</v>
      </c>
      <c r="B277" s="18" t="s">
        <v>504</v>
      </c>
      <c r="C277" s="0" t="s">
        <v>335</v>
      </c>
      <c r="D277" s="73" t="n">
        <v>1</v>
      </c>
      <c r="E277" s="0" t="s">
        <v>335</v>
      </c>
      <c r="F277" s="55" t="n">
        <f aca="false">D277</f>
        <v>1</v>
      </c>
      <c r="J277" s="18" t="s">
        <v>336</v>
      </c>
      <c r="K277" s="18" t="s">
        <v>355</v>
      </c>
      <c r="L277" s="18"/>
    </row>
    <row r="278" customFormat="false" ht="15" hidden="false" customHeight="false" outlineLevel="0" collapsed="false">
      <c r="A278" s="0" t="s">
        <v>839</v>
      </c>
      <c r="B278" s="18" t="s">
        <v>360</v>
      </c>
      <c r="C278" s="0" t="s">
        <v>335</v>
      </c>
      <c r="D278" s="72" t="n">
        <v>0</v>
      </c>
      <c r="E278" s="0" t="s">
        <v>335</v>
      </c>
      <c r="F278" s="55" t="n">
        <f aca="false">D278</f>
        <v>0</v>
      </c>
      <c r="J278" s="18" t="s">
        <v>385</v>
      </c>
      <c r="K278" s="18" t="s">
        <v>382</v>
      </c>
      <c r="L278" s="18" t="s">
        <v>840</v>
      </c>
    </row>
    <row r="279" customFormat="false" ht="15" hidden="false" customHeight="false" outlineLevel="0" collapsed="false">
      <c r="A279" s="0" t="s">
        <v>841</v>
      </c>
      <c r="B279" s="18" t="s">
        <v>400</v>
      </c>
      <c r="C279" s="0" t="s">
        <v>335</v>
      </c>
      <c r="D279" s="64" t="n">
        <v>1520</v>
      </c>
      <c r="E279" s="0" t="s">
        <v>335</v>
      </c>
      <c r="F279" s="5" t="n">
        <f aca="false">D279</f>
        <v>1520</v>
      </c>
      <c r="J279" s="18" t="s">
        <v>389</v>
      </c>
      <c r="K279" s="18" t="s">
        <v>348</v>
      </c>
      <c r="L279" s="18" t="s">
        <v>842</v>
      </c>
    </row>
    <row r="280" customFormat="false" ht="15" hidden="false" customHeight="false" outlineLevel="0" collapsed="false">
      <c r="A280" s="0" t="s">
        <v>843</v>
      </c>
      <c r="B280" s="18" t="s">
        <v>400</v>
      </c>
      <c r="C280" s="0" t="s">
        <v>335</v>
      </c>
      <c r="D280" s="64" t="n">
        <v>4200</v>
      </c>
      <c r="E280" s="0" t="s">
        <v>335</v>
      </c>
      <c r="F280" s="5" t="n">
        <f aca="false">D280</f>
        <v>4200</v>
      </c>
      <c r="J280" s="18" t="s">
        <v>389</v>
      </c>
      <c r="K280" s="18" t="s">
        <v>393</v>
      </c>
      <c r="L280" s="18" t="s">
        <v>844</v>
      </c>
    </row>
    <row r="281" customFormat="false" ht="15" hidden="false" customHeight="false" outlineLevel="0" collapsed="false">
      <c r="A281" s="0" t="s">
        <v>845</v>
      </c>
      <c r="B281" s="18" t="s">
        <v>400</v>
      </c>
      <c r="C281" s="0" t="s">
        <v>335</v>
      </c>
      <c r="D281" s="78" t="n">
        <v>86.5</v>
      </c>
      <c r="E281" s="0" t="s">
        <v>335</v>
      </c>
      <c r="F281" s="76" t="n">
        <f aca="false">D281</f>
        <v>86.5</v>
      </c>
      <c r="J281" s="18" t="s">
        <v>389</v>
      </c>
      <c r="K281" s="18" t="s">
        <v>348</v>
      </c>
      <c r="L281" s="18" t="s">
        <v>846</v>
      </c>
    </row>
    <row r="282" customFormat="false" ht="15" hidden="false" customHeight="false" outlineLevel="0" collapsed="false">
      <c r="A282" s="0" t="s">
        <v>847</v>
      </c>
      <c r="B282" s="18" t="s">
        <v>400</v>
      </c>
      <c r="C282" s="0" t="s">
        <v>335</v>
      </c>
      <c r="D282" s="87" t="n">
        <v>86.5</v>
      </c>
      <c r="E282" s="0" t="s">
        <v>335</v>
      </c>
      <c r="F282" s="76" t="n">
        <f aca="false">D282</f>
        <v>86.5</v>
      </c>
      <c r="J282" s="18" t="s">
        <v>389</v>
      </c>
      <c r="K282" s="18" t="s">
        <v>382</v>
      </c>
      <c r="L282" s="18" t="s">
        <v>848</v>
      </c>
    </row>
    <row r="283" customFormat="false" ht="15" hidden="false" customHeight="false" outlineLevel="0" collapsed="false">
      <c r="A283" s="0" t="s">
        <v>849</v>
      </c>
      <c r="B283" s="18" t="s">
        <v>400</v>
      </c>
      <c r="C283" s="0" t="s">
        <v>335</v>
      </c>
      <c r="D283" s="66" t="n">
        <v>0</v>
      </c>
      <c r="E283" s="0" t="s">
        <v>335</v>
      </c>
      <c r="F283" s="5" t="n">
        <f aca="false">D283</f>
        <v>0</v>
      </c>
      <c r="J283" s="18" t="s">
        <v>389</v>
      </c>
      <c r="K283" s="18" t="s">
        <v>382</v>
      </c>
      <c r="L283" s="18" t="s">
        <v>850</v>
      </c>
    </row>
    <row r="284" customFormat="false" ht="15" hidden="false" customHeight="false" outlineLevel="0" collapsed="false">
      <c r="A284" s="0" t="s">
        <v>851</v>
      </c>
      <c r="B284" s="18" t="s">
        <v>400</v>
      </c>
      <c r="C284" s="0" t="s">
        <v>335</v>
      </c>
      <c r="D284" s="60" t="n">
        <v>175</v>
      </c>
      <c r="E284" s="0" t="s">
        <v>335</v>
      </c>
      <c r="F284" s="5" t="n">
        <f aca="false">D284</f>
        <v>175</v>
      </c>
      <c r="J284" s="18" t="s">
        <v>389</v>
      </c>
      <c r="K284" s="18" t="s">
        <v>355</v>
      </c>
      <c r="L284" s="18" t="s">
        <v>852</v>
      </c>
    </row>
    <row r="285" customFormat="false" ht="15" hidden="false" customHeight="false" outlineLevel="0" collapsed="false">
      <c r="A285" s="0" t="s">
        <v>853</v>
      </c>
      <c r="B285" s="18" t="s">
        <v>400</v>
      </c>
      <c r="C285" s="0" t="s">
        <v>335</v>
      </c>
      <c r="D285" s="66" t="n">
        <v>0</v>
      </c>
      <c r="E285" s="0" t="s">
        <v>335</v>
      </c>
      <c r="F285" s="5" t="n">
        <f aca="false">D285</f>
        <v>0</v>
      </c>
      <c r="J285" s="18" t="s">
        <v>389</v>
      </c>
      <c r="K285" s="18" t="s">
        <v>382</v>
      </c>
      <c r="L285" s="18"/>
    </row>
    <row r="286" customFormat="false" ht="15" hidden="false" customHeight="false" outlineLevel="0" collapsed="false">
      <c r="A286" s="0" t="s">
        <v>854</v>
      </c>
      <c r="B286" s="18" t="s">
        <v>504</v>
      </c>
      <c r="C286" s="68" t="n">
        <v>1</v>
      </c>
      <c r="D286" s="68" t="n">
        <v>0.5</v>
      </c>
      <c r="E286" s="68" t="n">
        <v>0</v>
      </c>
      <c r="F286" s="57" t="n">
        <f aca="false">CHOOSE(Scen,C286,D286,E286)</f>
        <v>0.5</v>
      </c>
      <c r="J286" s="18" t="s">
        <v>336</v>
      </c>
      <c r="K286" s="18" t="s">
        <v>337</v>
      </c>
      <c r="L286" s="18" t="s">
        <v>855</v>
      </c>
    </row>
    <row r="287" customFormat="false" ht="15" hidden="false" customHeight="false" outlineLevel="0" collapsed="false">
      <c r="A287" s="0" t="s">
        <v>856</v>
      </c>
      <c r="B287" s="18" t="s">
        <v>400</v>
      </c>
      <c r="C287" s="0" t="s">
        <v>335</v>
      </c>
      <c r="D287" s="64" t="n">
        <v>5320</v>
      </c>
      <c r="E287" s="0" t="s">
        <v>335</v>
      </c>
      <c r="F287" s="5" t="n">
        <f aca="false">D287</f>
        <v>5320</v>
      </c>
      <c r="J287" s="18" t="s">
        <v>389</v>
      </c>
      <c r="K287" s="18" t="s">
        <v>348</v>
      </c>
      <c r="L287" s="18" t="s">
        <v>857</v>
      </c>
    </row>
    <row r="288" customFormat="false" ht="15" hidden="false" customHeight="false" outlineLevel="0" collapsed="false">
      <c r="A288" s="0" t="s">
        <v>858</v>
      </c>
      <c r="B288" s="18" t="s">
        <v>400</v>
      </c>
      <c r="C288" s="0" t="s">
        <v>335</v>
      </c>
      <c r="D288" s="64" t="n">
        <v>12050</v>
      </c>
      <c r="E288" s="0" t="s">
        <v>335</v>
      </c>
      <c r="F288" s="5" t="n">
        <f aca="false">D288</f>
        <v>12050</v>
      </c>
      <c r="J288" s="18" t="s">
        <v>389</v>
      </c>
      <c r="K288" s="18" t="s">
        <v>348</v>
      </c>
      <c r="L288" s="18" t="s">
        <v>859</v>
      </c>
    </row>
    <row r="289" customFormat="false" ht="15" hidden="false" customHeight="false" outlineLevel="0" collapsed="false">
      <c r="A289" s="0" t="s">
        <v>860</v>
      </c>
      <c r="B289" s="18" t="s">
        <v>400</v>
      </c>
      <c r="C289" s="0" t="s">
        <v>335</v>
      </c>
      <c r="D289" s="64" t="n">
        <v>1625</v>
      </c>
      <c r="E289" s="0" t="s">
        <v>335</v>
      </c>
      <c r="F289" s="5" t="n">
        <f aca="false">D289</f>
        <v>1625</v>
      </c>
      <c r="J289" s="18" t="s">
        <v>389</v>
      </c>
      <c r="K289" s="18" t="s">
        <v>348</v>
      </c>
      <c r="L289" s="18" t="s">
        <v>861</v>
      </c>
    </row>
    <row r="290" customFormat="false" ht="15" hidden="false" customHeight="false" outlineLevel="0" collapsed="false">
      <c r="A290" s="0" t="s">
        <v>862</v>
      </c>
      <c r="B290" s="18" t="s">
        <v>388</v>
      </c>
      <c r="C290" s="0" t="s">
        <v>335</v>
      </c>
      <c r="D290" s="59" t="n">
        <v>0.5</v>
      </c>
      <c r="E290" s="0" t="s">
        <v>335</v>
      </c>
      <c r="F290" s="30" t="n">
        <f aca="false">D290</f>
        <v>0.5</v>
      </c>
      <c r="J290" s="18" t="s">
        <v>336</v>
      </c>
      <c r="K290" s="18" t="s">
        <v>337</v>
      </c>
      <c r="L290" s="18" t="s">
        <v>863</v>
      </c>
    </row>
    <row r="291" customFormat="false" ht="15" hidden="false" customHeight="false" outlineLevel="0" collapsed="false">
      <c r="A291" s="0" t="s">
        <v>864</v>
      </c>
      <c r="B291" s="18" t="s">
        <v>400</v>
      </c>
      <c r="C291" s="0" t="s">
        <v>335</v>
      </c>
      <c r="D291" s="60" t="n">
        <v>820</v>
      </c>
      <c r="E291" s="0" t="s">
        <v>335</v>
      </c>
      <c r="F291" s="5" t="n">
        <f aca="false">D291</f>
        <v>820</v>
      </c>
      <c r="J291" s="18" t="s">
        <v>347</v>
      </c>
      <c r="K291" s="18" t="s">
        <v>355</v>
      </c>
      <c r="L291" s="18" t="s">
        <v>865</v>
      </c>
    </row>
    <row r="292" customFormat="false" ht="15" hidden="false" customHeight="false" outlineLevel="0" collapsed="false">
      <c r="A292" s="0" t="s">
        <v>866</v>
      </c>
      <c r="B292" s="18" t="s">
        <v>400</v>
      </c>
      <c r="C292" s="0" t="s">
        <v>335</v>
      </c>
      <c r="D292" s="60" t="n">
        <v>1980</v>
      </c>
      <c r="E292" s="0" t="s">
        <v>335</v>
      </c>
      <c r="F292" s="5" t="n">
        <f aca="false">D292</f>
        <v>1980</v>
      </c>
      <c r="J292" s="18" t="s">
        <v>347</v>
      </c>
      <c r="K292" s="18" t="s">
        <v>355</v>
      </c>
      <c r="L292" s="18"/>
    </row>
    <row r="293" customFormat="false" ht="15" hidden="false" customHeight="false" outlineLevel="0" collapsed="false">
      <c r="A293" s="0" t="s">
        <v>867</v>
      </c>
      <c r="B293" s="18" t="s">
        <v>400</v>
      </c>
      <c r="C293" s="0" t="s">
        <v>335</v>
      </c>
      <c r="D293" s="60" t="n">
        <v>2750</v>
      </c>
      <c r="E293" s="0" t="s">
        <v>335</v>
      </c>
      <c r="F293" s="5" t="n">
        <f aca="false">D293</f>
        <v>2750</v>
      </c>
      <c r="J293" s="18" t="s">
        <v>347</v>
      </c>
      <c r="K293" s="18" t="s">
        <v>355</v>
      </c>
      <c r="L293" s="18"/>
    </row>
    <row r="294" customFormat="false" ht="15" hidden="false" customHeight="false" outlineLevel="0" collapsed="false">
      <c r="A294" s="0" t="s">
        <v>868</v>
      </c>
      <c r="B294" s="18" t="s">
        <v>388</v>
      </c>
      <c r="C294" s="24" t="n">
        <v>0.15</v>
      </c>
      <c r="D294" s="24" t="n">
        <v>0.25</v>
      </c>
      <c r="E294" s="24" t="n">
        <v>0.4</v>
      </c>
      <c r="F294" s="30" t="n">
        <f aca="false">CHOOSE(Scen,C294,D294,E294)</f>
        <v>0.25</v>
      </c>
      <c r="J294" s="18" t="s">
        <v>336</v>
      </c>
      <c r="K294" s="18" t="s">
        <v>355</v>
      </c>
      <c r="L294" s="18"/>
    </row>
    <row r="296" customFormat="false" ht="15" hidden="false" customHeight="false" outlineLevel="0" collapsed="false">
      <c r="A296" s="48" t="s">
        <v>869</v>
      </c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</row>
    <row r="297" customFormat="false" ht="15" hidden="false" customHeight="false" outlineLevel="0" collapsed="false">
      <c r="A297" s="28" t="s">
        <v>870</v>
      </c>
      <c r="B297" s="28" t="s">
        <v>327</v>
      </c>
      <c r="C297" s="28" t="n">
        <v>2024</v>
      </c>
      <c r="D297" s="28" t="n">
        <v>2025</v>
      </c>
      <c r="E297" s="28" t="n">
        <v>2026</v>
      </c>
      <c r="F297" s="28" t="n">
        <v>2027</v>
      </c>
      <c r="G297" s="28" t="n">
        <v>2028</v>
      </c>
      <c r="H297" s="28" t="n">
        <v>2029</v>
      </c>
      <c r="I297" s="28" t="n">
        <v>2030</v>
      </c>
      <c r="J297" s="28" t="s">
        <v>330</v>
      </c>
      <c r="K297" s="28" t="s">
        <v>240</v>
      </c>
      <c r="L297" s="28" t="s">
        <v>331</v>
      </c>
    </row>
    <row r="298" customFormat="false" ht="15" hidden="false" customHeight="false" outlineLevel="0" collapsed="false">
      <c r="A298" s="0" t="s">
        <v>871</v>
      </c>
      <c r="B298" s="18" t="s">
        <v>388</v>
      </c>
      <c r="C298" s="24" t="n">
        <v>0.3</v>
      </c>
      <c r="D298" s="24" t="n">
        <v>0.3</v>
      </c>
      <c r="E298" s="24" t="n">
        <v>0.3</v>
      </c>
      <c r="F298" s="24" t="n">
        <v>0.5</v>
      </c>
      <c r="G298" s="24" t="n">
        <v>0.65</v>
      </c>
      <c r="H298" s="24" t="n">
        <v>0.7</v>
      </c>
      <c r="I298" s="24" t="n">
        <v>0.75</v>
      </c>
      <c r="J298" s="18" t="s">
        <v>354</v>
      </c>
      <c r="K298" s="18" t="s">
        <v>355</v>
      </c>
      <c r="L298" s="18" t="s">
        <v>872</v>
      </c>
    </row>
    <row r="299" customFormat="false" ht="15" hidden="false" customHeight="false" outlineLevel="0" collapsed="false">
      <c r="A299" s="0" t="s">
        <v>873</v>
      </c>
      <c r="B299" s="18" t="s">
        <v>388</v>
      </c>
      <c r="C299" s="63" t="n">
        <v>1</v>
      </c>
      <c r="D299" s="63" t="n">
        <v>0.6</v>
      </c>
      <c r="E299" s="63" t="n">
        <v>0.1</v>
      </c>
      <c r="F299" s="63" t="n">
        <v>0</v>
      </c>
      <c r="G299" s="63" t="n">
        <v>0</v>
      </c>
      <c r="H299" s="63" t="n">
        <v>0</v>
      </c>
      <c r="I299" s="63" t="n">
        <v>0</v>
      </c>
      <c r="J299" s="18" t="s">
        <v>385</v>
      </c>
      <c r="K299" s="18" t="s">
        <v>382</v>
      </c>
      <c r="L299" s="18"/>
    </row>
    <row r="300" customFormat="false" ht="15" hidden="false" customHeight="false" outlineLevel="0" collapsed="false">
      <c r="A300" s="0" t="s">
        <v>874</v>
      </c>
      <c r="B300" s="18" t="s">
        <v>388</v>
      </c>
      <c r="C300" s="63" t="n">
        <v>0</v>
      </c>
      <c r="D300" s="63" t="n">
        <v>0.4</v>
      </c>
      <c r="E300" s="63" t="n">
        <v>0.9</v>
      </c>
      <c r="F300" s="63" t="n">
        <v>0.6</v>
      </c>
      <c r="G300" s="63" t="n">
        <v>0.3</v>
      </c>
      <c r="H300" s="63" t="n">
        <v>0.1</v>
      </c>
      <c r="I300" s="63" t="n">
        <v>0</v>
      </c>
      <c r="J300" s="18" t="s">
        <v>385</v>
      </c>
      <c r="K300" s="18" t="s">
        <v>382</v>
      </c>
      <c r="L300" s="18"/>
    </row>
    <row r="301" customFormat="false" ht="15" hidden="false" customHeight="false" outlineLevel="0" collapsed="false">
      <c r="A301" s="0" t="s">
        <v>875</v>
      </c>
      <c r="B301" s="18" t="s">
        <v>388</v>
      </c>
      <c r="C301" s="63" t="n">
        <v>0</v>
      </c>
      <c r="D301" s="63" t="n">
        <v>0</v>
      </c>
      <c r="E301" s="63" t="n">
        <v>0</v>
      </c>
      <c r="F301" s="63" t="n">
        <v>0.4</v>
      </c>
      <c r="G301" s="63" t="n">
        <v>0.7</v>
      </c>
      <c r="H301" s="63" t="n">
        <v>0.9</v>
      </c>
      <c r="I301" s="63" t="n">
        <v>1</v>
      </c>
      <c r="J301" s="18" t="s">
        <v>385</v>
      </c>
      <c r="K301" s="18" t="s">
        <v>382</v>
      </c>
      <c r="L301" s="18" t="s">
        <v>876</v>
      </c>
    </row>
    <row r="302" customFormat="false" ht="15" hidden="false" customHeight="false" outlineLevel="0" collapsed="false">
      <c r="A302" s="0" t="s">
        <v>877</v>
      </c>
      <c r="B302" s="18" t="s">
        <v>388</v>
      </c>
      <c r="C302" s="24" t="n">
        <v>0.85</v>
      </c>
      <c r="D302" s="24" t="n">
        <v>0.88</v>
      </c>
      <c r="E302" s="24" t="n">
        <v>0.9</v>
      </c>
      <c r="F302" s="24" t="n">
        <v>0.9</v>
      </c>
      <c r="G302" s="24" t="n">
        <v>0.9</v>
      </c>
      <c r="H302" s="24" t="n">
        <v>0.9</v>
      </c>
      <c r="I302" s="24" t="n">
        <v>0.9</v>
      </c>
      <c r="J302" s="18" t="s">
        <v>385</v>
      </c>
      <c r="K302" s="18" t="s">
        <v>355</v>
      </c>
      <c r="L302" s="18" t="s">
        <v>878</v>
      </c>
    </row>
    <row r="303" customFormat="false" ht="15" hidden="false" customHeight="false" outlineLevel="0" collapsed="false">
      <c r="A303" s="0" t="s">
        <v>879</v>
      </c>
      <c r="B303" s="18" t="s">
        <v>388</v>
      </c>
      <c r="C303" s="63" t="n">
        <v>0.1</v>
      </c>
      <c r="D303" s="63" t="n">
        <v>0.1</v>
      </c>
      <c r="E303" s="63" t="n">
        <v>0.1</v>
      </c>
      <c r="F303" s="63" t="n">
        <v>0.1</v>
      </c>
      <c r="G303" s="63" t="n">
        <v>0.1</v>
      </c>
      <c r="H303" s="63" t="n">
        <v>0.1</v>
      </c>
      <c r="I303" s="63" t="n">
        <v>0.1</v>
      </c>
      <c r="J303" s="18" t="s">
        <v>385</v>
      </c>
      <c r="K303" s="18" t="s">
        <v>382</v>
      </c>
      <c r="L303" s="18"/>
    </row>
    <row r="304" customFormat="false" ht="15" hidden="false" customHeight="false" outlineLevel="0" collapsed="false">
      <c r="A304" s="0" t="s">
        <v>880</v>
      </c>
      <c r="B304" s="18" t="s">
        <v>388</v>
      </c>
      <c r="C304" s="63" t="n">
        <v>0.05</v>
      </c>
      <c r="D304" s="63" t="n">
        <v>0.05</v>
      </c>
      <c r="E304" s="63" t="n">
        <v>0.1</v>
      </c>
      <c r="F304" s="63" t="n">
        <v>0.15</v>
      </c>
      <c r="G304" s="63" t="n">
        <v>0.2</v>
      </c>
      <c r="H304" s="63" t="n">
        <v>0.2</v>
      </c>
      <c r="I304" s="63" t="n">
        <v>0.2</v>
      </c>
      <c r="J304" s="18" t="s">
        <v>385</v>
      </c>
      <c r="K304" s="18" t="s">
        <v>382</v>
      </c>
      <c r="L304" s="18" t="s">
        <v>881</v>
      </c>
    </row>
    <row r="305" customFormat="false" ht="15" hidden="false" customHeight="false" outlineLevel="0" collapsed="false">
      <c r="A305" s="0" t="s">
        <v>882</v>
      </c>
      <c r="B305" s="18" t="s">
        <v>883</v>
      </c>
      <c r="C305" s="66" t="n">
        <v>0</v>
      </c>
      <c r="D305" s="66" t="n">
        <v>0</v>
      </c>
      <c r="E305" s="66" t="n">
        <v>0</v>
      </c>
      <c r="F305" s="66" t="n">
        <v>0</v>
      </c>
      <c r="G305" s="66" t="n">
        <v>0</v>
      </c>
      <c r="H305" s="66" t="n">
        <v>0</v>
      </c>
      <c r="I305" s="66" t="n">
        <v>0</v>
      </c>
      <c r="J305" s="18" t="s">
        <v>385</v>
      </c>
      <c r="K305" s="18" t="s">
        <v>382</v>
      </c>
      <c r="L305" s="18" t="s">
        <v>884</v>
      </c>
    </row>
    <row r="306" customFormat="false" ht="15" hidden="false" customHeight="false" outlineLevel="0" collapsed="false">
      <c r="A306" s="0" t="s">
        <v>885</v>
      </c>
      <c r="B306" s="18" t="s">
        <v>400</v>
      </c>
      <c r="C306" s="60"/>
      <c r="D306" s="60"/>
      <c r="E306" s="60" t="n">
        <v>3340</v>
      </c>
      <c r="F306" s="60" t="n">
        <v>12300</v>
      </c>
      <c r="G306" s="60" t="n">
        <v>23000</v>
      </c>
      <c r="H306" s="60"/>
      <c r="I306" s="60"/>
      <c r="J306" s="18" t="s">
        <v>347</v>
      </c>
      <c r="K306" s="18" t="s">
        <v>355</v>
      </c>
      <c r="L306" s="18" t="s">
        <v>886</v>
      </c>
    </row>
    <row r="307" customFormat="false" ht="15" hidden="false" customHeight="false" outlineLevel="0" collapsed="false">
      <c r="A307" s="0" t="s">
        <v>887</v>
      </c>
      <c r="B307" s="18" t="s">
        <v>400</v>
      </c>
      <c r="C307" s="60"/>
      <c r="D307" s="60"/>
      <c r="E307" s="60" t="n">
        <v>1390</v>
      </c>
      <c r="F307" s="60" t="n">
        <v>6730</v>
      </c>
      <c r="G307" s="60" t="n">
        <v>13980</v>
      </c>
      <c r="H307" s="60"/>
      <c r="I307" s="60"/>
      <c r="J307" s="18" t="s">
        <v>347</v>
      </c>
      <c r="K307" s="18" t="s">
        <v>355</v>
      </c>
      <c r="L307" s="18" t="s">
        <v>363</v>
      </c>
    </row>
    <row r="308" customFormat="false" ht="15" hidden="false" customHeight="false" outlineLevel="0" collapsed="false">
      <c r="A308" s="0" t="s">
        <v>217</v>
      </c>
      <c r="B308" s="18" t="s">
        <v>400</v>
      </c>
      <c r="C308" s="60"/>
      <c r="D308" s="60"/>
      <c r="E308" s="60"/>
      <c r="F308" s="60" t="n">
        <v>29100</v>
      </c>
      <c r="G308" s="60"/>
      <c r="H308" s="60"/>
      <c r="I308" s="60"/>
      <c r="J308" s="18" t="s">
        <v>347</v>
      </c>
      <c r="K308" s="18" t="s">
        <v>355</v>
      </c>
      <c r="L308" s="18" t="s">
        <v>888</v>
      </c>
    </row>
    <row r="309" customFormat="false" ht="15" hidden="false" customHeight="false" outlineLevel="0" collapsed="false">
      <c r="A309" s="0" t="s">
        <v>889</v>
      </c>
      <c r="B309" s="18" t="s">
        <v>635</v>
      </c>
      <c r="C309" s="63" t="n">
        <v>0.11</v>
      </c>
      <c r="D309" s="63" t="n">
        <v>0.11</v>
      </c>
      <c r="E309" s="63" t="n">
        <v>0.11</v>
      </c>
      <c r="F309" s="63" t="n">
        <v>0.09</v>
      </c>
      <c r="G309" s="63" t="n">
        <v>0.08</v>
      </c>
      <c r="H309" s="63" t="n">
        <v>0.07</v>
      </c>
      <c r="I309" s="63" t="n">
        <v>0.06</v>
      </c>
      <c r="J309" s="18" t="s">
        <v>336</v>
      </c>
      <c r="K309" s="18" t="s">
        <v>382</v>
      </c>
      <c r="L309" s="18" t="s">
        <v>890</v>
      </c>
    </row>
    <row r="310" customFormat="false" ht="15" hidden="false" customHeight="false" outlineLevel="0" collapsed="false">
      <c r="A310" s="0" t="s">
        <v>891</v>
      </c>
      <c r="B310" s="18" t="s">
        <v>635</v>
      </c>
      <c r="C310" s="63" t="n">
        <v>0.22</v>
      </c>
      <c r="D310" s="63" t="n">
        <v>0.22</v>
      </c>
      <c r="E310" s="63" t="n">
        <v>0.22</v>
      </c>
      <c r="F310" s="63" t="n">
        <v>0.14</v>
      </c>
      <c r="G310" s="63" t="n">
        <v>0.1</v>
      </c>
      <c r="H310" s="63" t="n">
        <v>0.08</v>
      </c>
      <c r="I310" s="63" t="n">
        <v>0.07</v>
      </c>
      <c r="J310" s="18" t="s">
        <v>336</v>
      </c>
      <c r="K310" s="18" t="s">
        <v>382</v>
      </c>
      <c r="L310" s="18" t="s">
        <v>892</v>
      </c>
    </row>
    <row r="312" customFormat="false" ht="15" hidden="false" customHeight="false" outlineLevel="0" collapsed="false">
      <c r="A312" s="3" t="s">
        <v>893</v>
      </c>
    </row>
    <row r="313" customFormat="false" ht="15" hidden="false" customHeight="false" outlineLevel="0" collapsed="false">
      <c r="C313" s="28" t="s">
        <v>894</v>
      </c>
      <c r="D313" s="28" t="s">
        <v>895</v>
      </c>
      <c r="E313" s="28" t="s">
        <v>896</v>
      </c>
      <c r="F313" s="28" t="s">
        <v>897</v>
      </c>
      <c r="G313" s="28" t="s">
        <v>898</v>
      </c>
      <c r="H313" s="28" t="s">
        <v>899</v>
      </c>
      <c r="I313" s="28" t="s">
        <v>900</v>
      </c>
      <c r="J313" s="28" t="s">
        <v>901</v>
      </c>
    </row>
    <row r="314" customFormat="false" ht="15" hidden="false" customHeight="false" outlineLevel="0" collapsed="false">
      <c r="A314" s="0" t="s">
        <v>902</v>
      </c>
      <c r="C314" s="80" t="n">
        <v>3.5275</v>
      </c>
      <c r="D314" s="80" t="n">
        <v>3.1796</v>
      </c>
      <c r="E314" s="80" t="n">
        <v>3.717</v>
      </c>
      <c r="J314" s="0" t="s">
        <v>385</v>
      </c>
      <c r="K314" s="0" t="s">
        <v>393</v>
      </c>
      <c r="L314" s="0" t="s">
        <v>903</v>
      </c>
    </row>
    <row r="315" customFormat="false" ht="15" hidden="false" customHeight="false" outlineLevel="0" collapsed="false">
      <c r="A315" s="0" t="s">
        <v>904</v>
      </c>
      <c r="C315" s="31" t="n">
        <f aca="false">1</f>
        <v>1</v>
      </c>
      <c r="D315" s="31" t="n">
        <f aca="false">D314/C314</f>
        <v>0.901374911410347</v>
      </c>
      <c r="E315" s="31" t="n">
        <f aca="false">E314/C314</f>
        <v>1.0537207654146</v>
      </c>
      <c r="F315" s="63" t="n">
        <v>0.85</v>
      </c>
      <c r="G315" s="63" t="n">
        <v>0.7</v>
      </c>
      <c r="H315" s="63" t="n">
        <v>0.55</v>
      </c>
      <c r="I315" s="63" t="n">
        <v>0.45</v>
      </c>
      <c r="J315" s="63" t="s">
        <v>385</v>
      </c>
      <c r="K315" s="0" t="s">
        <v>382</v>
      </c>
    </row>
    <row r="316" customFormat="false" ht="15" hidden="false" customHeight="false" outlineLevel="0" collapsed="false">
      <c r="A316" s="0" t="s">
        <v>905</v>
      </c>
      <c r="C316" s="88" t="n">
        <f aca="false">1-ResidBearCut*0/4</f>
        <v>1</v>
      </c>
      <c r="D316" s="88" t="n">
        <f aca="false">1-ResidBearCut*1/4</f>
        <v>0.9125</v>
      </c>
      <c r="E316" s="88" t="n">
        <f aca="false">1-ResidBearCut*2/4</f>
        <v>0.825</v>
      </c>
      <c r="F316" s="88" t="n">
        <f aca="false">1-ResidBearCut*3/4</f>
        <v>0.7375</v>
      </c>
      <c r="G316" s="88" t="n">
        <f aca="false">1-ResidBearCut*4/4</f>
        <v>0.65</v>
      </c>
      <c r="H316" s="88" t="n">
        <f aca="false">(1-ResidBearCut)*(1-ResidBearCut/4)^1</f>
        <v>0.593125</v>
      </c>
      <c r="I316" s="88" t="n">
        <f aca="false">(1-ResidBearCut)*(1-ResidBearCut/4)^2</f>
        <v>0.5412265625</v>
      </c>
      <c r="J316" s="88" t="s">
        <v>347</v>
      </c>
      <c r="K316" s="0" t="s">
        <v>382</v>
      </c>
    </row>
    <row r="317" customFormat="false" ht="15" hidden="false" customHeight="false" outlineLevel="0" collapsed="false">
      <c r="A317" s="0" t="s">
        <v>906</v>
      </c>
      <c r="C317" s="30" t="n">
        <f aca="false">IF(Scen=3,C316,C315)</f>
        <v>1</v>
      </c>
      <c r="D317" s="30" t="n">
        <f aca="false">IF(Scen=3,D316,D315)</f>
        <v>0.901374911410347</v>
      </c>
      <c r="E317" s="30" t="n">
        <f aca="false">IF(Scen=3,E316,E315)</f>
        <v>1.0537207654146</v>
      </c>
      <c r="F317" s="30" t="n">
        <f aca="false">IF(Scen=3,F316,F315)</f>
        <v>0.85</v>
      </c>
      <c r="G317" s="30" t="n">
        <f aca="false">IF(Scen=3,G316,G315)</f>
        <v>0.7</v>
      </c>
      <c r="H317" s="30" t="n">
        <f aca="false">IF(Scen=3,H316,H315)</f>
        <v>0.55</v>
      </c>
      <c r="I317" s="30" t="n">
        <f aca="false">IF(Scen=3,I316,I315)</f>
        <v>0.45</v>
      </c>
      <c r="J317" s="30" t="str">
        <f aca="false">IF(Scen=3,J316,J315)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907</v>
      </c>
    </row>
    <row r="3" customFormat="false" ht="15" hidden="false" customHeight="false" outlineLevel="0" collapsed="false">
      <c r="A3" s="3" t="s">
        <v>138</v>
      </c>
      <c r="F3" s="0" t="s">
        <v>908</v>
      </c>
      <c r="G3" s="0" t="s">
        <v>909</v>
      </c>
      <c r="H3" s="0" t="s">
        <v>910</v>
      </c>
      <c r="I3" s="0" t="s">
        <v>911</v>
      </c>
      <c r="J3" s="0" t="s">
        <v>912</v>
      </c>
      <c r="K3" s="0" t="s">
        <v>913</v>
      </c>
      <c r="L3" s="0" t="s">
        <v>914</v>
      </c>
      <c r="M3" s="0" t="s">
        <v>915</v>
      </c>
      <c r="N3" s="0" t="s">
        <v>793</v>
      </c>
      <c r="O3" s="0" t="s">
        <v>916</v>
      </c>
      <c r="P3" s="0" t="s">
        <v>772</v>
      </c>
      <c r="Q3" s="0" t="s">
        <v>172</v>
      </c>
      <c r="R3" s="0" t="s">
        <v>441</v>
      </c>
      <c r="S3" s="0" t="s">
        <v>58</v>
      </c>
      <c r="T3" s="0" t="s">
        <v>60</v>
      </c>
      <c r="U3" s="0" t="s">
        <v>50</v>
      </c>
      <c r="V3" s="0" t="s">
        <v>531</v>
      </c>
      <c r="W3" s="0" t="s">
        <v>917</v>
      </c>
      <c r="X3" s="0" t="s">
        <v>918</v>
      </c>
      <c r="Y3" s="0" t="s">
        <v>919</v>
      </c>
      <c r="Z3" s="0" t="s">
        <v>920</v>
      </c>
      <c r="AA3" s="0" t="s">
        <v>921</v>
      </c>
      <c r="AB3" s="0" t="s">
        <v>922</v>
      </c>
      <c r="AC3" s="0" t="s">
        <v>923</v>
      </c>
      <c r="AD3" s="0" t="s">
        <v>924</v>
      </c>
      <c r="AE3" s="0" t="s">
        <v>925</v>
      </c>
      <c r="AF3" s="0" t="s">
        <v>926</v>
      </c>
      <c r="AG3" s="0" t="s">
        <v>927</v>
      </c>
    </row>
    <row r="4" customFormat="false" ht="15" hidden="false" customHeight="false" outlineLevel="0" collapsed="false">
      <c r="A4" s="3" t="s">
        <v>928</v>
      </c>
      <c r="E4" s="89" t="n">
        <v>45291</v>
      </c>
      <c r="F4" s="89" t="n">
        <v>45382</v>
      </c>
      <c r="G4" s="89" t="n">
        <v>45473</v>
      </c>
      <c r="H4" s="89" t="n">
        <v>45565</v>
      </c>
      <c r="I4" s="89" t="n">
        <v>45657</v>
      </c>
      <c r="J4" s="89" t="n">
        <v>45747</v>
      </c>
      <c r="K4" s="89" t="n">
        <v>45838</v>
      </c>
      <c r="L4" s="89" t="n">
        <v>45930</v>
      </c>
      <c r="M4" s="89" t="n">
        <v>46022</v>
      </c>
      <c r="N4" s="89" t="n">
        <v>46112</v>
      </c>
      <c r="O4" s="89" t="n">
        <v>46203</v>
      </c>
      <c r="P4" s="89" t="n">
        <v>46295</v>
      </c>
      <c r="Q4" s="89" t="n">
        <v>46387</v>
      </c>
      <c r="R4" s="89" t="n">
        <v>46477</v>
      </c>
      <c r="S4" s="89" t="n">
        <v>46568</v>
      </c>
      <c r="T4" s="89" t="n">
        <v>46660</v>
      </c>
      <c r="U4" s="89" t="n">
        <v>46752</v>
      </c>
      <c r="V4" s="89" t="n">
        <v>46843</v>
      </c>
      <c r="W4" s="89" t="n">
        <v>46934</v>
      </c>
      <c r="X4" s="89" t="n">
        <v>47026</v>
      </c>
      <c r="Y4" s="89" t="n">
        <v>47118</v>
      </c>
      <c r="Z4" s="89" t="n">
        <v>47208</v>
      </c>
      <c r="AA4" s="89" t="n">
        <v>47299</v>
      </c>
      <c r="AB4" s="89" t="n">
        <v>47391</v>
      </c>
      <c r="AC4" s="89" t="n">
        <v>47483</v>
      </c>
      <c r="AD4" s="89" t="n">
        <v>47573</v>
      </c>
      <c r="AE4" s="89" t="n">
        <v>47664</v>
      </c>
      <c r="AF4" s="89" t="n">
        <v>47756</v>
      </c>
      <c r="AG4" s="89" t="n">
        <v>47848</v>
      </c>
    </row>
    <row r="5" customFormat="false" ht="15" hidden="false" customHeight="false" outlineLevel="0" collapsed="false">
      <c r="A5" s="3" t="s">
        <v>929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930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931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932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933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934</v>
      </c>
    </row>
    <row r="2" customFormat="false" ht="15" hidden="false" customHeight="false" outlineLevel="0" collapsed="false">
      <c r="A2" s="18" t="s">
        <v>935</v>
      </c>
    </row>
    <row r="3" customFormat="false" ht="15" hidden="false" customHeight="false" outlineLevel="0" collapsed="false">
      <c r="A3" s="28" t="s">
        <v>132</v>
      </c>
      <c r="B3" s="28" t="s">
        <v>327</v>
      </c>
      <c r="C3" s="28" t="s">
        <v>330</v>
      </c>
      <c r="D3" s="28" t="s">
        <v>936</v>
      </c>
      <c r="E3" s="28"/>
      <c r="F3" s="28" t="s">
        <v>908</v>
      </c>
      <c r="G3" s="28" t="s">
        <v>909</v>
      </c>
      <c r="H3" s="28" t="s">
        <v>910</v>
      </c>
      <c r="I3" s="28" t="s">
        <v>911</v>
      </c>
      <c r="J3" s="28" t="s">
        <v>912</v>
      </c>
      <c r="K3" s="28" t="s">
        <v>913</v>
      </c>
      <c r="L3" s="28" t="s">
        <v>914</v>
      </c>
      <c r="M3" s="28" t="s">
        <v>915</v>
      </c>
      <c r="N3" s="28" t="s">
        <v>793</v>
      </c>
      <c r="O3" s="28" t="s">
        <v>916</v>
      </c>
    </row>
    <row r="4" customFormat="false" ht="15" hidden="false" customHeight="false" outlineLevel="0" collapsed="false">
      <c r="F4" s="90" t="n">
        <v>45382</v>
      </c>
      <c r="G4" s="90" t="n">
        <v>45473</v>
      </c>
      <c r="H4" s="90" t="n">
        <v>45565</v>
      </c>
      <c r="I4" s="90" t="n">
        <v>45657</v>
      </c>
      <c r="J4" s="90" t="n">
        <v>45747</v>
      </c>
      <c r="K4" s="90" t="n">
        <v>45838</v>
      </c>
      <c r="L4" s="90" t="n">
        <v>45930</v>
      </c>
      <c r="M4" s="90" t="n">
        <v>46022</v>
      </c>
      <c r="N4" s="90" t="n">
        <v>46112</v>
      </c>
      <c r="O4" s="90" t="n">
        <v>46203</v>
      </c>
    </row>
    <row r="6" customFormat="false" ht="22.35" hidden="false" customHeight="false" outlineLevel="0" collapsed="false">
      <c r="A6" s="3" t="s">
        <v>937</v>
      </c>
      <c r="B6" s="0" t="s">
        <v>400</v>
      </c>
      <c r="C6" s="0" t="s">
        <v>389</v>
      </c>
      <c r="D6" s="91" t="s">
        <v>938</v>
      </c>
      <c r="F6" s="92" t="n">
        <v>11.4</v>
      </c>
      <c r="G6" s="92" t="n">
        <v>14.5</v>
      </c>
      <c r="H6" s="92" t="n">
        <v>32.1</v>
      </c>
      <c r="I6" s="92" t="n">
        <v>35.2</v>
      </c>
      <c r="J6" s="92" t="n">
        <v>50.9</v>
      </c>
      <c r="K6" s="92" t="n">
        <v>105.1</v>
      </c>
      <c r="L6" s="92" t="n">
        <v>146.1</v>
      </c>
      <c r="M6" s="92" t="n">
        <v>227.7</v>
      </c>
      <c r="N6" s="92" t="n">
        <v>399</v>
      </c>
      <c r="O6" s="92" t="n">
        <v>582.3</v>
      </c>
    </row>
    <row r="7" customFormat="false" ht="15" hidden="false" customHeight="false" outlineLevel="0" collapsed="false">
      <c r="A7" s="18" t="s">
        <v>939</v>
      </c>
      <c r="F7" s="47" t="s">
        <v>348</v>
      </c>
      <c r="G7" s="47" t="s">
        <v>348</v>
      </c>
      <c r="H7" s="47" t="s">
        <v>348</v>
      </c>
      <c r="I7" s="47" t="s">
        <v>348</v>
      </c>
      <c r="J7" s="47" t="s">
        <v>348</v>
      </c>
      <c r="K7" s="47" t="s">
        <v>348</v>
      </c>
      <c r="L7" s="47" t="s">
        <v>348</v>
      </c>
      <c r="M7" s="47" t="s">
        <v>348</v>
      </c>
      <c r="N7" s="47" t="s">
        <v>348</v>
      </c>
      <c r="O7" s="47" t="s">
        <v>348</v>
      </c>
    </row>
    <row r="8" customFormat="false" ht="15" hidden="false" customHeight="false" outlineLevel="0" collapsed="false">
      <c r="A8" s="18" t="s">
        <v>940</v>
      </c>
    </row>
    <row r="9" customFormat="false" ht="15" hidden="false" customHeight="false" outlineLevel="0" collapsed="false">
      <c r="A9" s="18" t="s">
        <v>941</v>
      </c>
      <c r="F9" s="18" t="s">
        <v>942</v>
      </c>
      <c r="G9" s="18" t="s">
        <v>943</v>
      </c>
      <c r="H9" s="18" t="s">
        <v>944</v>
      </c>
      <c r="I9" s="18" t="s">
        <v>945</v>
      </c>
      <c r="J9" s="18" t="s">
        <v>946</v>
      </c>
      <c r="K9" s="18" t="s">
        <v>947</v>
      </c>
      <c r="L9" s="18" t="s">
        <v>948</v>
      </c>
      <c r="M9" s="18" t="s">
        <v>949</v>
      </c>
      <c r="N9" s="18" t="s">
        <v>950</v>
      </c>
      <c r="O9" s="18" t="s">
        <v>951</v>
      </c>
    </row>
    <row r="10" customFormat="false" ht="15" hidden="false" customHeight="false" outlineLevel="0" collapsed="false">
      <c r="A10" s="3" t="s">
        <v>952</v>
      </c>
      <c r="F10" s="93" t="n">
        <f aca="false">IF(F7="Not disclosed",F8,F6)</f>
        <v>11.4</v>
      </c>
      <c r="G10" s="93" t="n">
        <f aca="false">IF(G7="Not disclosed",G8,G6)</f>
        <v>14.5</v>
      </c>
      <c r="H10" s="93" t="n">
        <f aca="false">IF(H7="Not disclosed",H8,H6)</f>
        <v>32.1</v>
      </c>
      <c r="I10" s="93" t="n">
        <f aca="false">IF(I7="Not disclosed",I8,I6)</f>
        <v>35.2</v>
      </c>
      <c r="J10" s="93" t="n">
        <f aca="false">IF(J7="Not disclosed",J8,J6)</f>
        <v>50.9</v>
      </c>
      <c r="K10" s="93" t="n">
        <f aca="false">IF(K7="Not disclosed",K8,K6)</f>
        <v>105.1</v>
      </c>
      <c r="L10" s="93" t="n">
        <f aca="false">IF(L7="Not disclosed",L8,L6)</f>
        <v>146.1</v>
      </c>
      <c r="M10" s="93" t="n">
        <f aca="false">IF(M7="Not disclosed",M8,M6)</f>
        <v>227.7</v>
      </c>
      <c r="N10" s="93" t="n">
        <f aca="false">IF(N7="Not disclosed",N8,N6)</f>
        <v>399</v>
      </c>
      <c r="O10" s="93" t="n">
        <f aca="false">IF(O7="Not disclosed",O8,O6)</f>
        <v>582.3</v>
      </c>
    </row>
    <row r="12" customFormat="false" ht="22.35" hidden="false" customHeight="false" outlineLevel="0" collapsed="false">
      <c r="A12" s="3" t="s">
        <v>953</v>
      </c>
      <c r="B12" s="0" t="s">
        <v>400</v>
      </c>
      <c r="C12" s="0" t="s">
        <v>389</v>
      </c>
      <c r="D12" s="91" t="s">
        <v>954</v>
      </c>
      <c r="F12" s="18" t="s">
        <v>955</v>
      </c>
      <c r="G12" s="18" t="s">
        <v>955</v>
      </c>
      <c r="H12" s="18" t="s">
        <v>955</v>
      </c>
      <c r="I12" s="18" t="s">
        <v>955</v>
      </c>
      <c r="J12" s="92" t="n">
        <v>41.4</v>
      </c>
      <c r="K12" s="92" t="n">
        <v>93.6</v>
      </c>
      <c r="L12" s="18" t="s">
        <v>955</v>
      </c>
      <c r="M12" s="92" t="n">
        <v>214.2</v>
      </c>
      <c r="N12" s="92" t="n">
        <v>389.7</v>
      </c>
      <c r="O12" s="92" t="n">
        <v>574.9</v>
      </c>
    </row>
    <row r="13" customFormat="false" ht="15" hidden="false" customHeight="false" outlineLevel="0" collapsed="false">
      <c r="A13" s="18" t="s">
        <v>939</v>
      </c>
      <c r="F13" s="94" t="s">
        <v>786</v>
      </c>
      <c r="G13" s="94" t="s">
        <v>786</v>
      </c>
      <c r="H13" s="94" t="s">
        <v>786</v>
      </c>
      <c r="I13" s="94" t="s">
        <v>786</v>
      </c>
      <c r="J13" s="47" t="s">
        <v>393</v>
      </c>
      <c r="K13" s="47" t="s">
        <v>393</v>
      </c>
      <c r="L13" s="94" t="s">
        <v>786</v>
      </c>
      <c r="M13" s="47" t="s">
        <v>348</v>
      </c>
      <c r="N13" s="47" t="s">
        <v>348</v>
      </c>
      <c r="O13" s="47" t="s">
        <v>348</v>
      </c>
    </row>
    <row r="14" customFormat="false" ht="15" hidden="false" customHeight="false" outlineLevel="0" collapsed="false">
      <c r="A14" s="18" t="s">
        <v>940</v>
      </c>
      <c r="F14" s="95" t="n">
        <v>10.3</v>
      </c>
      <c r="G14" s="95" t="n">
        <v>13.1</v>
      </c>
      <c r="H14" s="95" t="n">
        <v>28.9</v>
      </c>
      <c r="I14" s="95" t="n">
        <v>31.7</v>
      </c>
      <c r="L14" s="95" t="n">
        <v>138.8</v>
      </c>
    </row>
    <row r="15" customFormat="false" ht="15" hidden="false" customHeight="false" outlineLevel="0" collapsed="false">
      <c r="A15" s="18" t="s">
        <v>941</v>
      </c>
      <c r="F15" s="18" t="s">
        <v>956</v>
      </c>
      <c r="G15" s="18" t="s">
        <v>956</v>
      </c>
      <c r="H15" s="18" t="s">
        <v>956</v>
      </c>
      <c r="I15" s="18" t="s">
        <v>956</v>
      </c>
      <c r="J15" s="18" t="s">
        <v>957</v>
      </c>
      <c r="K15" s="18" t="s">
        <v>958</v>
      </c>
      <c r="L15" s="18" t="s">
        <v>959</v>
      </c>
      <c r="M15" s="18" t="s">
        <v>960</v>
      </c>
      <c r="N15" s="18" t="s">
        <v>961</v>
      </c>
      <c r="O15" s="18" t="s">
        <v>962</v>
      </c>
    </row>
    <row r="16" customFormat="false" ht="15" hidden="false" customHeight="false" outlineLevel="0" collapsed="false">
      <c r="A16" s="3" t="s">
        <v>952</v>
      </c>
      <c r="F16" s="93" t="n">
        <f aca="false">IF(F13="Not disclosed",F14,F12)</f>
        <v>10.3</v>
      </c>
      <c r="G16" s="93" t="n">
        <f aca="false">IF(G13="Not disclosed",G14,G12)</f>
        <v>13.1</v>
      </c>
      <c r="H16" s="93" t="n">
        <f aca="false">IF(H13="Not disclosed",H14,H12)</f>
        <v>28.9</v>
      </c>
      <c r="I16" s="93" t="n">
        <f aca="false">IF(I13="Not disclosed",I14,I12)</f>
        <v>31.7</v>
      </c>
      <c r="J16" s="93" t="n">
        <f aca="false">IF(J13="Not disclosed",J14,J12)</f>
        <v>41.4</v>
      </c>
      <c r="K16" s="93" t="n">
        <f aca="false">IF(K13="Not disclosed",K14,K12)</f>
        <v>93.6</v>
      </c>
      <c r="L16" s="93" t="n">
        <f aca="false">IF(L13="Not disclosed",L14,L12)</f>
        <v>138.8</v>
      </c>
      <c r="M16" s="93" t="n">
        <f aca="false">IF(M13="Not disclosed",M14,M12)</f>
        <v>214.2</v>
      </c>
      <c r="N16" s="93" t="n">
        <f aca="false">IF(N13="Not disclosed",N14,N12)</f>
        <v>389.7</v>
      </c>
      <c r="O16" s="93" t="n">
        <f aca="false">IF(O13="Not disclosed",O14,O12)</f>
        <v>574.9</v>
      </c>
    </row>
    <row r="18" customFormat="false" ht="15" hidden="false" customHeight="false" outlineLevel="0" collapsed="false">
      <c r="A18" s="3" t="s">
        <v>963</v>
      </c>
      <c r="B18" s="0" t="s">
        <v>400</v>
      </c>
      <c r="C18" s="0" t="s">
        <v>389</v>
      </c>
      <c r="D18" s="91" t="s">
        <v>964</v>
      </c>
      <c r="F18" s="18" t="s">
        <v>955</v>
      </c>
      <c r="G18" s="18" t="s">
        <v>955</v>
      </c>
      <c r="H18" s="18" t="s">
        <v>955</v>
      </c>
      <c r="I18" s="92" t="n">
        <v>90</v>
      </c>
      <c r="J18" s="92" t="n">
        <v>248</v>
      </c>
      <c r="K18" s="92" t="n">
        <v>430</v>
      </c>
      <c r="L18" s="92" t="n">
        <v>551</v>
      </c>
      <c r="M18" s="92" t="n">
        <v>1250</v>
      </c>
      <c r="N18" s="92" t="n">
        <v>1920</v>
      </c>
      <c r="O18" s="92" t="n">
        <v>3000</v>
      </c>
    </row>
    <row r="19" customFormat="false" ht="15" hidden="false" customHeight="false" outlineLevel="0" collapsed="false">
      <c r="A19" s="18" t="s">
        <v>939</v>
      </c>
      <c r="F19" s="94" t="s">
        <v>786</v>
      </c>
      <c r="G19" s="94" t="s">
        <v>786</v>
      </c>
      <c r="H19" s="94" t="s">
        <v>786</v>
      </c>
      <c r="I19" s="47" t="s">
        <v>348</v>
      </c>
      <c r="J19" s="47" t="s">
        <v>393</v>
      </c>
      <c r="K19" s="47" t="s">
        <v>393</v>
      </c>
      <c r="L19" s="47" t="s">
        <v>348</v>
      </c>
      <c r="M19" s="47" t="s">
        <v>348</v>
      </c>
      <c r="N19" s="47" t="s">
        <v>348</v>
      </c>
      <c r="O19" s="47" t="s">
        <v>348</v>
      </c>
    </row>
    <row r="20" customFormat="false" ht="15" hidden="false" customHeight="false" outlineLevel="0" collapsed="false">
      <c r="A20" s="18" t="s">
        <v>940</v>
      </c>
      <c r="F20" s="75" t="n">
        <v>41.04</v>
      </c>
      <c r="G20" s="75" t="n">
        <v>52.2</v>
      </c>
      <c r="H20" s="75" t="n">
        <v>115.56</v>
      </c>
    </row>
    <row r="21" customFormat="false" ht="15" hidden="false" customHeight="false" outlineLevel="0" collapsed="false">
      <c r="A21" s="18" t="s">
        <v>941</v>
      </c>
      <c r="F21" s="18" t="s">
        <v>965</v>
      </c>
      <c r="G21" s="18" t="s">
        <v>965</v>
      </c>
      <c r="H21" s="18" t="s">
        <v>965</v>
      </c>
      <c r="I21" s="18" t="s">
        <v>966</v>
      </c>
      <c r="J21" s="18" t="s">
        <v>967</v>
      </c>
      <c r="K21" s="18" t="s">
        <v>968</v>
      </c>
      <c r="L21" s="18" t="s">
        <v>969</v>
      </c>
      <c r="M21" s="18" t="s">
        <v>960</v>
      </c>
      <c r="N21" s="18" t="s">
        <v>970</v>
      </c>
      <c r="O21" s="18" t="s">
        <v>962</v>
      </c>
    </row>
    <row r="22" customFormat="false" ht="15" hidden="false" customHeight="false" outlineLevel="0" collapsed="false">
      <c r="A22" s="3" t="s">
        <v>952</v>
      </c>
      <c r="F22" s="93" t="n">
        <f aca="false">IF(F19="Not disclosed",F20,F18)</f>
        <v>41.04</v>
      </c>
      <c r="G22" s="93" t="n">
        <f aca="false">IF(G19="Not disclosed",G20,G18)</f>
        <v>52.2</v>
      </c>
      <c r="H22" s="93" t="n">
        <f aca="false">IF(H19="Not disclosed",H20,H18)</f>
        <v>115.56</v>
      </c>
      <c r="I22" s="93" t="n">
        <f aca="false">IF(I19="Not disclosed",I20,I18)</f>
        <v>90</v>
      </c>
      <c r="J22" s="93" t="n">
        <f aca="false">IF(J19="Not disclosed",J20,J18)</f>
        <v>248</v>
      </c>
      <c r="K22" s="93" t="n">
        <f aca="false">IF(K19="Not disclosed",K20,K18)</f>
        <v>430</v>
      </c>
      <c r="L22" s="93" t="n">
        <f aca="false">IF(L19="Not disclosed",L20,L18)</f>
        <v>551</v>
      </c>
      <c r="M22" s="93" t="n">
        <f aca="false">IF(M19="Not disclosed",M20,M18)</f>
        <v>1250</v>
      </c>
      <c r="N22" s="93" t="n">
        <f aca="false">IF(N19="Not disclosed",N20,N18)</f>
        <v>1920</v>
      </c>
      <c r="O22" s="93" t="n">
        <f aca="false">IF(O19="Not disclosed",O20,O18)</f>
        <v>3000</v>
      </c>
    </row>
    <row r="24" customFormat="false" ht="22.35" hidden="false" customHeight="false" outlineLevel="0" collapsed="false">
      <c r="A24" s="3" t="s">
        <v>971</v>
      </c>
      <c r="B24" s="0" t="s">
        <v>400</v>
      </c>
      <c r="C24" s="0" t="s">
        <v>389</v>
      </c>
      <c r="D24" s="91" t="s">
        <v>972</v>
      </c>
      <c r="F24" s="18" t="s">
        <v>955</v>
      </c>
      <c r="G24" s="18" t="s">
        <v>955</v>
      </c>
      <c r="H24" s="92" t="n">
        <v>9.9</v>
      </c>
      <c r="I24" s="92" t="n">
        <v>21.1</v>
      </c>
      <c r="J24" s="92" t="n">
        <v>24.7</v>
      </c>
      <c r="K24" s="92" t="n">
        <v>30.1</v>
      </c>
      <c r="L24" s="92" t="n">
        <v>42.9</v>
      </c>
      <c r="M24" s="92" t="n">
        <v>68.5</v>
      </c>
      <c r="N24" s="92" t="n">
        <v>103.8</v>
      </c>
      <c r="O24" s="92" t="n">
        <v>133.6</v>
      </c>
    </row>
    <row r="25" customFormat="false" ht="15" hidden="false" customHeight="false" outlineLevel="0" collapsed="false">
      <c r="A25" s="18" t="s">
        <v>939</v>
      </c>
      <c r="F25" s="94" t="s">
        <v>786</v>
      </c>
      <c r="G25" s="94" t="s">
        <v>786</v>
      </c>
      <c r="H25" s="47" t="s">
        <v>348</v>
      </c>
      <c r="I25" s="47" t="s">
        <v>348</v>
      </c>
      <c r="J25" s="47" t="s">
        <v>348</v>
      </c>
      <c r="K25" s="47" t="s">
        <v>348</v>
      </c>
      <c r="L25" s="47" t="s">
        <v>348</v>
      </c>
      <c r="M25" s="47" t="s">
        <v>348</v>
      </c>
      <c r="N25" s="47" t="s">
        <v>348</v>
      </c>
      <c r="O25" s="47" t="s">
        <v>348</v>
      </c>
    </row>
    <row r="26" customFormat="false" ht="15" hidden="false" customHeight="false" outlineLevel="0" collapsed="false">
      <c r="A26" s="18" t="s">
        <v>940</v>
      </c>
      <c r="F26" s="95" t="n">
        <v>9.1</v>
      </c>
      <c r="G26" s="95" t="n">
        <v>8.1</v>
      </c>
    </row>
    <row r="27" customFormat="false" ht="15" hidden="false" customHeight="false" outlineLevel="0" collapsed="false">
      <c r="A27" s="18" t="s">
        <v>941</v>
      </c>
      <c r="F27" s="18" t="s">
        <v>973</v>
      </c>
      <c r="G27" s="18" t="s">
        <v>973</v>
      </c>
      <c r="H27" s="18" t="s">
        <v>944</v>
      </c>
      <c r="I27" s="18" t="s">
        <v>945</v>
      </c>
      <c r="J27" s="18" t="s">
        <v>946</v>
      </c>
      <c r="K27" s="18" t="s">
        <v>947</v>
      </c>
      <c r="L27" s="18" t="s">
        <v>948</v>
      </c>
      <c r="M27" s="18" t="s">
        <v>949</v>
      </c>
      <c r="N27" s="18" t="s">
        <v>950</v>
      </c>
      <c r="O27" s="18" t="s">
        <v>951</v>
      </c>
    </row>
    <row r="28" customFormat="false" ht="15" hidden="false" customHeight="false" outlineLevel="0" collapsed="false">
      <c r="A28" s="3" t="s">
        <v>952</v>
      </c>
      <c r="F28" s="93" t="n">
        <f aca="false">IF(F25="Not disclosed",F26,F24)</f>
        <v>9.1</v>
      </c>
      <c r="G28" s="93" t="n">
        <f aca="false">IF(G25="Not disclosed",G26,G24)</f>
        <v>8.1</v>
      </c>
      <c r="H28" s="93" t="n">
        <f aca="false">IF(H25="Not disclosed",H26,H24)</f>
        <v>9.9</v>
      </c>
      <c r="I28" s="93" t="n">
        <f aca="false">IF(I25="Not disclosed",I26,I24)</f>
        <v>21.1</v>
      </c>
      <c r="J28" s="93" t="n">
        <f aca="false">IF(J25="Not disclosed",J26,J24)</f>
        <v>24.7</v>
      </c>
      <c r="K28" s="93" t="n">
        <f aca="false">IF(K25="Not disclosed",K26,K24)</f>
        <v>30.1</v>
      </c>
      <c r="L28" s="93" t="n">
        <f aca="false">IF(L25="Not disclosed",L26,L24)</f>
        <v>42.9</v>
      </c>
      <c r="M28" s="93" t="n">
        <f aca="false">IF(M25="Not disclosed",M26,M24)</f>
        <v>68.5</v>
      </c>
      <c r="N28" s="93" t="n">
        <f aca="false">IF(N25="Not disclosed",N26,N24)</f>
        <v>103.8</v>
      </c>
      <c r="O28" s="93" t="n">
        <f aca="false">IF(O25="Not disclosed",O26,O24)</f>
        <v>133.6</v>
      </c>
    </row>
    <row r="30" customFormat="false" ht="22.35" hidden="false" customHeight="false" outlineLevel="0" collapsed="false">
      <c r="A30" s="3" t="s">
        <v>974</v>
      </c>
      <c r="B30" s="0" t="s">
        <v>400</v>
      </c>
      <c r="C30" s="0" t="s">
        <v>389</v>
      </c>
      <c r="D30" s="91" t="s">
        <v>975</v>
      </c>
      <c r="F30" s="18" t="s">
        <v>955</v>
      </c>
      <c r="G30" s="18" t="s">
        <v>955</v>
      </c>
      <c r="H30" s="92" t="n">
        <v>31.4</v>
      </c>
      <c r="I30" s="92" t="n">
        <v>31.9</v>
      </c>
      <c r="J30" s="92" t="n">
        <v>36.5</v>
      </c>
      <c r="K30" s="92" t="n">
        <v>42.8</v>
      </c>
      <c r="L30" s="92" t="n">
        <v>44.9</v>
      </c>
      <c r="M30" s="92" t="n">
        <v>53.1</v>
      </c>
      <c r="N30" s="92" t="n">
        <v>67.4</v>
      </c>
      <c r="O30" s="92" t="n">
        <v>191</v>
      </c>
    </row>
    <row r="31" customFormat="false" ht="15" hidden="false" customHeight="false" outlineLevel="0" collapsed="false">
      <c r="A31" s="18" t="s">
        <v>939</v>
      </c>
      <c r="F31" s="94" t="s">
        <v>786</v>
      </c>
      <c r="G31" s="94" t="s">
        <v>786</v>
      </c>
      <c r="H31" s="47" t="s">
        <v>348</v>
      </c>
      <c r="I31" s="47" t="s">
        <v>348</v>
      </c>
      <c r="J31" s="47" t="s">
        <v>348</v>
      </c>
      <c r="K31" s="47" t="s">
        <v>348</v>
      </c>
      <c r="L31" s="47" t="s">
        <v>348</v>
      </c>
      <c r="M31" s="47" t="s">
        <v>348</v>
      </c>
      <c r="N31" s="47" t="s">
        <v>348</v>
      </c>
      <c r="O31" s="47" t="s">
        <v>348</v>
      </c>
    </row>
    <row r="32" customFormat="false" ht="15" hidden="false" customHeight="false" outlineLevel="0" collapsed="false">
      <c r="A32" s="18" t="s">
        <v>940</v>
      </c>
      <c r="F32" s="95" t="n">
        <v>29</v>
      </c>
      <c r="G32" s="95" t="n">
        <v>25.6</v>
      </c>
    </row>
    <row r="33" customFormat="false" ht="15" hidden="false" customHeight="false" outlineLevel="0" collapsed="false">
      <c r="A33" s="18" t="s">
        <v>941</v>
      </c>
      <c r="F33" s="18" t="s">
        <v>976</v>
      </c>
      <c r="G33" s="18" t="s">
        <v>976</v>
      </c>
      <c r="H33" s="18" t="s">
        <v>944</v>
      </c>
      <c r="I33" s="18" t="s">
        <v>945</v>
      </c>
      <c r="J33" s="18" t="s">
        <v>946</v>
      </c>
      <c r="K33" s="18" t="s">
        <v>947</v>
      </c>
      <c r="L33" s="18" t="s">
        <v>948</v>
      </c>
      <c r="M33" s="18" t="s">
        <v>949</v>
      </c>
      <c r="N33" s="18" t="s">
        <v>950</v>
      </c>
      <c r="O33" s="18" t="s">
        <v>951</v>
      </c>
    </row>
    <row r="34" customFormat="false" ht="15" hidden="false" customHeight="false" outlineLevel="0" collapsed="false">
      <c r="A34" s="3" t="s">
        <v>952</v>
      </c>
      <c r="F34" s="93" t="n">
        <f aca="false">IF(F31="Not disclosed",F32,F30)</f>
        <v>29</v>
      </c>
      <c r="G34" s="93" t="n">
        <f aca="false">IF(G31="Not disclosed",G32,G30)</f>
        <v>25.6</v>
      </c>
      <c r="H34" s="93" t="n">
        <f aca="false">IF(H31="Not disclosed",H32,H30)</f>
        <v>31.4</v>
      </c>
      <c r="I34" s="93" t="n">
        <f aca="false">IF(I31="Not disclosed",I32,I30)</f>
        <v>31.9</v>
      </c>
      <c r="J34" s="93" t="n">
        <f aca="false">IF(J31="Not disclosed",J32,J30)</f>
        <v>36.5</v>
      </c>
      <c r="K34" s="93" t="n">
        <f aca="false">IF(K31="Not disclosed",K32,K30)</f>
        <v>42.8</v>
      </c>
      <c r="L34" s="93" t="n">
        <f aca="false">IF(L31="Not disclosed",L32,L30)</f>
        <v>44.9</v>
      </c>
      <c r="M34" s="93" t="n">
        <f aca="false">IF(M31="Not disclosed",M32,M30)</f>
        <v>53.1</v>
      </c>
      <c r="N34" s="93" t="n">
        <f aca="false">IF(N31="Not disclosed",N32,N30)</f>
        <v>67.4</v>
      </c>
      <c r="O34" s="93" t="n">
        <f aca="false">IF(O31="Not disclosed",O32,O30)</f>
        <v>191</v>
      </c>
    </row>
    <row r="36" customFormat="false" ht="22.35" hidden="false" customHeight="false" outlineLevel="0" collapsed="false">
      <c r="A36" s="3" t="s">
        <v>977</v>
      </c>
      <c r="B36" s="0" t="s">
        <v>400</v>
      </c>
      <c r="C36" s="0" t="s">
        <v>389</v>
      </c>
      <c r="D36" s="91" t="s">
        <v>972</v>
      </c>
      <c r="F36" s="18" t="s">
        <v>955</v>
      </c>
      <c r="G36" s="18" t="s">
        <v>955</v>
      </c>
      <c r="H36" s="92" t="n">
        <v>47.9</v>
      </c>
      <c r="I36" s="92" t="n">
        <v>85.4</v>
      </c>
      <c r="J36" s="92" t="n">
        <v>60.9</v>
      </c>
      <c r="K36" s="92" t="n">
        <v>68.2</v>
      </c>
      <c r="L36" s="92" t="n">
        <v>89.5</v>
      </c>
      <c r="M36" s="92" t="n">
        <v>159.9</v>
      </c>
      <c r="N36" s="92" t="n">
        <v>143.8</v>
      </c>
      <c r="O36" s="92" t="n">
        <v>173.9</v>
      </c>
    </row>
    <row r="37" customFormat="false" ht="15" hidden="false" customHeight="false" outlineLevel="0" collapsed="false">
      <c r="A37" s="18" t="s">
        <v>939</v>
      </c>
      <c r="F37" s="94" t="s">
        <v>786</v>
      </c>
      <c r="G37" s="94" t="s">
        <v>786</v>
      </c>
      <c r="H37" s="47" t="s">
        <v>348</v>
      </c>
      <c r="I37" s="47" t="s">
        <v>348</v>
      </c>
      <c r="J37" s="47" t="s">
        <v>348</v>
      </c>
      <c r="K37" s="47" t="s">
        <v>348</v>
      </c>
      <c r="L37" s="47" t="s">
        <v>348</v>
      </c>
      <c r="M37" s="47" t="s">
        <v>348</v>
      </c>
      <c r="N37" s="47" t="s">
        <v>348</v>
      </c>
      <c r="O37" s="47" t="s">
        <v>348</v>
      </c>
    </row>
    <row r="38" customFormat="false" ht="15" hidden="false" customHeight="false" outlineLevel="0" collapsed="false">
      <c r="A38" s="18" t="s">
        <v>940</v>
      </c>
      <c r="F38" s="95" t="n">
        <v>44.2</v>
      </c>
      <c r="G38" s="95" t="n">
        <v>39</v>
      </c>
    </row>
    <row r="39" customFormat="false" ht="15" hidden="false" customHeight="false" outlineLevel="0" collapsed="false">
      <c r="A39" s="18" t="s">
        <v>941</v>
      </c>
      <c r="F39" s="18" t="s">
        <v>978</v>
      </c>
      <c r="G39" s="18" t="s">
        <v>978</v>
      </c>
      <c r="H39" s="18" t="s">
        <v>944</v>
      </c>
      <c r="I39" s="18" t="s">
        <v>945</v>
      </c>
      <c r="J39" s="18" t="s">
        <v>946</v>
      </c>
      <c r="K39" s="18" t="s">
        <v>947</v>
      </c>
      <c r="L39" s="18" t="s">
        <v>948</v>
      </c>
      <c r="M39" s="18" t="s">
        <v>949</v>
      </c>
      <c r="N39" s="18" t="s">
        <v>950</v>
      </c>
      <c r="O39" s="18" t="s">
        <v>951</v>
      </c>
    </row>
    <row r="40" customFormat="false" ht="15" hidden="false" customHeight="false" outlineLevel="0" collapsed="false">
      <c r="A40" s="3" t="s">
        <v>952</v>
      </c>
      <c r="F40" s="93" t="n">
        <f aca="false">IF(F37="Not disclosed",F38,F36)</f>
        <v>44.2</v>
      </c>
      <c r="G40" s="93" t="n">
        <f aca="false">IF(G37="Not disclosed",G38,G36)</f>
        <v>39</v>
      </c>
      <c r="H40" s="93" t="n">
        <f aca="false">IF(H37="Not disclosed",H38,H36)</f>
        <v>47.9</v>
      </c>
      <c r="I40" s="93" t="n">
        <f aca="false">IF(I37="Not disclosed",I38,I36)</f>
        <v>85.4</v>
      </c>
      <c r="J40" s="93" t="n">
        <f aca="false">IF(J37="Not disclosed",J38,J36)</f>
        <v>60.9</v>
      </c>
      <c r="K40" s="93" t="n">
        <f aca="false">IF(K37="Not disclosed",K38,K36)</f>
        <v>68.2</v>
      </c>
      <c r="L40" s="93" t="n">
        <f aca="false">IF(L37="Not disclosed",L38,L36)</f>
        <v>89.5</v>
      </c>
      <c r="M40" s="93" t="n">
        <f aca="false">IF(M37="Not disclosed",M38,M36)</f>
        <v>159.9</v>
      </c>
      <c r="N40" s="93" t="n">
        <f aca="false">IF(N37="Not disclosed",N38,N36)</f>
        <v>143.8</v>
      </c>
      <c r="O40" s="93" t="n">
        <f aca="false">IF(O37="Not disclosed",O38,O36)</f>
        <v>173.9</v>
      </c>
    </row>
    <row r="42" customFormat="false" ht="15" hidden="false" customHeight="false" outlineLevel="0" collapsed="false">
      <c r="A42" s="3" t="s">
        <v>979</v>
      </c>
      <c r="B42" s="0" t="s">
        <v>400</v>
      </c>
      <c r="C42" s="0" t="s">
        <v>389</v>
      </c>
      <c r="D42" s="91"/>
      <c r="F42" s="92" t="n">
        <v>8.9</v>
      </c>
      <c r="G42" s="92" t="n">
        <v>11.4</v>
      </c>
      <c r="H42" s="92" t="n">
        <v>23.5</v>
      </c>
      <c r="I42" s="92" t="n">
        <v>33.3</v>
      </c>
      <c r="J42" s="92" t="n">
        <v>49.1</v>
      </c>
      <c r="K42" s="92" t="n">
        <v>75.2</v>
      </c>
      <c r="L42" s="92" t="n">
        <v>99</v>
      </c>
      <c r="M42" s="92" t="n">
        <v>180.7</v>
      </c>
      <c r="N42" s="92" t="n">
        <v>212</v>
      </c>
      <c r="O42" s="92" t="n">
        <v>259.7</v>
      </c>
    </row>
    <row r="43" customFormat="false" ht="15" hidden="false" customHeight="false" outlineLevel="0" collapsed="false">
      <c r="A43" s="18" t="s">
        <v>939</v>
      </c>
      <c r="F43" s="47" t="s">
        <v>348</v>
      </c>
      <c r="G43" s="47" t="s">
        <v>348</v>
      </c>
      <c r="H43" s="47" t="s">
        <v>348</v>
      </c>
      <c r="I43" s="47" t="s">
        <v>348</v>
      </c>
      <c r="J43" s="47" t="s">
        <v>348</v>
      </c>
      <c r="K43" s="47" t="s">
        <v>348</v>
      </c>
      <c r="L43" s="47" t="s">
        <v>348</v>
      </c>
      <c r="M43" s="47" t="s">
        <v>348</v>
      </c>
      <c r="N43" s="47" t="s">
        <v>348</v>
      </c>
      <c r="O43" s="47" t="s">
        <v>348</v>
      </c>
    </row>
    <row r="44" customFormat="false" ht="15" hidden="false" customHeight="false" outlineLevel="0" collapsed="false">
      <c r="A44" s="18" t="s">
        <v>940</v>
      </c>
    </row>
    <row r="45" customFormat="false" ht="15" hidden="false" customHeight="false" outlineLevel="0" collapsed="false">
      <c r="A45" s="18" t="s">
        <v>941</v>
      </c>
      <c r="F45" s="18" t="s">
        <v>942</v>
      </c>
      <c r="G45" s="18" t="s">
        <v>943</v>
      </c>
      <c r="H45" s="18" t="s">
        <v>944</v>
      </c>
      <c r="I45" s="18" t="s">
        <v>945</v>
      </c>
      <c r="J45" s="18" t="s">
        <v>946</v>
      </c>
      <c r="K45" s="18" t="s">
        <v>947</v>
      </c>
      <c r="L45" s="18" t="s">
        <v>948</v>
      </c>
      <c r="M45" s="18" t="s">
        <v>949</v>
      </c>
      <c r="N45" s="18" t="s">
        <v>950</v>
      </c>
      <c r="O45" s="18" t="s">
        <v>951</v>
      </c>
    </row>
    <row r="46" customFormat="false" ht="15" hidden="false" customHeight="false" outlineLevel="0" collapsed="false">
      <c r="A46" s="3" t="s">
        <v>952</v>
      </c>
      <c r="F46" s="93" t="n">
        <f aca="false">IF(F43="Not disclosed",F44,F42)</f>
        <v>8.9</v>
      </c>
      <c r="G46" s="93" t="n">
        <f aca="false">IF(G43="Not disclosed",G44,G42)</f>
        <v>11.4</v>
      </c>
      <c r="H46" s="93" t="n">
        <f aca="false">IF(H43="Not disclosed",H44,H42)</f>
        <v>23.5</v>
      </c>
      <c r="I46" s="93" t="n">
        <f aca="false">IF(I43="Not disclosed",I44,I42)</f>
        <v>33.3</v>
      </c>
      <c r="J46" s="93" t="n">
        <f aca="false">IF(J43="Not disclosed",J44,J42)</f>
        <v>49.1</v>
      </c>
      <c r="K46" s="93" t="n">
        <f aca="false">IF(K43="Not disclosed",K44,K42)</f>
        <v>75.2</v>
      </c>
      <c r="L46" s="93" t="n">
        <f aca="false">IF(L43="Not disclosed",L44,L42)</f>
        <v>99</v>
      </c>
      <c r="M46" s="93" t="n">
        <f aca="false">IF(M43="Not disclosed",M44,M42)</f>
        <v>180.7</v>
      </c>
      <c r="N46" s="93" t="n">
        <f aca="false">IF(N43="Not disclosed",N44,N42)</f>
        <v>212</v>
      </c>
      <c r="O46" s="93" t="n">
        <f aca="false">IF(O43="Not disclosed",O44,O42)</f>
        <v>259.7</v>
      </c>
    </row>
    <row r="48" customFormat="false" ht="22.35" hidden="false" customHeight="false" outlineLevel="0" collapsed="false">
      <c r="A48" s="3" t="s">
        <v>980</v>
      </c>
      <c r="B48" s="0" t="s">
        <v>400</v>
      </c>
      <c r="C48" s="0" t="s">
        <v>389</v>
      </c>
      <c r="D48" s="91" t="s">
        <v>981</v>
      </c>
      <c r="F48" s="92" t="n">
        <v>8.9</v>
      </c>
      <c r="G48" s="92" t="n">
        <v>11.4</v>
      </c>
      <c r="H48" s="92" t="n">
        <v>23.5</v>
      </c>
      <c r="I48" s="92" t="n">
        <v>33.3</v>
      </c>
      <c r="J48" s="92" t="n">
        <v>49.1</v>
      </c>
      <c r="K48" s="92" t="n">
        <v>75.2</v>
      </c>
      <c r="L48" s="92" t="n">
        <v>99</v>
      </c>
      <c r="M48" s="92" t="n">
        <v>180.7</v>
      </c>
      <c r="N48" s="92" t="n">
        <v>255.1</v>
      </c>
      <c r="O48" s="92" t="n">
        <v>302.7</v>
      </c>
    </row>
    <row r="49" customFormat="false" ht="15" hidden="false" customHeight="false" outlineLevel="0" collapsed="false">
      <c r="A49" s="18" t="s">
        <v>939</v>
      </c>
      <c r="F49" s="47" t="s">
        <v>348</v>
      </c>
      <c r="G49" s="47" t="s">
        <v>348</v>
      </c>
      <c r="H49" s="47" t="s">
        <v>348</v>
      </c>
      <c r="I49" s="47" t="s">
        <v>348</v>
      </c>
      <c r="J49" s="47" t="s">
        <v>348</v>
      </c>
      <c r="K49" s="47" t="s">
        <v>348</v>
      </c>
      <c r="L49" s="47" t="s">
        <v>348</v>
      </c>
      <c r="M49" s="47" t="s">
        <v>348</v>
      </c>
      <c r="N49" s="47" t="s">
        <v>393</v>
      </c>
      <c r="O49" s="47" t="s">
        <v>393</v>
      </c>
    </row>
    <row r="50" customFormat="false" ht="15" hidden="false" customHeight="false" outlineLevel="0" collapsed="false">
      <c r="A50" s="18" t="s">
        <v>940</v>
      </c>
    </row>
    <row r="51" customFormat="false" ht="15" hidden="false" customHeight="false" outlineLevel="0" collapsed="false">
      <c r="A51" s="18" t="s">
        <v>941</v>
      </c>
      <c r="F51" s="18" t="s">
        <v>942</v>
      </c>
      <c r="G51" s="18" t="s">
        <v>943</v>
      </c>
      <c r="H51" s="18" t="s">
        <v>944</v>
      </c>
      <c r="I51" s="18" t="s">
        <v>945</v>
      </c>
      <c r="J51" s="18" t="s">
        <v>946</v>
      </c>
      <c r="K51" s="18" t="s">
        <v>947</v>
      </c>
      <c r="L51" s="18" t="s">
        <v>948</v>
      </c>
      <c r="M51" s="18" t="s">
        <v>949</v>
      </c>
      <c r="N51" s="18" t="s">
        <v>982</v>
      </c>
      <c r="O51" s="18" t="s">
        <v>983</v>
      </c>
    </row>
    <row r="52" customFormat="false" ht="15" hidden="false" customHeight="false" outlineLevel="0" collapsed="false">
      <c r="A52" s="3" t="s">
        <v>952</v>
      </c>
      <c r="F52" s="93" t="n">
        <f aca="false">IF(F49="Not disclosed",F50,F48)</f>
        <v>8.9</v>
      </c>
      <c r="G52" s="93" t="n">
        <f aca="false">IF(G49="Not disclosed",G50,G48)</f>
        <v>11.4</v>
      </c>
      <c r="H52" s="93" t="n">
        <f aca="false">IF(H49="Not disclosed",H50,H48)</f>
        <v>23.5</v>
      </c>
      <c r="I52" s="93" t="n">
        <f aca="false">IF(I49="Not disclosed",I50,I48)</f>
        <v>33.3</v>
      </c>
      <c r="J52" s="93" t="n">
        <f aca="false">IF(J49="Not disclosed",J50,J48)</f>
        <v>49.1</v>
      </c>
      <c r="K52" s="93" t="n">
        <f aca="false">IF(K49="Not disclosed",K50,K48)</f>
        <v>75.2</v>
      </c>
      <c r="L52" s="93" t="n">
        <f aca="false">IF(L49="Not disclosed",L50,L48)</f>
        <v>99</v>
      </c>
      <c r="M52" s="93" t="n">
        <f aca="false">IF(M49="Not disclosed",M50,M48)</f>
        <v>180.7</v>
      </c>
      <c r="N52" s="93" t="n">
        <f aca="false">IF(N49="Not disclosed",N50,N48)</f>
        <v>255.1</v>
      </c>
      <c r="O52" s="93" t="n">
        <f aca="false">IF(O49="Not disclosed",O50,O48)</f>
        <v>302.7</v>
      </c>
    </row>
    <row r="54" customFormat="false" ht="22.35" hidden="false" customHeight="false" outlineLevel="0" collapsed="false">
      <c r="A54" s="3" t="s">
        <v>984</v>
      </c>
      <c r="B54" s="0" t="s">
        <v>400</v>
      </c>
      <c r="C54" s="0" t="s">
        <v>389</v>
      </c>
      <c r="D54" s="91" t="s">
        <v>985</v>
      </c>
      <c r="F54" s="18" t="s">
        <v>955</v>
      </c>
      <c r="G54" s="92" t="n">
        <v>328.3</v>
      </c>
      <c r="H54" s="92" t="n">
        <v>475.3</v>
      </c>
      <c r="I54" s="92" t="n">
        <v>846.7</v>
      </c>
      <c r="J54" s="92" t="n">
        <v>1334.1</v>
      </c>
      <c r="K54" s="92" t="n">
        <v>1789.4</v>
      </c>
      <c r="L54" s="92" t="n">
        <v>3314.4</v>
      </c>
      <c r="M54" s="92" t="n">
        <v>5553.3</v>
      </c>
      <c r="N54" s="92" t="n">
        <v>7131.7</v>
      </c>
      <c r="O54" s="92" t="n">
        <v>13045.2</v>
      </c>
    </row>
    <row r="55" customFormat="false" ht="15" hidden="false" customHeight="false" outlineLevel="0" collapsed="false">
      <c r="A55" s="18" t="s">
        <v>939</v>
      </c>
      <c r="F55" s="94" t="s">
        <v>786</v>
      </c>
      <c r="G55" s="47" t="s">
        <v>348</v>
      </c>
      <c r="H55" s="47" t="s">
        <v>348</v>
      </c>
      <c r="I55" s="47" t="s">
        <v>348</v>
      </c>
      <c r="J55" s="47" t="s">
        <v>348</v>
      </c>
      <c r="K55" s="47" t="s">
        <v>348</v>
      </c>
      <c r="L55" s="47" t="s">
        <v>348</v>
      </c>
      <c r="M55" s="47" t="s">
        <v>348</v>
      </c>
      <c r="N55" s="47" t="s">
        <v>348</v>
      </c>
      <c r="O55" s="47" t="s">
        <v>348</v>
      </c>
    </row>
    <row r="56" customFormat="false" ht="15" hidden="false" customHeight="false" outlineLevel="0" collapsed="false">
      <c r="A56" s="18" t="s">
        <v>940</v>
      </c>
      <c r="F56" s="95" t="n">
        <v>250</v>
      </c>
    </row>
    <row r="57" customFormat="false" ht="15" hidden="false" customHeight="false" outlineLevel="0" collapsed="false">
      <c r="A57" s="18" t="s">
        <v>941</v>
      </c>
      <c r="F57" s="18" t="s">
        <v>986</v>
      </c>
      <c r="G57" s="18" t="s">
        <v>943</v>
      </c>
      <c r="H57" s="18" t="s">
        <v>944</v>
      </c>
      <c r="I57" s="18" t="s">
        <v>945</v>
      </c>
      <c r="J57" s="18" t="s">
        <v>946</v>
      </c>
      <c r="K57" s="18" t="s">
        <v>947</v>
      </c>
      <c r="L57" s="18" t="s">
        <v>948</v>
      </c>
      <c r="M57" s="18" t="s">
        <v>949</v>
      </c>
      <c r="N57" s="18" t="s">
        <v>950</v>
      </c>
      <c r="O57" s="18" t="s">
        <v>951</v>
      </c>
    </row>
    <row r="58" customFormat="false" ht="15" hidden="false" customHeight="false" outlineLevel="0" collapsed="false">
      <c r="A58" s="3" t="s">
        <v>952</v>
      </c>
      <c r="F58" s="93" t="n">
        <f aca="false">IF(F55="Not disclosed",F56,F54)</f>
        <v>250</v>
      </c>
      <c r="G58" s="93" t="n">
        <f aca="false">IF(G55="Not disclosed",G56,G54)</f>
        <v>328.3</v>
      </c>
      <c r="H58" s="93" t="n">
        <f aca="false">IF(H55="Not disclosed",H56,H54)</f>
        <v>475.3</v>
      </c>
      <c r="I58" s="93" t="n">
        <f aca="false">IF(I55="Not disclosed",I56,I54)</f>
        <v>846.7</v>
      </c>
      <c r="J58" s="93" t="n">
        <f aca="false">IF(J55="Not disclosed",J56,J54)</f>
        <v>1334.1</v>
      </c>
      <c r="K58" s="93" t="n">
        <f aca="false">IF(K55="Not disclosed",K56,K54)</f>
        <v>1789.4</v>
      </c>
      <c r="L58" s="93" t="n">
        <f aca="false">IF(L55="Not disclosed",L56,L54)</f>
        <v>3314.4</v>
      </c>
      <c r="M58" s="93" t="n">
        <f aca="false">IF(M55="Not disclosed",M56,M54)</f>
        <v>5553.3</v>
      </c>
      <c r="N58" s="93" t="n">
        <f aca="false">IF(N55="Not disclosed",N56,N54)</f>
        <v>7131.7</v>
      </c>
      <c r="O58" s="93" t="n">
        <f aca="false">IF(O55="Not disclosed",O56,O54)</f>
        <v>13045.2</v>
      </c>
    </row>
    <row r="60" customFormat="false" ht="22.35" hidden="false" customHeight="false" outlineLevel="0" collapsed="false">
      <c r="A60" s="3" t="s">
        <v>987</v>
      </c>
      <c r="B60" s="0" t="s">
        <v>400</v>
      </c>
      <c r="C60" s="0" t="s">
        <v>389</v>
      </c>
      <c r="D60" s="91" t="s">
        <v>988</v>
      </c>
      <c r="F60" s="18" t="s">
        <v>955</v>
      </c>
      <c r="G60" s="18" t="s">
        <v>955</v>
      </c>
      <c r="H60" s="18" t="s">
        <v>955</v>
      </c>
      <c r="I60" s="18" t="s">
        <v>955</v>
      </c>
      <c r="J60" s="18" t="s">
        <v>955</v>
      </c>
      <c r="K60" s="18" t="s">
        <v>955</v>
      </c>
      <c r="L60" s="18" t="s">
        <v>955</v>
      </c>
      <c r="M60" s="92" t="n">
        <v>2417.4</v>
      </c>
      <c r="N60" s="92" t="n">
        <v>2427.9</v>
      </c>
      <c r="O60" s="92" t="n">
        <v>7836.4</v>
      </c>
    </row>
    <row r="61" customFormat="false" ht="15" hidden="false" customHeight="false" outlineLevel="0" collapsed="false">
      <c r="A61" s="18" t="s">
        <v>939</v>
      </c>
      <c r="F61" s="94" t="s">
        <v>786</v>
      </c>
      <c r="G61" s="94" t="s">
        <v>786</v>
      </c>
      <c r="H61" s="94" t="s">
        <v>786</v>
      </c>
      <c r="I61" s="94" t="s">
        <v>786</v>
      </c>
      <c r="J61" s="94" t="s">
        <v>786</v>
      </c>
      <c r="K61" s="94" t="s">
        <v>786</v>
      </c>
      <c r="L61" s="94" t="s">
        <v>786</v>
      </c>
      <c r="M61" s="47" t="s">
        <v>348</v>
      </c>
      <c r="N61" s="47" t="s">
        <v>348</v>
      </c>
      <c r="O61" s="47" t="s">
        <v>348</v>
      </c>
    </row>
    <row r="62" customFormat="false" ht="15" hidden="false" customHeight="false" outlineLevel="0" collapsed="false">
      <c r="A62" s="18" t="s">
        <v>940</v>
      </c>
    </row>
    <row r="63" customFormat="false" ht="15" hidden="false" customHeight="false" outlineLevel="0" collapsed="false">
      <c r="A63" s="18" t="s">
        <v>941</v>
      </c>
      <c r="F63" s="18" t="s">
        <v>989</v>
      </c>
      <c r="G63" s="18" t="s">
        <v>989</v>
      </c>
      <c r="H63" s="18" t="s">
        <v>989</v>
      </c>
      <c r="I63" s="18" t="s">
        <v>989</v>
      </c>
      <c r="J63" s="18" t="s">
        <v>989</v>
      </c>
      <c r="K63" s="18" t="s">
        <v>989</v>
      </c>
      <c r="L63" s="18" t="s">
        <v>989</v>
      </c>
      <c r="M63" s="18" t="s">
        <v>990</v>
      </c>
      <c r="N63" s="18" t="s">
        <v>990</v>
      </c>
      <c r="O63" s="18" t="s">
        <v>990</v>
      </c>
    </row>
    <row r="64" customFormat="false" ht="15" hidden="false" customHeight="false" outlineLevel="0" collapsed="false">
      <c r="A64" s="3" t="s">
        <v>952</v>
      </c>
      <c r="F64" s="93" t="n">
        <f aca="false">IF(F61="Not disclosed",F62,F60)</f>
        <v>0</v>
      </c>
      <c r="G64" s="93" t="n">
        <f aca="false">IF(G61="Not disclosed",G62,G60)</f>
        <v>0</v>
      </c>
      <c r="H64" s="93" t="n">
        <f aca="false">IF(H61="Not disclosed",H62,H60)</f>
        <v>0</v>
      </c>
      <c r="I64" s="93" t="n">
        <f aca="false">IF(I61="Not disclosed",I62,I60)</f>
        <v>0</v>
      </c>
      <c r="J64" s="93" t="n">
        <f aca="false">IF(J61="Not disclosed",J62,J60)</f>
        <v>0</v>
      </c>
      <c r="K64" s="93" t="n">
        <f aca="false">IF(K61="Not disclosed",K62,K60)</f>
        <v>0</v>
      </c>
      <c r="L64" s="93" t="n">
        <f aca="false">IF(L61="Not disclosed",L62,L60)</f>
        <v>0</v>
      </c>
      <c r="M64" s="93" t="n">
        <f aca="false">IF(M61="Not disclosed",M62,M60)</f>
        <v>2417.4</v>
      </c>
      <c r="N64" s="93" t="n">
        <f aca="false">IF(N61="Not disclosed",N62,N60)</f>
        <v>2427.9</v>
      </c>
      <c r="O64" s="93" t="n">
        <f aca="false">IF(O61="Not disclosed",O62,O60)</f>
        <v>7836.4</v>
      </c>
    </row>
    <row r="66" customFormat="false" ht="15" hidden="false" customHeight="false" outlineLevel="0" collapsed="false">
      <c r="A66" s="3" t="s">
        <v>991</v>
      </c>
      <c r="B66" s="0" t="s">
        <v>400</v>
      </c>
      <c r="C66" s="0" t="s">
        <v>389</v>
      </c>
      <c r="D66" s="91" t="s">
        <v>992</v>
      </c>
      <c r="F66" s="18" t="s">
        <v>955</v>
      </c>
      <c r="G66" s="18" t="s">
        <v>955</v>
      </c>
      <c r="H66" s="18" t="s">
        <v>955</v>
      </c>
      <c r="I66" s="18" t="s">
        <v>955</v>
      </c>
      <c r="J66" s="18" t="s">
        <v>955</v>
      </c>
      <c r="K66" s="18" t="s">
        <v>955</v>
      </c>
      <c r="L66" s="18" t="s">
        <v>955</v>
      </c>
      <c r="M66" s="92" t="n">
        <v>3772.9</v>
      </c>
      <c r="N66" s="92" t="n">
        <v>5548.7</v>
      </c>
      <c r="O66" s="92" t="n">
        <v>6313.1</v>
      </c>
    </row>
    <row r="67" customFormat="false" ht="15" hidden="false" customHeight="false" outlineLevel="0" collapsed="false">
      <c r="A67" s="18" t="s">
        <v>939</v>
      </c>
      <c r="F67" s="94" t="s">
        <v>786</v>
      </c>
      <c r="G67" s="94" t="s">
        <v>786</v>
      </c>
      <c r="H67" s="94" t="s">
        <v>786</v>
      </c>
      <c r="I67" s="94" t="s">
        <v>786</v>
      </c>
      <c r="J67" s="94" t="s">
        <v>786</v>
      </c>
      <c r="K67" s="94" t="s">
        <v>786</v>
      </c>
      <c r="L67" s="94" t="s">
        <v>786</v>
      </c>
      <c r="M67" s="47" t="s">
        <v>393</v>
      </c>
      <c r="N67" s="47" t="s">
        <v>393</v>
      </c>
      <c r="O67" s="47" t="s">
        <v>393</v>
      </c>
    </row>
    <row r="68" customFormat="false" ht="15" hidden="false" customHeight="false" outlineLevel="0" collapsed="false">
      <c r="A68" s="18" t="s">
        <v>940</v>
      </c>
    </row>
    <row r="69" customFormat="false" ht="15" hidden="false" customHeight="false" outlineLevel="0" collapsed="false">
      <c r="A69" s="18" t="s">
        <v>941</v>
      </c>
      <c r="F69" s="18" t="s">
        <v>786</v>
      </c>
      <c r="G69" s="18" t="s">
        <v>786</v>
      </c>
      <c r="H69" s="18" t="s">
        <v>786</v>
      </c>
      <c r="I69" s="18" t="s">
        <v>786</v>
      </c>
      <c r="J69" s="18" t="s">
        <v>786</v>
      </c>
      <c r="K69" s="18" t="s">
        <v>786</v>
      </c>
      <c r="L69" s="18" t="s">
        <v>786</v>
      </c>
      <c r="M69" s="18" t="s">
        <v>993</v>
      </c>
      <c r="N69" s="18" t="s">
        <v>993</v>
      </c>
      <c r="O69" s="18" t="s">
        <v>993</v>
      </c>
    </row>
    <row r="70" customFormat="false" ht="15" hidden="false" customHeight="false" outlineLevel="0" collapsed="false">
      <c r="A70" s="3" t="s">
        <v>952</v>
      </c>
      <c r="F70" s="93" t="n">
        <f aca="false">IF(F67="Not disclosed",F68,F66)</f>
        <v>0</v>
      </c>
      <c r="G70" s="93" t="n">
        <f aca="false">IF(G67="Not disclosed",G68,G66)</f>
        <v>0</v>
      </c>
      <c r="H70" s="93" t="n">
        <f aca="false">IF(H67="Not disclosed",H68,H66)</f>
        <v>0</v>
      </c>
      <c r="I70" s="93" t="n">
        <f aca="false">IF(I67="Not disclosed",I68,I66)</f>
        <v>0</v>
      </c>
      <c r="J70" s="93" t="n">
        <f aca="false">IF(J67="Not disclosed",J68,J66)</f>
        <v>0</v>
      </c>
      <c r="K70" s="93" t="n">
        <f aca="false">IF(K67="Not disclosed",K68,K66)</f>
        <v>0</v>
      </c>
      <c r="L70" s="93" t="n">
        <f aca="false">IF(L67="Not disclosed",L68,L66)</f>
        <v>0</v>
      </c>
      <c r="M70" s="93" t="n">
        <f aca="false">IF(M67="Not disclosed",M68,M66)</f>
        <v>3772.9</v>
      </c>
      <c r="N70" s="93" t="n">
        <f aca="false">IF(N67="Not disclosed",N68,N66)</f>
        <v>5548.7</v>
      </c>
      <c r="O70" s="93" t="n">
        <f aca="false">IF(O67="Not disclosed",O68,O66)</f>
        <v>6313.1</v>
      </c>
    </row>
    <row r="72" customFormat="false" ht="15" hidden="false" customHeight="false" outlineLevel="0" collapsed="false">
      <c r="A72" s="3" t="s">
        <v>994</v>
      </c>
      <c r="B72" s="0" t="s">
        <v>400</v>
      </c>
      <c r="C72" s="0" t="s">
        <v>389</v>
      </c>
      <c r="D72" s="91" t="s">
        <v>759</v>
      </c>
      <c r="F72" s="18" t="s">
        <v>955</v>
      </c>
      <c r="G72" s="18" t="s">
        <v>955</v>
      </c>
      <c r="H72" s="18" t="s">
        <v>955</v>
      </c>
      <c r="I72" s="18" t="s">
        <v>955</v>
      </c>
      <c r="J72" s="18" t="s">
        <v>955</v>
      </c>
      <c r="K72" s="18" t="s">
        <v>955</v>
      </c>
      <c r="L72" s="18" t="s">
        <v>955</v>
      </c>
      <c r="M72" s="92" t="n">
        <v>3123.6</v>
      </c>
      <c r="N72" s="92" t="n">
        <v>4692.7</v>
      </c>
      <c r="O72" s="92" t="n">
        <v>5197.7</v>
      </c>
    </row>
    <row r="73" customFormat="false" ht="15" hidden="false" customHeight="false" outlineLevel="0" collapsed="false">
      <c r="A73" s="18" t="s">
        <v>939</v>
      </c>
      <c r="F73" s="94" t="s">
        <v>786</v>
      </c>
      <c r="G73" s="94" t="s">
        <v>786</v>
      </c>
      <c r="H73" s="94" t="s">
        <v>786</v>
      </c>
      <c r="I73" s="94" t="s">
        <v>786</v>
      </c>
      <c r="J73" s="94" t="s">
        <v>786</v>
      </c>
      <c r="K73" s="94" t="s">
        <v>786</v>
      </c>
      <c r="L73" s="94" t="s">
        <v>786</v>
      </c>
      <c r="M73" s="47" t="s">
        <v>348</v>
      </c>
      <c r="N73" s="47" t="s">
        <v>348</v>
      </c>
      <c r="O73" s="47" t="s">
        <v>348</v>
      </c>
    </row>
    <row r="74" customFormat="false" ht="15" hidden="false" customHeight="false" outlineLevel="0" collapsed="false">
      <c r="A74" s="18" t="s">
        <v>940</v>
      </c>
    </row>
    <row r="75" customFormat="false" ht="15" hidden="false" customHeight="false" outlineLevel="0" collapsed="false">
      <c r="A75" s="18" t="s">
        <v>941</v>
      </c>
      <c r="F75" s="18" t="s">
        <v>786</v>
      </c>
      <c r="G75" s="18" t="s">
        <v>786</v>
      </c>
      <c r="H75" s="18" t="s">
        <v>786</v>
      </c>
      <c r="I75" s="18" t="s">
        <v>786</v>
      </c>
      <c r="J75" s="18" t="s">
        <v>786</v>
      </c>
      <c r="K75" s="18" t="s">
        <v>786</v>
      </c>
      <c r="L75" s="18" t="s">
        <v>786</v>
      </c>
      <c r="M75" s="18" t="s">
        <v>759</v>
      </c>
      <c r="N75" s="18" t="s">
        <v>759</v>
      </c>
      <c r="O75" s="18" t="s">
        <v>759</v>
      </c>
    </row>
    <row r="76" customFormat="false" ht="15" hidden="false" customHeight="false" outlineLevel="0" collapsed="false">
      <c r="A76" s="3" t="s">
        <v>952</v>
      </c>
      <c r="F76" s="93" t="n">
        <f aca="false">IF(F73="Not disclosed",F74,F72)</f>
        <v>0</v>
      </c>
      <c r="G76" s="93" t="n">
        <f aca="false">IF(G73="Not disclosed",G74,G72)</f>
        <v>0</v>
      </c>
      <c r="H76" s="93" t="n">
        <f aca="false">IF(H73="Not disclosed",H74,H72)</f>
        <v>0</v>
      </c>
      <c r="I76" s="93" t="n">
        <f aca="false">IF(I73="Not disclosed",I74,I72)</f>
        <v>0</v>
      </c>
      <c r="J76" s="93" t="n">
        <f aca="false">IF(J73="Not disclosed",J74,J72)</f>
        <v>0</v>
      </c>
      <c r="K76" s="93" t="n">
        <f aca="false">IF(K73="Not disclosed",K74,K72)</f>
        <v>0</v>
      </c>
      <c r="L76" s="93" t="n">
        <f aca="false">IF(L73="Not disclosed",L74,L72)</f>
        <v>0</v>
      </c>
      <c r="M76" s="93" t="n">
        <f aca="false">IF(M73="Not disclosed",M74,M72)</f>
        <v>3123.6</v>
      </c>
      <c r="N76" s="93" t="n">
        <f aca="false">IF(N73="Not disclosed",N74,N72)</f>
        <v>4692.7</v>
      </c>
      <c r="O76" s="93" t="n">
        <f aca="false">IF(O73="Not disclosed",O74,O72)</f>
        <v>5197.7</v>
      </c>
    </row>
    <row r="78" customFormat="false" ht="15" hidden="false" customHeight="false" outlineLevel="0" collapsed="false">
      <c r="A78" s="3" t="s">
        <v>995</v>
      </c>
      <c r="B78" s="0" t="s">
        <v>400</v>
      </c>
      <c r="C78" s="0" t="s">
        <v>389</v>
      </c>
      <c r="D78" s="91" t="s">
        <v>996</v>
      </c>
      <c r="F78" s="18" t="s">
        <v>955</v>
      </c>
      <c r="G78" s="18" t="s">
        <v>955</v>
      </c>
      <c r="H78" s="18" t="s">
        <v>955</v>
      </c>
      <c r="I78" s="18" t="s">
        <v>955</v>
      </c>
      <c r="J78" s="18" t="s">
        <v>955</v>
      </c>
      <c r="K78" s="18" t="s">
        <v>955</v>
      </c>
      <c r="L78" s="18" t="s">
        <v>955</v>
      </c>
      <c r="M78" s="18" t="s">
        <v>955</v>
      </c>
      <c r="N78" s="92" t="n">
        <v>208.8</v>
      </c>
      <c r="O78" s="92" t="n">
        <v>253.8</v>
      </c>
    </row>
    <row r="79" customFormat="false" ht="15" hidden="false" customHeight="false" outlineLevel="0" collapsed="false">
      <c r="A79" s="18" t="s">
        <v>939</v>
      </c>
      <c r="F79" s="94" t="s">
        <v>786</v>
      </c>
      <c r="G79" s="94" t="s">
        <v>786</v>
      </c>
      <c r="H79" s="94" t="s">
        <v>786</v>
      </c>
      <c r="I79" s="94" t="s">
        <v>786</v>
      </c>
      <c r="J79" s="94" t="s">
        <v>786</v>
      </c>
      <c r="K79" s="94" t="s">
        <v>786</v>
      </c>
      <c r="L79" s="94" t="s">
        <v>786</v>
      </c>
      <c r="M79" s="94" t="s">
        <v>786</v>
      </c>
      <c r="N79" s="47" t="s">
        <v>348</v>
      </c>
      <c r="O79" s="47" t="s">
        <v>348</v>
      </c>
    </row>
    <row r="80" customFormat="false" ht="15" hidden="false" customHeight="false" outlineLevel="0" collapsed="false">
      <c r="A80" s="18" t="s">
        <v>940</v>
      </c>
      <c r="F80" s="95" t="n">
        <v>8.9</v>
      </c>
      <c r="G80" s="95" t="n">
        <v>11.4</v>
      </c>
      <c r="H80" s="95" t="n">
        <v>23.5</v>
      </c>
      <c r="I80" s="95" t="n">
        <v>33.3</v>
      </c>
      <c r="J80" s="95" t="n">
        <v>49.1</v>
      </c>
      <c r="K80" s="95" t="n">
        <v>75.2</v>
      </c>
      <c r="L80" s="95" t="n">
        <v>99</v>
      </c>
      <c r="M80" s="95" t="n">
        <v>180.7</v>
      </c>
    </row>
    <row r="81" customFormat="false" ht="15" hidden="false" customHeight="false" outlineLevel="0" collapsed="false">
      <c r="A81" s="18" t="s">
        <v>941</v>
      </c>
      <c r="F81" s="18" t="s">
        <v>997</v>
      </c>
      <c r="G81" s="18" t="s">
        <v>997</v>
      </c>
      <c r="H81" s="18" t="s">
        <v>997</v>
      </c>
      <c r="I81" s="18" t="s">
        <v>997</v>
      </c>
      <c r="J81" s="18" t="s">
        <v>997</v>
      </c>
      <c r="K81" s="18" t="s">
        <v>997</v>
      </c>
      <c r="L81" s="18" t="s">
        <v>997</v>
      </c>
      <c r="M81" s="18" t="s">
        <v>997</v>
      </c>
      <c r="N81" s="18" t="s">
        <v>759</v>
      </c>
      <c r="O81" s="18" t="s">
        <v>759</v>
      </c>
    </row>
    <row r="82" customFormat="false" ht="15" hidden="false" customHeight="false" outlineLevel="0" collapsed="false">
      <c r="A82" s="3" t="s">
        <v>952</v>
      </c>
      <c r="F82" s="93" t="n">
        <f aca="false">IF(F79="Not disclosed",F80,F78)</f>
        <v>8.9</v>
      </c>
      <c r="G82" s="93" t="n">
        <f aca="false">IF(G79="Not disclosed",G80,G78)</f>
        <v>11.4</v>
      </c>
      <c r="H82" s="93" t="n">
        <f aca="false">IF(H79="Not disclosed",H80,H78)</f>
        <v>23.5</v>
      </c>
      <c r="I82" s="93" t="n">
        <f aca="false">IF(I79="Not disclosed",I80,I78)</f>
        <v>33.3</v>
      </c>
      <c r="J82" s="93" t="n">
        <f aca="false">IF(J79="Not disclosed",J80,J78)</f>
        <v>49.1</v>
      </c>
      <c r="K82" s="93" t="n">
        <f aca="false">IF(K79="Not disclosed",K80,K78)</f>
        <v>75.2</v>
      </c>
      <c r="L82" s="93" t="n">
        <f aca="false">IF(L79="Not disclosed",L80,L78)</f>
        <v>99</v>
      </c>
      <c r="M82" s="93" t="n">
        <f aca="false">IF(M79="Not disclosed",M80,M78)</f>
        <v>180.7</v>
      </c>
      <c r="N82" s="93" t="n">
        <f aca="false">IF(N79="Not disclosed",N80,N78)</f>
        <v>208.8</v>
      </c>
      <c r="O82" s="93" t="n">
        <f aca="false">IF(O79="Not disclosed",O80,O78)</f>
        <v>253.8</v>
      </c>
    </row>
    <row r="84" customFormat="false" ht="15" hidden="false" customHeight="false" outlineLevel="0" collapsed="false">
      <c r="A84" s="3" t="s">
        <v>998</v>
      </c>
      <c r="B84" s="0" t="s">
        <v>400</v>
      </c>
      <c r="C84" s="0" t="s">
        <v>389</v>
      </c>
      <c r="D84" s="91" t="s">
        <v>999</v>
      </c>
      <c r="F84" s="18" t="s">
        <v>955</v>
      </c>
      <c r="G84" s="18" t="s">
        <v>955</v>
      </c>
      <c r="H84" s="18" t="s">
        <v>955</v>
      </c>
      <c r="I84" s="18" t="s">
        <v>955</v>
      </c>
      <c r="J84" s="18" t="s">
        <v>955</v>
      </c>
      <c r="K84" s="18" t="s">
        <v>955</v>
      </c>
      <c r="L84" s="18" t="s">
        <v>955</v>
      </c>
      <c r="M84" s="18" t="s">
        <v>955</v>
      </c>
      <c r="N84" s="92" t="n">
        <v>15.7</v>
      </c>
      <c r="O84" s="92" t="n">
        <v>40.2</v>
      </c>
    </row>
    <row r="85" customFormat="false" ht="15" hidden="false" customHeight="false" outlineLevel="0" collapsed="false">
      <c r="A85" s="18" t="s">
        <v>939</v>
      </c>
      <c r="F85" s="94" t="s">
        <v>786</v>
      </c>
      <c r="G85" s="94" t="s">
        <v>786</v>
      </c>
      <c r="H85" s="94" t="s">
        <v>786</v>
      </c>
      <c r="I85" s="94" t="s">
        <v>786</v>
      </c>
      <c r="J85" s="94" t="s">
        <v>786</v>
      </c>
      <c r="K85" s="94" t="s">
        <v>786</v>
      </c>
      <c r="L85" s="94" t="s">
        <v>786</v>
      </c>
      <c r="M85" s="94" t="s">
        <v>786</v>
      </c>
      <c r="N85" s="47" t="s">
        <v>348</v>
      </c>
      <c r="O85" s="47" t="s">
        <v>348</v>
      </c>
    </row>
    <row r="86" customFormat="false" ht="15" hidden="false" customHeight="false" outlineLevel="0" collapsed="false">
      <c r="A86" s="18" t="s">
        <v>940</v>
      </c>
      <c r="F86" s="95" t="n">
        <v>0</v>
      </c>
      <c r="G86" s="95" t="n">
        <v>0</v>
      </c>
      <c r="H86" s="95" t="n">
        <v>0</v>
      </c>
      <c r="I86" s="95" t="n">
        <v>0</v>
      </c>
      <c r="J86" s="95" t="n">
        <v>0</v>
      </c>
      <c r="K86" s="95" t="n">
        <v>0</v>
      </c>
      <c r="L86" s="95" t="n">
        <v>0</v>
      </c>
      <c r="M86" s="95" t="n">
        <v>0</v>
      </c>
    </row>
    <row r="87" customFormat="false" ht="15" hidden="false" customHeight="false" outlineLevel="0" collapsed="false">
      <c r="A87" s="18" t="s">
        <v>941</v>
      </c>
      <c r="F87" s="18" t="s">
        <v>1000</v>
      </c>
      <c r="G87" s="18" t="s">
        <v>1000</v>
      </c>
      <c r="H87" s="18" t="s">
        <v>1000</v>
      </c>
      <c r="I87" s="18" t="s">
        <v>1000</v>
      </c>
      <c r="J87" s="18" t="s">
        <v>1000</v>
      </c>
      <c r="K87" s="18" t="s">
        <v>1000</v>
      </c>
      <c r="L87" s="18" t="s">
        <v>1000</v>
      </c>
      <c r="M87" s="18" t="s">
        <v>1000</v>
      </c>
      <c r="N87" s="18" t="s">
        <v>1001</v>
      </c>
      <c r="O87" s="18" t="s">
        <v>1001</v>
      </c>
    </row>
    <row r="88" customFormat="false" ht="15" hidden="false" customHeight="false" outlineLevel="0" collapsed="false">
      <c r="A88" s="3" t="s">
        <v>952</v>
      </c>
      <c r="F88" s="93" t="n">
        <f aca="false">IF(F85="Not disclosed",F86,F84)</f>
        <v>0</v>
      </c>
      <c r="G88" s="93" t="n">
        <f aca="false">IF(G85="Not disclosed",G86,G84)</f>
        <v>0</v>
      </c>
      <c r="H88" s="93" t="n">
        <f aca="false">IF(H85="Not disclosed",H86,H84)</f>
        <v>0</v>
      </c>
      <c r="I88" s="93" t="n">
        <f aca="false">IF(I85="Not disclosed",I86,I84)</f>
        <v>0</v>
      </c>
      <c r="J88" s="93" t="n">
        <f aca="false">IF(J85="Not disclosed",J86,J84)</f>
        <v>0</v>
      </c>
      <c r="K88" s="93" t="n">
        <f aca="false">IF(K85="Not disclosed",K86,K84)</f>
        <v>0</v>
      </c>
      <c r="L88" s="93" t="n">
        <f aca="false">IF(L85="Not disclosed",L86,L84)</f>
        <v>0</v>
      </c>
      <c r="M88" s="93" t="n">
        <f aca="false">IF(M85="Not disclosed",M86,M84)</f>
        <v>0</v>
      </c>
      <c r="N88" s="93" t="n">
        <f aca="false">IF(N85="Not disclosed",N86,N84)</f>
        <v>15.7</v>
      </c>
      <c r="O88" s="93" t="n">
        <f aca="false">IF(O85="Not disclosed",O86,O84)</f>
        <v>40.2</v>
      </c>
    </row>
    <row r="90" customFormat="false" ht="15" hidden="false" customHeight="false" outlineLevel="0" collapsed="false">
      <c r="A90" s="3" t="s">
        <v>1002</v>
      </c>
      <c r="B90" s="0" t="s">
        <v>400</v>
      </c>
      <c r="C90" s="0" t="s">
        <v>389</v>
      </c>
      <c r="D90" s="91" t="s">
        <v>1003</v>
      </c>
      <c r="F90" s="92" t="n">
        <v>-70.9</v>
      </c>
      <c r="G90" s="92" t="n">
        <v>-58.1</v>
      </c>
      <c r="H90" s="92" t="n">
        <v>-45.9</v>
      </c>
      <c r="I90" s="92" t="n">
        <v>-63.9</v>
      </c>
      <c r="J90" s="92" t="n">
        <v>-53.7</v>
      </c>
      <c r="K90" s="92" t="n">
        <v>-21</v>
      </c>
      <c r="L90" s="92" t="n">
        <v>-5.2</v>
      </c>
      <c r="M90" s="92" t="n">
        <v>15</v>
      </c>
      <c r="N90" s="92" t="n">
        <v>129.5</v>
      </c>
      <c r="O90" s="92" t="n">
        <v>236.2</v>
      </c>
    </row>
    <row r="91" customFormat="false" ht="15" hidden="false" customHeight="false" outlineLevel="0" collapsed="false">
      <c r="A91" s="18" t="s">
        <v>939</v>
      </c>
      <c r="F91" s="47" t="s">
        <v>348</v>
      </c>
      <c r="G91" s="47" t="s">
        <v>348</v>
      </c>
      <c r="H91" s="47" t="s">
        <v>348</v>
      </c>
      <c r="I91" s="47" t="s">
        <v>348</v>
      </c>
      <c r="J91" s="47" t="s">
        <v>348</v>
      </c>
      <c r="K91" s="47" t="s">
        <v>348</v>
      </c>
      <c r="L91" s="47" t="s">
        <v>348</v>
      </c>
      <c r="M91" s="47" t="s">
        <v>348</v>
      </c>
      <c r="N91" s="47" t="s">
        <v>348</v>
      </c>
      <c r="O91" s="47" t="s">
        <v>348</v>
      </c>
    </row>
    <row r="92" customFormat="false" ht="15" hidden="false" customHeight="false" outlineLevel="0" collapsed="false">
      <c r="A92" s="18" t="s">
        <v>940</v>
      </c>
    </row>
    <row r="93" customFormat="false" ht="15" hidden="false" customHeight="false" outlineLevel="0" collapsed="false">
      <c r="A93" s="18" t="s">
        <v>941</v>
      </c>
      <c r="F93" s="18" t="s">
        <v>942</v>
      </c>
      <c r="G93" s="18" t="s">
        <v>943</v>
      </c>
      <c r="H93" s="18" t="s">
        <v>944</v>
      </c>
      <c r="I93" s="18" t="s">
        <v>945</v>
      </c>
      <c r="J93" s="18" t="s">
        <v>946</v>
      </c>
      <c r="K93" s="18" t="s">
        <v>947</v>
      </c>
      <c r="L93" s="18" t="s">
        <v>948</v>
      </c>
      <c r="M93" s="18" t="s">
        <v>949</v>
      </c>
      <c r="N93" s="18" t="s">
        <v>950</v>
      </c>
      <c r="O93" s="18" t="s">
        <v>951</v>
      </c>
    </row>
    <row r="94" customFormat="false" ht="15" hidden="false" customHeight="false" outlineLevel="0" collapsed="false">
      <c r="A94" s="3" t="s">
        <v>952</v>
      </c>
      <c r="F94" s="93" t="n">
        <f aca="false">IF(F91="Not disclosed",F92,F90)</f>
        <v>-70.9</v>
      </c>
      <c r="G94" s="93" t="n">
        <f aca="false">IF(G91="Not disclosed",G92,G90)</f>
        <v>-58.1</v>
      </c>
      <c r="H94" s="93" t="n">
        <f aca="false">IF(H91="Not disclosed",H92,H90)</f>
        <v>-45.9</v>
      </c>
      <c r="I94" s="93" t="n">
        <f aca="false">IF(I91="Not disclosed",I92,I90)</f>
        <v>-63.9</v>
      </c>
      <c r="J94" s="93" t="n">
        <f aca="false">IF(J91="Not disclosed",J92,J90)</f>
        <v>-53.7</v>
      </c>
      <c r="K94" s="93" t="n">
        <f aca="false">IF(K91="Not disclosed",K92,K90)</f>
        <v>-21</v>
      </c>
      <c r="L94" s="93" t="n">
        <f aca="false">IF(L91="Not disclosed",L92,L90)</f>
        <v>-5.2</v>
      </c>
      <c r="M94" s="93" t="n">
        <f aca="false">IF(M91="Not disclosed",M92,M90)</f>
        <v>15</v>
      </c>
      <c r="N94" s="93" t="n">
        <f aca="false">IF(N91="Not disclosed",N92,N90)</f>
        <v>129.5</v>
      </c>
      <c r="O94" s="93" t="n">
        <f aca="false">IF(O91="Not disclosed",O92,O90)</f>
        <v>236.2</v>
      </c>
    </row>
    <row r="96" customFormat="false" ht="15" hidden="false" customHeight="false" outlineLevel="0" collapsed="false">
      <c r="A96" s="3" t="s">
        <v>1004</v>
      </c>
      <c r="B96" s="0" t="s">
        <v>400</v>
      </c>
      <c r="C96" s="0" t="s">
        <v>389</v>
      </c>
      <c r="D96" s="91" t="s">
        <v>1005</v>
      </c>
      <c r="F96" s="18" t="s">
        <v>955</v>
      </c>
      <c r="G96" s="18" t="s">
        <v>955</v>
      </c>
      <c r="H96" s="18" t="s">
        <v>955</v>
      </c>
      <c r="I96" s="92" t="n">
        <v>417.6</v>
      </c>
      <c r="J96" s="92" t="n">
        <v>544</v>
      </c>
      <c r="K96" s="92" t="n">
        <v>510.6</v>
      </c>
      <c r="L96" s="92" t="n">
        <v>955.5</v>
      </c>
      <c r="M96" s="92" t="n">
        <v>2056</v>
      </c>
      <c r="N96" s="92" t="n">
        <v>2472.9</v>
      </c>
      <c r="O96" s="92" t="n">
        <v>5657.4</v>
      </c>
    </row>
    <row r="97" customFormat="false" ht="15" hidden="false" customHeight="false" outlineLevel="0" collapsed="false">
      <c r="A97" s="18" t="s">
        <v>939</v>
      </c>
      <c r="F97" s="94" t="s">
        <v>786</v>
      </c>
      <c r="G97" s="94" t="s">
        <v>786</v>
      </c>
      <c r="H97" s="94" t="s">
        <v>786</v>
      </c>
      <c r="I97" s="47" t="s">
        <v>348</v>
      </c>
      <c r="J97" s="47" t="s">
        <v>348</v>
      </c>
      <c r="K97" s="47" t="s">
        <v>348</v>
      </c>
      <c r="L97" s="47" t="s">
        <v>348</v>
      </c>
      <c r="M97" s="47" t="s">
        <v>348</v>
      </c>
      <c r="N97" s="47" t="s">
        <v>393</v>
      </c>
      <c r="O97" s="47" t="s">
        <v>348</v>
      </c>
    </row>
    <row r="98" customFormat="false" ht="15" hidden="false" customHeight="false" outlineLevel="0" collapsed="false">
      <c r="A98" s="18" t="s">
        <v>940</v>
      </c>
      <c r="F98" s="95" t="n">
        <v>130</v>
      </c>
      <c r="G98" s="95" t="n">
        <v>130</v>
      </c>
      <c r="H98" s="95" t="n">
        <v>129.9</v>
      </c>
    </row>
    <row r="99" customFormat="false" ht="15" hidden="false" customHeight="false" outlineLevel="0" collapsed="false">
      <c r="A99" s="18" t="s">
        <v>941</v>
      </c>
      <c r="F99" s="18" t="s">
        <v>1006</v>
      </c>
      <c r="G99" s="18" t="s">
        <v>1006</v>
      </c>
      <c r="H99" s="18" t="s">
        <v>1006</v>
      </c>
      <c r="I99" s="18" t="s">
        <v>1007</v>
      </c>
      <c r="J99" s="18" t="s">
        <v>1008</v>
      </c>
      <c r="K99" s="18" t="s">
        <v>1009</v>
      </c>
      <c r="L99" s="18" t="s">
        <v>1010</v>
      </c>
      <c r="M99" s="18" t="s">
        <v>1011</v>
      </c>
      <c r="N99" s="18" t="s">
        <v>1012</v>
      </c>
      <c r="O99" s="18" t="s">
        <v>1013</v>
      </c>
    </row>
    <row r="100" customFormat="false" ht="15" hidden="false" customHeight="false" outlineLevel="0" collapsed="false">
      <c r="A100" s="3" t="s">
        <v>952</v>
      </c>
      <c r="F100" s="93" t="n">
        <f aca="false">IF(F97="Not disclosed",F98,F96)</f>
        <v>130</v>
      </c>
      <c r="G100" s="93" t="n">
        <f aca="false">IF(G97="Not disclosed",G98,G96)</f>
        <v>130</v>
      </c>
      <c r="H100" s="93" t="n">
        <f aca="false">IF(H97="Not disclosed",H98,H96)</f>
        <v>129.9</v>
      </c>
      <c r="I100" s="93" t="n">
        <f aca="false">IF(I97="Not disclosed",I98,I96)</f>
        <v>417.6</v>
      </c>
      <c r="J100" s="93" t="n">
        <f aca="false">IF(J97="Not disclosed",J98,J96)</f>
        <v>544</v>
      </c>
      <c r="K100" s="93" t="n">
        <f aca="false">IF(K97="Not disclosed",K98,K96)</f>
        <v>510.6</v>
      </c>
      <c r="L100" s="93" t="n">
        <f aca="false">IF(L97="Not disclosed",L98,L96)</f>
        <v>955.5</v>
      </c>
      <c r="M100" s="93" t="n">
        <f aca="false">IF(M97="Not disclosed",M98,M96)</f>
        <v>2056</v>
      </c>
      <c r="N100" s="93" t="n">
        <f aca="false">IF(N97="Not disclosed",N98,N96)</f>
        <v>2472.9</v>
      </c>
      <c r="O100" s="93" t="n">
        <f aca="false">IF(O97="Not disclosed",O98,O96)</f>
        <v>5657.4</v>
      </c>
    </row>
    <row r="102" customFormat="false" ht="15" hidden="false" customHeight="false" outlineLevel="0" collapsed="false">
      <c r="A102" s="3" t="s">
        <v>1014</v>
      </c>
      <c r="B102" s="0" t="s">
        <v>400</v>
      </c>
      <c r="C102" s="0" t="s">
        <v>389</v>
      </c>
      <c r="D102" s="91"/>
      <c r="F102" s="18" t="s">
        <v>955</v>
      </c>
      <c r="G102" s="18" t="s">
        <v>955</v>
      </c>
      <c r="H102" s="18" t="s">
        <v>955</v>
      </c>
      <c r="I102" s="92" t="n">
        <v>2434.7</v>
      </c>
      <c r="J102" s="92" t="n">
        <v>1447</v>
      </c>
      <c r="K102" s="92" t="n">
        <v>1679.3</v>
      </c>
      <c r="L102" s="92" t="n">
        <v>4794.8</v>
      </c>
      <c r="M102" s="92" t="n">
        <v>3678.1</v>
      </c>
      <c r="N102" s="92" t="n">
        <v>9298.2</v>
      </c>
      <c r="O102" s="92" t="n">
        <v>8042.1</v>
      </c>
    </row>
    <row r="103" customFormat="false" ht="15" hidden="false" customHeight="false" outlineLevel="0" collapsed="false">
      <c r="A103" s="18" t="s">
        <v>939</v>
      </c>
      <c r="F103" s="94" t="s">
        <v>786</v>
      </c>
      <c r="G103" s="94" t="s">
        <v>786</v>
      </c>
      <c r="H103" s="94" t="s">
        <v>786</v>
      </c>
      <c r="I103" s="47" t="s">
        <v>348</v>
      </c>
      <c r="J103" s="47" t="s">
        <v>348</v>
      </c>
      <c r="K103" s="47" t="s">
        <v>348</v>
      </c>
      <c r="L103" s="47" t="s">
        <v>348</v>
      </c>
      <c r="M103" s="47" t="s">
        <v>348</v>
      </c>
      <c r="N103" s="47" t="s">
        <v>348</v>
      </c>
      <c r="O103" s="47" t="s">
        <v>348</v>
      </c>
    </row>
    <row r="104" customFormat="false" ht="15" hidden="false" customHeight="false" outlineLevel="0" collapsed="false">
      <c r="A104" s="18" t="s">
        <v>940</v>
      </c>
      <c r="F104" s="75" t="n">
        <v>2288.2</v>
      </c>
      <c r="G104" s="75" t="n">
        <v>2288.2</v>
      </c>
      <c r="H104" s="95" t="n">
        <v>2288.2</v>
      </c>
    </row>
    <row r="105" customFormat="false" ht="15" hidden="false" customHeight="false" outlineLevel="0" collapsed="false">
      <c r="A105" s="18" t="s">
        <v>941</v>
      </c>
      <c r="F105" s="18" t="s">
        <v>1015</v>
      </c>
      <c r="G105" s="18" t="s">
        <v>1015</v>
      </c>
      <c r="H105" s="18" t="s">
        <v>1016</v>
      </c>
      <c r="I105" s="18" t="s">
        <v>945</v>
      </c>
      <c r="J105" s="18" t="s">
        <v>946</v>
      </c>
      <c r="K105" s="18" t="s">
        <v>947</v>
      </c>
      <c r="L105" s="18" t="s">
        <v>948</v>
      </c>
      <c r="M105" s="18" t="s">
        <v>949</v>
      </c>
      <c r="N105" s="18" t="s">
        <v>950</v>
      </c>
      <c r="O105" s="18" t="s">
        <v>951</v>
      </c>
    </row>
    <row r="106" customFormat="false" ht="15" hidden="false" customHeight="false" outlineLevel="0" collapsed="false">
      <c r="A106" s="3" t="s">
        <v>952</v>
      </c>
      <c r="F106" s="93" t="n">
        <f aca="false">IF(F103="Not disclosed",F104,F102)</f>
        <v>2288.2</v>
      </c>
      <c r="G106" s="93" t="n">
        <f aca="false">IF(G103="Not disclosed",G104,G102)</f>
        <v>2288.2</v>
      </c>
      <c r="H106" s="93" t="n">
        <f aca="false">IF(H103="Not disclosed",H104,H102)</f>
        <v>2288.2</v>
      </c>
      <c r="I106" s="93" t="n">
        <f aca="false">IF(I103="Not disclosed",I104,I102)</f>
        <v>2434.7</v>
      </c>
      <c r="J106" s="93" t="n">
        <f aca="false">IF(J103="Not disclosed",J104,J102)</f>
        <v>1447</v>
      </c>
      <c r="K106" s="93" t="n">
        <f aca="false">IF(K103="Not disclosed",K104,K102)</f>
        <v>1679.3</v>
      </c>
      <c r="L106" s="93" t="n">
        <f aca="false">IF(L103="Not disclosed",L104,L102)</f>
        <v>4794.8</v>
      </c>
      <c r="M106" s="93" t="n">
        <f aca="false">IF(M103="Not disclosed",M104,M102)</f>
        <v>3678.1</v>
      </c>
      <c r="N106" s="93" t="n">
        <f aca="false">IF(N103="Not disclosed",N104,N102)</f>
        <v>9298.2</v>
      </c>
      <c r="O106" s="93" t="n">
        <f aca="false">IF(O103="Not disclosed",O104,O102)</f>
        <v>8042.1</v>
      </c>
    </row>
    <row r="108" customFormat="false" ht="15" hidden="false" customHeight="false" outlineLevel="0" collapsed="false">
      <c r="A108" s="3" t="s">
        <v>1017</v>
      </c>
      <c r="B108" s="0" t="s">
        <v>781</v>
      </c>
      <c r="C108" s="0" t="s">
        <v>389</v>
      </c>
      <c r="D108" s="91"/>
      <c r="F108" s="18" t="s">
        <v>955</v>
      </c>
      <c r="G108" s="18" t="s">
        <v>955</v>
      </c>
      <c r="H108" s="96" t="n">
        <v>199.340118</v>
      </c>
      <c r="I108" s="96" t="n">
        <v>235.7536</v>
      </c>
      <c r="J108" s="96" t="n">
        <v>238.108831</v>
      </c>
      <c r="K108" s="96" t="n">
        <v>238.705092</v>
      </c>
      <c r="L108" s="96" t="n">
        <v>251.807222</v>
      </c>
      <c r="M108" s="96" t="n">
        <v>253.016971</v>
      </c>
      <c r="N108" s="96" t="n">
        <v>253.898194</v>
      </c>
      <c r="O108" s="96" t="n">
        <v>271.855218</v>
      </c>
    </row>
    <row r="109" customFormat="false" ht="15" hidden="false" customHeight="false" outlineLevel="0" collapsed="false">
      <c r="A109" s="18" t="s">
        <v>939</v>
      </c>
      <c r="F109" s="94" t="s">
        <v>786</v>
      </c>
      <c r="G109" s="94" t="s">
        <v>786</v>
      </c>
      <c r="H109" s="47" t="s">
        <v>348</v>
      </c>
      <c r="I109" s="47" t="s">
        <v>348</v>
      </c>
      <c r="J109" s="47" t="s">
        <v>348</v>
      </c>
      <c r="K109" s="47" t="s">
        <v>348</v>
      </c>
      <c r="L109" s="47" t="s">
        <v>348</v>
      </c>
      <c r="M109" s="47" t="s">
        <v>348</v>
      </c>
      <c r="N109" s="47" t="s">
        <v>348</v>
      </c>
      <c r="O109" s="47" t="s">
        <v>348</v>
      </c>
    </row>
    <row r="110" customFormat="false" ht="15" hidden="false" customHeight="false" outlineLevel="0" collapsed="false">
      <c r="A110" s="18" t="s">
        <v>940</v>
      </c>
      <c r="F110" s="97" t="n">
        <v>199.34</v>
      </c>
      <c r="G110" s="97" t="n">
        <v>199.34</v>
      </c>
    </row>
    <row r="111" customFormat="false" ht="15" hidden="false" customHeight="false" outlineLevel="0" collapsed="false">
      <c r="A111" s="18" t="s">
        <v>941</v>
      </c>
      <c r="F111" s="18" t="s">
        <v>1018</v>
      </c>
      <c r="G111" s="18" t="s">
        <v>1018</v>
      </c>
      <c r="H111" s="18" t="s">
        <v>944</v>
      </c>
      <c r="I111" s="18" t="s">
        <v>945</v>
      </c>
      <c r="J111" s="18" t="s">
        <v>946</v>
      </c>
      <c r="K111" s="18" t="s">
        <v>947</v>
      </c>
      <c r="L111" s="18" t="s">
        <v>948</v>
      </c>
      <c r="M111" s="18" t="s">
        <v>949</v>
      </c>
      <c r="N111" s="18" t="s">
        <v>950</v>
      </c>
      <c r="O111" s="18" t="s">
        <v>951</v>
      </c>
    </row>
    <row r="112" customFormat="false" ht="15" hidden="false" customHeight="false" outlineLevel="0" collapsed="false">
      <c r="A112" s="3" t="s">
        <v>952</v>
      </c>
      <c r="F112" s="98" t="n">
        <f aca="false">IF(F109="Not disclosed",F110,F108)</f>
        <v>199.34</v>
      </c>
      <c r="G112" s="98" t="n">
        <f aca="false">IF(G109="Not disclosed",G110,G108)</f>
        <v>199.34</v>
      </c>
      <c r="H112" s="98" t="n">
        <f aca="false">IF(H109="Not disclosed",H110,H108)</f>
        <v>199.340118</v>
      </c>
      <c r="I112" s="98" t="n">
        <f aca="false">IF(I109="Not disclosed",I110,I108)</f>
        <v>235.7536</v>
      </c>
      <c r="J112" s="98" t="n">
        <f aca="false">IF(J109="Not disclosed",J110,J108)</f>
        <v>238.108831</v>
      </c>
      <c r="K112" s="98" t="n">
        <f aca="false">IF(K109="Not disclosed",K110,K108)</f>
        <v>238.705092</v>
      </c>
      <c r="L112" s="98" t="n">
        <f aca="false">IF(L109="Not disclosed",L110,L108)</f>
        <v>251.807222</v>
      </c>
      <c r="M112" s="98" t="n">
        <f aca="false">IF(M109="Not disclosed",M110,M108)</f>
        <v>253.016971</v>
      </c>
      <c r="N112" s="98" t="n">
        <f aca="false">IF(N109="Not disclosed",N110,N108)</f>
        <v>253.898194</v>
      </c>
      <c r="O112" s="98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1019</v>
      </c>
      <c r="B114" s="0" t="s">
        <v>415</v>
      </c>
      <c r="C114" s="0" t="s">
        <v>354</v>
      </c>
      <c r="D114" s="91" t="s">
        <v>1020</v>
      </c>
      <c r="F114" s="18" t="s">
        <v>955</v>
      </c>
      <c r="G114" s="18" t="s">
        <v>955</v>
      </c>
      <c r="H114" s="18" t="s">
        <v>955</v>
      </c>
      <c r="I114" s="18" t="s">
        <v>955</v>
      </c>
      <c r="J114" s="18" t="s">
        <v>955</v>
      </c>
      <c r="K114" s="18" t="s">
        <v>955</v>
      </c>
      <c r="L114" s="18" t="s">
        <v>955</v>
      </c>
      <c r="M114" s="92" t="n">
        <v>170</v>
      </c>
      <c r="N114" s="18" t="s">
        <v>955</v>
      </c>
      <c r="O114" s="18" t="s">
        <v>955</v>
      </c>
    </row>
    <row r="115" customFormat="false" ht="15" hidden="false" customHeight="false" outlineLevel="0" collapsed="false">
      <c r="A115" s="18" t="s">
        <v>939</v>
      </c>
      <c r="F115" s="94" t="s">
        <v>786</v>
      </c>
      <c r="G115" s="94" t="s">
        <v>786</v>
      </c>
      <c r="H115" s="94" t="s">
        <v>786</v>
      </c>
      <c r="I115" s="94" t="s">
        <v>786</v>
      </c>
      <c r="J115" s="94" t="s">
        <v>786</v>
      </c>
      <c r="K115" s="94" t="s">
        <v>786</v>
      </c>
      <c r="L115" s="94" t="s">
        <v>786</v>
      </c>
      <c r="M115" s="47" t="s">
        <v>348</v>
      </c>
      <c r="N115" s="94" t="s">
        <v>786</v>
      </c>
      <c r="O115" s="94" t="s">
        <v>786</v>
      </c>
    </row>
    <row r="116" customFormat="false" ht="15" hidden="false" customHeight="false" outlineLevel="0" collapsed="false">
      <c r="A116" s="18" t="s">
        <v>940</v>
      </c>
      <c r="F116" s="95" t="n">
        <v>8.5</v>
      </c>
      <c r="G116" s="95" t="n">
        <v>10.8</v>
      </c>
      <c r="H116" s="95" t="n">
        <v>24</v>
      </c>
      <c r="I116" s="95" t="n">
        <v>26.3</v>
      </c>
      <c r="J116" s="95" t="n">
        <v>38</v>
      </c>
      <c r="K116" s="95" t="n">
        <v>78.5</v>
      </c>
      <c r="L116" s="95" t="n">
        <v>109.1</v>
      </c>
      <c r="N116" s="95" t="n">
        <v>291.7</v>
      </c>
      <c r="O116" s="95" t="n">
        <v>413.3</v>
      </c>
    </row>
    <row r="117" customFormat="false" ht="15" hidden="false" customHeight="false" outlineLevel="0" collapsed="false">
      <c r="A117" s="18" t="s">
        <v>941</v>
      </c>
      <c r="F117" s="18" t="s">
        <v>1021</v>
      </c>
      <c r="G117" s="18" t="s">
        <v>1021</v>
      </c>
      <c r="H117" s="18" t="s">
        <v>1021</v>
      </c>
      <c r="I117" s="18" t="s">
        <v>1021</v>
      </c>
      <c r="J117" s="18" t="s">
        <v>1021</v>
      </c>
      <c r="K117" s="18" t="s">
        <v>1021</v>
      </c>
      <c r="L117" s="18" t="s">
        <v>1021</v>
      </c>
      <c r="M117" s="18" t="s">
        <v>1022</v>
      </c>
      <c r="N117" s="18" t="s">
        <v>1023</v>
      </c>
      <c r="O117" s="18" t="s">
        <v>1023</v>
      </c>
    </row>
    <row r="118" customFormat="false" ht="15" hidden="false" customHeight="false" outlineLevel="0" collapsed="false">
      <c r="A118" s="3" t="s">
        <v>952</v>
      </c>
      <c r="F118" s="93" t="n">
        <f aca="false">IF(F115="Not disclosed",F116,F114)</f>
        <v>8.5</v>
      </c>
      <c r="G118" s="93" t="n">
        <f aca="false">IF(G115="Not disclosed",G116,G114)</f>
        <v>10.8</v>
      </c>
      <c r="H118" s="93" t="n">
        <f aca="false">IF(H115="Not disclosed",H116,H114)</f>
        <v>24</v>
      </c>
      <c r="I118" s="93" t="n">
        <f aca="false">IF(I115="Not disclosed",I116,I114)</f>
        <v>26.3</v>
      </c>
      <c r="J118" s="93" t="n">
        <f aca="false">IF(J115="Not disclosed",J116,J114)</f>
        <v>38</v>
      </c>
      <c r="K118" s="93" t="n">
        <f aca="false">IF(K115="Not disclosed",K116,K114)</f>
        <v>78.5</v>
      </c>
      <c r="L118" s="93" t="n">
        <f aca="false">IF(L115="Not disclosed",L116,L114)</f>
        <v>109.1</v>
      </c>
      <c r="M118" s="93" t="n">
        <f aca="false">IF(M115="Not disclosed",M116,M114)</f>
        <v>170</v>
      </c>
      <c r="N118" s="93" t="n">
        <f aca="false">IF(N115="Not disclosed",N116,N114)</f>
        <v>291.7</v>
      </c>
      <c r="O118" s="93" t="n">
        <f aca="false">IF(O115="Not disclosed",O116,O114)</f>
        <v>413.3</v>
      </c>
    </row>
    <row r="120" customFormat="false" ht="15" hidden="false" customHeight="false" outlineLevel="0" collapsed="false">
      <c r="A120" s="3" t="s">
        <v>1024</v>
      </c>
      <c r="B120" s="0" t="s">
        <v>415</v>
      </c>
      <c r="C120" s="0" t="s">
        <v>680</v>
      </c>
      <c r="D120" s="91" t="s">
        <v>1025</v>
      </c>
      <c r="F120" s="18" t="s">
        <v>955</v>
      </c>
      <c r="G120" s="18" t="s">
        <v>955</v>
      </c>
      <c r="H120" s="18" t="s">
        <v>955</v>
      </c>
      <c r="I120" s="18" t="s">
        <v>955</v>
      </c>
      <c r="J120" s="18" t="s">
        <v>955</v>
      </c>
      <c r="K120" s="18" t="s">
        <v>955</v>
      </c>
      <c r="L120" s="18" t="s">
        <v>955</v>
      </c>
      <c r="M120" s="92" t="n">
        <v>2000</v>
      </c>
      <c r="N120" s="18" t="s">
        <v>955</v>
      </c>
      <c r="O120" s="92" t="n">
        <v>3500</v>
      </c>
    </row>
    <row r="121" customFormat="false" ht="15" hidden="false" customHeight="false" outlineLevel="0" collapsed="false">
      <c r="A121" s="18" t="s">
        <v>939</v>
      </c>
      <c r="F121" s="94" t="s">
        <v>786</v>
      </c>
      <c r="G121" s="94" t="s">
        <v>786</v>
      </c>
      <c r="H121" s="94" t="s">
        <v>786</v>
      </c>
      <c r="I121" s="94" t="s">
        <v>786</v>
      </c>
      <c r="J121" s="94" t="s">
        <v>786</v>
      </c>
      <c r="K121" s="94" t="s">
        <v>786</v>
      </c>
      <c r="L121" s="94" t="s">
        <v>786</v>
      </c>
      <c r="M121" s="47" t="s">
        <v>348</v>
      </c>
      <c r="N121" s="94" t="s">
        <v>786</v>
      </c>
      <c r="O121" s="47" t="s">
        <v>348</v>
      </c>
    </row>
    <row r="122" customFormat="false" ht="15" hidden="false" customHeight="false" outlineLevel="0" collapsed="false">
      <c r="A122" s="18" t="s">
        <v>940</v>
      </c>
      <c r="F122" s="60" t="n">
        <v>0</v>
      </c>
      <c r="G122" s="60" t="n">
        <v>0</v>
      </c>
      <c r="H122" s="60" t="n">
        <v>0</v>
      </c>
      <c r="I122" s="60" t="n">
        <v>0</v>
      </c>
      <c r="J122" s="60" t="n">
        <v>0</v>
      </c>
      <c r="K122" s="60" t="n">
        <v>0</v>
      </c>
      <c r="L122" s="60" t="n">
        <v>0</v>
      </c>
      <c r="N122" s="95" t="n">
        <v>2750</v>
      </c>
    </row>
    <row r="123" customFormat="false" ht="15" hidden="false" customHeight="false" outlineLevel="0" collapsed="false">
      <c r="A123" s="18" t="s">
        <v>941</v>
      </c>
      <c r="F123" s="18" t="s">
        <v>1026</v>
      </c>
      <c r="G123" s="18" t="s">
        <v>1026</v>
      </c>
      <c r="H123" s="18" t="s">
        <v>1026</v>
      </c>
      <c r="I123" s="18" t="s">
        <v>1026</v>
      </c>
      <c r="J123" s="18" t="s">
        <v>1026</v>
      </c>
      <c r="K123" s="18" t="s">
        <v>1026</v>
      </c>
      <c r="L123" s="18" t="s">
        <v>1026</v>
      </c>
      <c r="M123" s="18" t="s">
        <v>1027</v>
      </c>
      <c r="N123" s="18" t="s">
        <v>1028</v>
      </c>
      <c r="O123" s="18" t="s">
        <v>1029</v>
      </c>
    </row>
    <row r="124" customFormat="false" ht="15" hidden="false" customHeight="false" outlineLevel="0" collapsed="false">
      <c r="A124" s="3" t="s">
        <v>952</v>
      </c>
      <c r="F124" s="93" t="n">
        <f aca="false">IF(F121="Not disclosed",F122,F120)</f>
        <v>0</v>
      </c>
      <c r="G124" s="93" t="n">
        <f aca="false">IF(G121="Not disclosed",G122,G120)</f>
        <v>0</v>
      </c>
      <c r="H124" s="93" t="n">
        <f aca="false">IF(H121="Not disclosed",H122,H120)</f>
        <v>0</v>
      </c>
      <c r="I124" s="93" t="n">
        <f aca="false">IF(I121="Not disclosed",I122,I120)</f>
        <v>0</v>
      </c>
      <c r="J124" s="93" t="n">
        <f aca="false">IF(J121="Not disclosed",J122,J120)</f>
        <v>0</v>
      </c>
      <c r="K124" s="93" t="n">
        <f aca="false">IF(K121="Not disclosed",K122,K120)</f>
        <v>0</v>
      </c>
      <c r="L124" s="93" t="n">
        <f aca="false">IF(L121="Not disclosed",L122,L120)</f>
        <v>0</v>
      </c>
      <c r="M124" s="93" t="n">
        <f aca="false">IF(M121="Not disclosed",M122,M120)</f>
        <v>2000</v>
      </c>
      <c r="N124" s="93" t="n">
        <f aca="false">IF(N121="Not disclosed",N122,N120)</f>
        <v>2750</v>
      </c>
      <c r="O124" s="93" t="n">
        <f aca="false">IF(O121="Not disclosed",O122,O120)</f>
        <v>3500</v>
      </c>
    </row>
    <row r="126" customFormat="false" ht="15" hidden="false" customHeight="false" outlineLevel="0" collapsed="false">
      <c r="A126" s="3" t="s">
        <v>1030</v>
      </c>
      <c r="B126" s="0" t="s">
        <v>400</v>
      </c>
      <c r="C126" s="0" t="s">
        <v>389</v>
      </c>
      <c r="D126" s="91" t="s">
        <v>1031</v>
      </c>
      <c r="F126" s="18" t="s">
        <v>955</v>
      </c>
      <c r="G126" s="18" t="s">
        <v>955</v>
      </c>
      <c r="H126" s="18" t="s">
        <v>955</v>
      </c>
      <c r="I126" s="18" t="s">
        <v>955</v>
      </c>
      <c r="J126" s="18" t="s">
        <v>955</v>
      </c>
      <c r="K126" s="18" t="s">
        <v>955</v>
      </c>
      <c r="L126" s="18" t="s">
        <v>955</v>
      </c>
      <c r="M126" s="64" t="n">
        <v>1578</v>
      </c>
      <c r="N126" s="64" t="n">
        <v>4778</v>
      </c>
      <c r="O126" s="64" t="n">
        <v>5975</v>
      </c>
    </row>
    <row r="127" customFormat="false" ht="15" hidden="false" customHeight="false" outlineLevel="0" collapsed="false">
      <c r="A127" s="18" t="s">
        <v>939</v>
      </c>
      <c r="F127" s="94" t="s">
        <v>786</v>
      </c>
      <c r="G127" s="94" t="s">
        <v>786</v>
      </c>
      <c r="H127" s="94" t="s">
        <v>786</v>
      </c>
      <c r="I127" s="94" t="s">
        <v>786</v>
      </c>
      <c r="J127" s="94" t="s">
        <v>786</v>
      </c>
      <c r="K127" s="94" t="s">
        <v>786</v>
      </c>
      <c r="L127" s="94" t="s">
        <v>786</v>
      </c>
      <c r="M127" s="47" t="s">
        <v>348</v>
      </c>
      <c r="N127" s="47" t="s">
        <v>348</v>
      </c>
      <c r="O127" s="47" t="s">
        <v>348</v>
      </c>
    </row>
    <row r="128" customFormat="false" ht="15" hidden="false" customHeight="false" outlineLevel="0" collapsed="false">
      <c r="A128" s="18" t="s">
        <v>940</v>
      </c>
      <c r="F128" s="60" t="n">
        <v>0</v>
      </c>
      <c r="G128" s="60" t="n">
        <v>0</v>
      </c>
      <c r="H128" s="60" t="n">
        <v>0</v>
      </c>
      <c r="I128" s="60" t="n">
        <v>0</v>
      </c>
      <c r="J128" s="60" t="n">
        <v>0</v>
      </c>
      <c r="K128" s="60" t="n">
        <v>0</v>
      </c>
      <c r="L128" s="60" t="n">
        <v>0</v>
      </c>
    </row>
    <row r="129" customFormat="false" ht="15" hidden="false" customHeight="false" outlineLevel="0" collapsed="false">
      <c r="A129" s="18" t="s">
        <v>941</v>
      </c>
      <c r="F129" s="18" t="s">
        <v>1032</v>
      </c>
      <c r="G129" s="18" t="s">
        <v>1032</v>
      </c>
      <c r="H129" s="18" t="s">
        <v>1032</v>
      </c>
      <c r="I129" s="18" t="s">
        <v>1032</v>
      </c>
      <c r="J129" s="18" t="s">
        <v>1032</v>
      </c>
      <c r="K129" s="18" t="s">
        <v>1032</v>
      </c>
      <c r="L129" s="18" t="s">
        <v>1032</v>
      </c>
      <c r="M129" s="18" t="s">
        <v>1033</v>
      </c>
      <c r="N129" s="18" t="s">
        <v>1034</v>
      </c>
      <c r="O129" s="18" t="s">
        <v>1035</v>
      </c>
    </row>
    <row r="130" customFormat="false" ht="15" hidden="false" customHeight="false" outlineLevel="0" collapsed="false">
      <c r="A130" s="3" t="s">
        <v>952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1036</v>
      </c>
      <c r="B132" s="0" t="s">
        <v>400</v>
      </c>
      <c r="C132" s="0" t="s">
        <v>389</v>
      </c>
      <c r="D132" s="91" t="s">
        <v>1037</v>
      </c>
      <c r="F132" s="18" t="s">
        <v>955</v>
      </c>
      <c r="G132" s="18" t="s">
        <v>955</v>
      </c>
      <c r="H132" s="18" t="s">
        <v>955</v>
      </c>
      <c r="I132" s="18" t="s">
        <v>955</v>
      </c>
      <c r="J132" s="18" t="s">
        <v>955</v>
      </c>
      <c r="K132" s="18" t="s">
        <v>955</v>
      </c>
      <c r="L132" s="18" t="s">
        <v>955</v>
      </c>
      <c r="M132" s="64" t="n">
        <v>21300</v>
      </c>
      <c r="N132" s="64" t="n">
        <v>33600</v>
      </c>
      <c r="O132" s="64" t="n">
        <v>37490.6</v>
      </c>
    </row>
    <row r="133" customFormat="false" ht="15" hidden="false" customHeight="false" outlineLevel="0" collapsed="false">
      <c r="A133" s="18" t="s">
        <v>939</v>
      </c>
      <c r="F133" s="94" t="s">
        <v>786</v>
      </c>
      <c r="G133" s="94" t="s">
        <v>786</v>
      </c>
      <c r="H133" s="94" t="s">
        <v>786</v>
      </c>
      <c r="I133" s="94" t="s">
        <v>786</v>
      </c>
      <c r="J133" s="94" t="s">
        <v>786</v>
      </c>
      <c r="K133" s="94" t="s">
        <v>786</v>
      </c>
      <c r="L133" s="94" t="s">
        <v>786</v>
      </c>
      <c r="M133" s="47" t="s">
        <v>348</v>
      </c>
      <c r="N133" s="47" t="s">
        <v>348</v>
      </c>
      <c r="O133" s="47" t="s">
        <v>348</v>
      </c>
    </row>
    <row r="134" customFormat="false" ht="15" hidden="false" customHeight="false" outlineLevel="0" collapsed="false">
      <c r="A134" s="18" t="s">
        <v>940</v>
      </c>
    </row>
    <row r="135" customFormat="false" ht="15" hidden="false" customHeight="false" outlineLevel="0" collapsed="false">
      <c r="A135" s="18" t="s">
        <v>941</v>
      </c>
      <c r="F135" s="18" t="s">
        <v>1038</v>
      </c>
      <c r="G135" s="18" t="s">
        <v>1038</v>
      </c>
      <c r="H135" s="18" t="s">
        <v>1038</v>
      </c>
      <c r="I135" s="18" t="s">
        <v>1038</v>
      </c>
      <c r="J135" s="18" t="s">
        <v>1038</v>
      </c>
      <c r="K135" s="18" t="s">
        <v>1038</v>
      </c>
      <c r="L135" s="18" t="s">
        <v>1038</v>
      </c>
      <c r="M135" s="18" t="s">
        <v>1039</v>
      </c>
      <c r="N135" s="18" t="s">
        <v>1034</v>
      </c>
      <c r="O135" s="18" t="s">
        <v>1040</v>
      </c>
    </row>
    <row r="136" customFormat="false" ht="15" hidden="false" customHeight="false" outlineLevel="0" collapsed="false">
      <c r="A136" s="3" t="s">
        <v>952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1041</v>
      </c>
    </row>
    <row r="2" customFormat="false" ht="15" hidden="false" customHeight="false" outlineLevel="0" collapsed="false">
      <c r="A2" s="18" t="s">
        <v>1042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1051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3" t="s">
        <v>1052</v>
      </c>
      <c r="B11" s="3" t="s">
        <v>1053</v>
      </c>
      <c r="C11" s="3" t="s">
        <v>1054</v>
      </c>
      <c r="D11" s="3" t="s">
        <v>1055</v>
      </c>
      <c r="E11" s="3" t="s">
        <v>1056</v>
      </c>
      <c r="F11" s="3" t="s">
        <v>1057</v>
      </c>
      <c r="G11" s="3" t="s">
        <v>1058</v>
      </c>
      <c r="H11" s="3" t="s">
        <v>1059</v>
      </c>
      <c r="I11" s="3" t="s">
        <v>1060</v>
      </c>
      <c r="J11" s="3" t="s">
        <v>1061</v>
      </c>
      <c r="K11" s="3" t="s">
        <v>1062</v>
      </c>
      <c r="L11" s="3" t="s">
        <v>1063</v>
      </c>
      <c r="M11" s="3" t="s">
        <v>1064</v>
      </c>
      <c r="N11" s="3" t="s">
        <v>1065</v>
      </c>
      <c r="O11" s="3" t="s">
        <v>1066</v>
      </c>
      <c r="P11" s="3" t="s">
        <v>1067</v>
      </c>
    </row>
    <row r="12" customFormat="false" ht="15" hidden="false" customHeight="false" outlineLevel="0" collapsed="false">
      <c r="A12" s="0" t="s">
        <v>1068</v>
      </c>
      <c r="B12" s="100" t="s">
        <v>1069</v>
      </c>
      <c r="C12" s="100" t="s">
        <v>1070</v>
      </c>
      <c r="D12" s="18" t="s">
        <v>1071</v>
      </c>
      <c r="E12" s="100" t="s">
        <v>1072</v>
      </c>
      <c r="F12" s="20" t="n">
        <f aca="false">IF(C12="Facility",1/PUE,1)</f>
        <v>1</v>
      </c>
      <c r="G12" s="29" t="n">
        <f aca="false">IF(B12="Owned",1,0)</f>
        <v>0</v>
      </c>
      <c r="H12" s="67" t="n">
        <v>8</v>
      </c>
      <c r="I12" s="67" t="n">
        <v>8</v>
      </c>
      <c r="J12" s="67" t="n">
        <v>8</v>
      </c>
      <c r="K12" s="34" t="str">
        <f aca="false">IF(N(CHOOSE(Scen,H12,I12,J12))=0,"n/a",INDEX(Q_Lab,1,CHOOSE(Scen,H12,I12,J12)))</f>
        <v>Q4'25</v>
      </c>
      <c r="L12" s="94"/>
      <c r="M12" s="18" t="s">
        <v>1073</v>
      </c>
      <c r="N12" s="100" t="s">
        <v>1074</v>
      </c>
      <c r="O12" s="35" t="n">
        <f aca="false">IF(B12="Owned",IF(N12="GB300 NVL72",CPM_Own_GB300,IF(N12="Vera Rubin NVL72",CPM_Own_VR,IF(N12="GB200 NVL72",CPM_Own_GB200,CPM_Own_Other))),IF(N12="GB300 NVL72",CPM_Lease_GB300,IF(N12="Vera Rubin NVL72",CPM_Lease_VR,CPM_Lease)))</f>
        <v>41</v>
      </c>
      <c r="P12" s="20" t="n">
        <f aca="false">IF(B12="Owned",CPM_SP,0)</f>
        <v>0</v>
      </c>
    </row>
    <row r="13" customFormat="false" ht="15" hidden="false" customHeight="false" outlineLevel="0" collapsed="false">
      <c r="A13" s="0" t="s">
        <v>1075</v>
      </c>
      <c r="B13" s="100" t="s">
        <v>1076</v>
      </c>
      <c r="C13" s="100" t="s">
        <v>1077</v>
      </c>
      <c r="D13" s="18" t="s">
        <v>1078</v>
      </c>
      <c r="E13" s="100" t="s">
        <v>1079</v>
      </c>
      <c r="F13" s="20" t="n">
        <f aca="false">IF(C13="Facility",1/PUE,1)</f>
        <v>0.8</v>
      </c>
      <c r="G13" s="29" t="n">
        <f aca="false">IF(B13="Owned",1,0)</f>
        <v>1</v>
      </c>
      <c r="H13" s="67" t="n">
        <v>15</v>
      </c>
      <c r="I13" s="67" t="n">
        <v>15</v>
      </c>
      <c r="J13" s="67" t="n">
        <v>16</v>
      </c>
      <c r="K13" s="34" t="str">
        <f aca="false">IF(N(CHOOSE(Scen,H13,I13,J13))=0,"n/a",INDEX(Q_Lab,1,CHOOSE(Scen,H13,I13,J13)))</f>
        <v>Q3'27</v>
      </c>
      <c r="L13" s="94"/>
      <c r="M13" s="18" t="s">
        <v>1073</v>
      </c>
      <c r="N13" s="100" t="s">
        <v>1080</v>
      </c>
      <c r="O13" s="35" t="n">
        <f aca="false">IF(B13="Owned",IF(N13="GB300 NVL72",CPM_Own_GB300,IF(N13="Vera Rubin NVL72",CPM_Own_VR,IF(N13="GB200 NVL72",CPM_Own_GB200,CPM_Own_Other))),IF(N13="GB300 NVL72",CPM_Lease_GB300,IF(N13="Vera Rubin NVL72",CPM_Lease_VR,CPM_Lease)))</f>
        <v>43</v>
      </c>
      <c r="P13" s="20" t="n">
        <f aca="false">IF(B13="Owned",CPM_SP,0)</f>
        <v>11.25</v>
      </c>
    </row>
    <row r="14" customFormat="false" ht="15" hidden="false" customHeight="false" outlineLevel="0" collapsed="false">
      <c r="A14" s="0" t="s">
        <v>1081</v>
      </c>
      <c r="B14" s="100" t="s">
        <v>1076</v>
      </c>
      <c r="C14" s="100" t="s">
        <v>1077</v>
      </c>
      <c r="D14" s="18" t="s">
        <v>1078</v>
      </c>
      <c r="E14" s="100" t="s">
        <v>1072</v>
      </c>
      <c r="F14" s="20" t="n">
        <f aca="false">IF(C14="Facility",1/PUE,1)</f>
        <v>0.8</v>
      </c>
      <c r="G14" s="29" t="n">
        <f aca="false">IF(B14="Owned",1,0)</f>
        <v>1</v>
      </c>
      <c r="H14" s="67" t="n">
        <v>16</v>
      </c>
      <c r="I14" s="67" t="n">
        <v>16</v>
      </c>
      <c r="J14" s="67" t="n">
        <v>20</v>
      </c>
      <c r="K14" s="34" t="str">
        <f aca="false">IF(N(CHOOSE(Scen,H14,I14,J14))=0,"n/a",INDEX(Q_Lab,1,CHOOSE(Scen,H14,I14,J14)))</f>
        <v>Q4'27</v>
      </c>
      <c r="L14" s="94"/>
      <c r="M14" s="18" t="s">
        <v>1073</v>
      </c>
      <c r="N14" s="100" t="s">
        <v>1080</v>
      </c>
      <c r="O14" s="35" t="n">
        <f aca="false">IF(B14="Owned",IF(N14="GB300 NVL72",CPM_Own_GB300,IF(N14="Vera Rubin NVL72",CPM_Own_VR,IF(N14="GB200 NVL72",CPM_Own_GB200,CPM_Own_Other))),IF(N14="GB300 NVL72",CPM_Lease_GB300,IF(N14="Vera Rubin NVL72",CPM_Lease_VR,CPM_Lease)))</f>
        <v>43</v>
      </c>
      <c r="P14" s="20" t="n">
        <f aca="false">IF(B14="Owned",CPM_SP,0)</f>
        <v>11.25</v>
      </c>
    </row>
    <row r="15" customFormat="false" ht="15" hidden="false" customHeight="false" outlineLevel="0" collapsed="false">
      <c r="A15" s="0" t="s">
        <v>1082</v>
      </c>
      <c r="B15" s="100" t="s">
        <v>1076</v>
      </c>
      <c r="C15" s="100" t="s">
        <v>1077</v>
      </c>
      <c r="D15" s="18" t="s">
        <v>1078</v>
      </c>
      <c r="E15" s="100" t="s">
        <v>1083</v>
      </c>
      <c r="F15" s="20" t="n">
        <f aca="false">IF(C15="Facility",1/PUE,1)</f>
        <v>0.8</v>
      </c>
      <c r="G15" s="29" t="n">
        <f aca="false">IF(B15="Owned",1,0)</f>
        <v>1</v>
      </c>
      <c r="H15" s="67" t="n">
        <v>13</v>
      </c>
      <c r="I15" s="67" t="n">
        <v>13</v>
      </c>
      <c r="J15" s="67" t="n">
        <v>15</v>
      </c>
      <c r="K15" s="34" t="str">
        <f aca="false">IF(N(CHOOSE(Scen,H15,I15,J15))=0,"n/a",INDEX(Q_Lab,1,CHOOSE(Scen,H15,I15,J15)))</f>
        <v>Q1'27</v>
      </c>
      <c r="L15" s="94"/>
      <c r="M15" s="18" t="s">
        <v>1073</v>
      </c>
      <c r="N15" s="100" t="s">
        <v>1080</v>
      </c>
      <c r="O15" s="35" t="n">
        <f aca="false">IF(B15="Owned",IF(N15="GB300 NVL72",CPM_Own_GB300,IF(N15="Vera Rubin NVL72",CPM_Own_VR,IF(N15="GB200 NVL72",CPM_Own_GB200,CPM_Own_Other))),IF(N15="GB300 NVL72",CPM_Lease_GB300,IF(N15="Vera Rubin NVL72",CPM_Lease_VR,CPM_Lease)))</f>
        <v>43</v>
      </c>
      <c r="P15" s="20" t="n">
        <f aca="false">IF(B15="Owned",CPM_SP,0)</f>
        <v>11.25</v>
      </c>
    </row>
    <row r="16" customFormat="false" ht="15" hidden="false" customHeight="false" outlineLevel="0" collapsed="false">
      <c r="A16" s="0" t="s">
        <v>1084</v>
      </c>
      <c r="B16" s="100" t="s">
        <v>1085</v>
      </c>
      <c r="C16" s="100" t="s">
        <v>1077</v>
      </c>
      <c r="D16" s="18" t="s">
        <v>1086</v>
      </c>
      <c r="E16" s="100" t="s">
        <v>1083</v>
      </c>
      <c r="F16" s="20" t="n">
        <f aca="false">IF(C16="Facility",1/PUE,1)</f>
        <v>0.8</v>
      </c>
      <c r="G16" s="29" t="n">
        <f aca="false">IF(B16="Owned",1,0)</f>
        <v>0</v>
      </c>
      <c r="H16" s="67" t="n">
        <v>12</v>
      </c>
      <c r="I16" s="67" t="n">
        <v>12</v>
      </c>
      <c r="J16" s="67" t="n">
        <v>13</v>
      </c>
      <c r="K16" s="34" t="str">
        <f aca="false">IF(N(CHOOSE(Scen,H16,I16,J16))=0,"n/a",INDEX(Q_Lab,1,CHOOSE(Scen,H16,I16,J16)))</f>
        <v>Q4'26</v>
      </c>
      <c r="L16" s="94"/>
      <c r="M16" s="18" t="s">
        <v>1073</v>
      </c>
      <c r="N16" s="100" t="s">
        <v>1074</v>
      </c>
      <c r="O16" s="35" t="n">
        <f aca="false">IF(B16="Owned",IF(N16="GB300 NVL72",CPM_Own_GB300,IF(N16="Vera Rubin NVL72",CPM_Own_VR,IF(N16="GB200 NVL72",CPM_Own_GB200,CPM_Own_Other))),IF(N16="GB300 NVL72",CPM_Lease_GB300,IF(N16="Vera Rubin NVL72",CPM_Lease_VR,CPM_Lease)))</f>
        <v>41</v>
      </c>
      <c r="P16" s="20" t="n">
        <f aca="false">IF(B16="Owned",CPM_SP,0)</f>
        <v>0</v>
      </c>
    </row>
    <row r="17" customFormat="false" ht="15" hidden="false" customHeight="false" outlineLevel="0" collapsed="false">
      <c r="A17" s="0" t="s">
        <v>1087</v>
      </c>
      <c r="B17" s="100" t="s">
        <v>1076</v>
      </c>
      <c r="C17" s="100" t="s">
        <v>1077</v>
      </c>
      <c r="D17" s="18" t="s">
        <v>1078</v>
      </c>
      <c r="E17" s="100" t="s">
        <v>1079</v>
      </c>
      <c r="F17" s="20" t="n">
        <f aca="false">IF(C17="Facility",1/PUE,1)</f>
        <v>0.8</v>
      </c>
      <c r="G17" s="29" t="n">
        <f aca="false">IF(B17="Owned",1,0)</f>
        <v>1</v>
      </c>
      <c r="H17" s="67" t="n">
        <v>14</v>
      </c>
      <c r="I17" s="67" t="n">
        <v>14</v>
      </c>
      <c r="J17" s="67" t="n">
        <v>16</v>
      </c>
      <c r="K17" s="34" t="str">
        <f aca="false">IF(N(CHOOSE(Scen,H17,I17,J17))=0,"n/a",INDEX(Q_Lab,1,CHOOSE(Scen,H17,I17,J17)))</f>
        <v>Q2'27</v>
      </c>
      <c r="L17" s="94"/>
      <c r="M17" s="18" t="s">
        <v>1073</v>
      </c>
      <c r="N17" s="100" t="s">
        <v>1080</v>
      </c>
      <c r="O17" s="35" t="n">
        <f aca="false">IF(B17="Owned",IF(N17="GB300 NVL72",CPM_Own_GB300,IF(N17="Vera Rubin NVL72",CPM_Own_VR,IF(N17="GB200 NVL72",CPM_Own_GB200,CPM_Own_Other))),IF(N17="GB300 NVL72",CPM_Lease_GB300,IF(N17="Vera Rubin NVL72",CPM_Lease_VR,CPM_Lease)))</f>
        <v>43</v>
      </c>
      <c r="P17" s="20" t="n">
        <f aca="false">IF(B17="Owned",CPM_SP,0)</f>
        <v>11.25</v>
      </c>
    </row>
    <row r="18" customFormat="false" ht="15" hidden="false" customHeight="false" outlineLevel="0" collapsed="false">
      <c r="A18" s="0" t="s">
        <v>1088</v>
      </c>
      <c r="B18" s="100" t="s">
        <v>1076</v>
      </c>
      <c r="C18" s="100" t="s">
        <v>1070</v>
      </c>
      <c r="D18" s="18" t="s">
        <v>1078</v>
      </c>
      <c r="E18" s="100" t="s">
        <v>1079</v>
      </c>
      <c r="F18" s="20" t="n">
        <f aca="false">IF(C18="Facility",1/PUE,1)</f>
        <v>1</v>
      </c>
      <c r="G18" s="29" t="n">
        <f aca="false">IF(B18="Owned",1,0)</f>
        <v>1</v>
      </c>
      <c r="H18" s="67" t="n">
        <v>1</v>
      </c>
      <c r="I18" s="67" t="n">
        <v>1</v>
      </c>
      <c r="J18" s="67" t="n">
        <v>1</v>
      </c>
      <c r="K18" s="34" t="str">
        <f aca="false">IF(N(CHOOSE(Scen,H18,I18,J18))=0,"n/a",INDEX(Q_Lab,1,CHOOSE(Scen,H18,I18,J18)))</f>
        <v>Q1'24</v>
      </c>
      <c r="L18" s="94"/>
      <c r="M18" s="18" t="s">
        <v>1073</v>
      </c>
      <c r="N18" s="100" t="s">
        <v>1074</v>
      </c>
      <c r="O18" s="35" t="n">
        <f aca="false">IF(B18="Owned",IF(N18="GB300 NVL72",CPM_Own_GB300,IF(N18="Vera Rubin NVL72",CPM_Own_VR,IF(N18="GB200 NVL72",CPM_Own_GB200,CPM_Own_Other))),IF(N18="GB300 NVL72",CPM_Lease_GB300,IF(N18="Vera Rubin NVL72",CPM_Lease_VR,CPM_Lease)))</f>
        <v>53</v>
      </c>
      <c r="P18" s="20" t="n">
        <f aca="false">IF(B18="Owned",CPM_SP,0)</f>
        <v>11.25</v>
      </c>
    </row>
    <row r="19" customFormat="false" ht="15" hidden="false" customHeight="false" outlineLevel="0" collapsed="false">
      <c r="A19" s="0" t="s">
        <v>1089</v>
      </c>
      <c r="B19" s="100" t="s">
        <v>1076</v>
      </c>
      <c r="C19" s="100" t="s">
        <v>1077</v>
      </c>
      <c r="D19" s="18" t="s">
        <v>1078</v>
      </c>
      <c r="E19" s="100" t="s">
        <v>1083</v>
      </c>
      <c r="F19" s="20" t="n">
        <f aca="false">IF(C19="Facility",1/PUE,1)</f>
        <v>0.8</v>
      </c>
      <c r="G19" s="29" t="n">
        <f aca="false">IF(B19="Owned",1,0)</f>
        <v>1</v>
      </c>
      <c r="H19" s="67" t="n">
        <v>16</v>
      </c>
      <c r="I19" s="67" t="n">
        <v>16</v>
      </c>
      <c r="J19" s="67" t="n">
        <v>17</v>
      </c>
      <c r="K19" s="34" t="str">
        <f aca="false">IF(N(CHOOSE(Scen,H19,I19,J19))=0,"n/a",INDEX(Q_Lab,1,CHOOSE(Scen,H19,I19,J19)))</f>
        <v>Q4'27</v>
      </c>
      <c r="L19" s="94"/>
      <c r="M19" s="18" t="s">
        <v>1073</v>
      </c>
      <c r="N19" s="100" t="s">
        <v>1080</v>
      </c>
      <c r="O19" s="35" t="n">
        <f aca="false">IF(B19="Owned",IF(N19="GB300 NVL72",CPM_Own_GB300,IF(N19="Vera Rubin NVL72",CPM_Own_VR,IF(N19="GB200 NVL72",CPM_Own_GB200,CPM_Own_Other))),IF(N19="GB300 NVL72",CPM_Lease_GB300,IF(N19="Vera Rubin NVL72",CPM_Lease_VR,CPM_Lease)))</f>
        <v>43</v>
      </c>
      <c r="P19" s="20" t="n">
        <f aca="false">IF(B19="Owned",CPM_SP,0)</f>
        <v>11.25</v>
      </c>
    </row>
    <row r="20" customFormat="false" ht="15" hidden="false" customHeight="false" outlineLevel="0" collapsed="false">
      <c r="A20" s="0" t="s">
        <v>1090</v>
      </c>
      <c r="B20" s="100" t="s">
        <v>1085</v>
      </c>
      <c r="C20" s="100" t="s">
        <v>1070</v>
      </c>
      <c r="D20" s="18" t="s">
        <v>1078</v>
      </c>
      <c r="E20" s="100" t="s">
        <v>1079</v>
      </c>
      <c r="F20" s="20" t="n">
        <f aca="false">IF(C20="Facility",1/PUE,1)</f>
        <v>1</v>
      </c>
      <c r="G20" s="29" t="n">
        <f aca="false">IF(B20="Owned",1,0)</f>
        <v>0</v>
      </c>
      <c r="H20" s="67" t="n">
        <v>6</v>
      </c>
      <c r="I20" s="67" t="n">
        <v>6</v>
      </c>
      <c r="J20" s="67" t="n">
        <v>6</v>
      </c>
      <c r="K20" s="34" t="str">
        <f aca="false">IF(N(CHOOSE(Scen,H20,I20,J20))=0,"n/a",INDEX(Q_Lab,1,CHOOSE(Scen,H20,I20,J20)))</f>
        <v>Q2'25</v>
      </c>
      <c r="L20" s="94"/>
      <c r="M20" s="18" t="s">
        <v>1073</v>
      </c>
      <c r="N20" s="100" t="s">
        <v>1091</v>
      </c>
      <c r="O20" s="35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0" t="n">
        <f aca="false">IF(B20="Owned",CPM_SP,0)</f>
        <v>0</v>
      </c>
    </row>
    <row r="21" customFormat="false" ht="15" hidden="false" customHeight="false" outlineLevel="0" collapsed="false">
      <c r="A21" s="0" t="s">
        <v>1092</v>
      </c>
      <c r="B21" s="100" t="s">
        <v>1085</v>
      </c>
      <c r="C21" s="100" t="s">
        <v>1070</v>
      </c>
      <c r="D21" s="18" t="s">
        <v>1078</v>
      </c>
      <c r="E21" s="100" t="s">
        <v>1079</v>
      </c>
      <c r="F21" s="20" t="n">
        <f aca="false">IF(C21="Facility",1/PUE,1)</f>
        <v>1</v>
      </c>
      <c r="G21" s="29" t="n">
        <f aca="false">IF(B21="Owned",1,0)</f>
        <v>0</v>
      </c>
      <c r="H21" s="67" t="n">
        <v>4</v>
      </c>
      <c r="I21" s="67" t="n">
        <v>4</v>
      </c>
      <c r="J21" s="67" t="n">
        <v>4</v>
      </c>
      <c r="K21" s="34" t="str">
        <f aca="false">IF(N(CHOOSE(Scen,H21,I21,J21))=0,"n/a",INDEX(Q_Lab,1,CHOOSE(Scen,H21,I21,J21)))</f>
        <v>Q4'24</v>
      </c>
      <c r="L21" s="94"/>
      <c r="M21" s="18" t="s">
        <v>1073</v>
      </c>
      <c r="N21" s="100" t="s">
        <v>1093</v>
      </c>
      <c r="O21" s="35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0" t="n">
        <f aca="false">IF(B21="Owned",CPM_SP,0)</f>
        <v>0</v>
      </c>
    </row>
    <row r="22" customFormat="false" ht="15" hidden="false" customHeight="false" outlineLevel="0" collapsed="false">
      <c r="A22" s="0" t="s">
        <v>1094</v>
      </c>
      <c r="B22" s="100" t="s">
        <v>1085</v>
      </c>
      <c r="C22" s="100" t="s">
        <v>1070</v>
      </c>
      <c r="D22" s="18" t="s">
        <v>1078</v>
      </c>
      <c r="E22" s="100" t="s">
        <v>1079</v>
      </c>
      <c r="F22" s="20" t="n">
        <f aca="false">IF(C22="Facility",1/PUE,1)</f>
        <v>1</v>
      </c>
      <c r="G22" s="29" t="n">
        <f aca="false">IF(B22="Owned",1,0)</f>
        <v>0</v>
      </c>
      <c r="H22" s="67" t="n">
        <v>5</v>
      </c>
      <c r="I22" s="67" t="n">
        <v>5</v>
      </c>
      <c r="J22" s="67" t="n">
        <v>5</v>
      </c>
      <c r="K22" s="34" t="str">
        <f aca="false">IF(N(CHOOSE(Scen,H22,I22,J22))=0,"n/a",INDEX(Q_Lab,1,CHOOSE(Scen,H22,I22,J22)))</f>
        <v>Q1'25</v>
      </c>
      <c r="L22" s="94"/>
      <c r="M22" s="18" t="s">
        <v>1073</v>
      </c>
      <c r="N22" s="100" t="s">
        <v>1093</v>
      </c>
      <c r="O22" s="35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0" t="n">
        <f aca="false">IF(B22="Owned",CPM_SP,0)</f>
        <v>0</v>
      </c>
    </row>
    <row r="23" customFormat="false" ht="15" hidden="false" customHeight="false" outlineLevel="0" collapsed="false">
      <c r="A23" s="0" t="s">
        <v>1095</v>
      </c>
      <c r="B23" s="100" t="s">
        <v>1085</v>
      </c>
      <c r="C23" s="100" t="s">
        <v>1070</v>
      </c>
      <c r="D23" s="18" t="s">
        <v>1078</v>
      </c>
      <c r="E23" s="100" t="s">
        <v>1079</v>
      </c>
      <c r="F23" s="20" t="n">
        <f aca="false">IF(C23="Facility",1/PUE,1)</f>
        <v>1</v>
      </c>
      <c r="G23" s="29" t="n">
        <f aca="false">IF(B23="Owned",1,0)</f>
        <v>0</v>
      </c>
      <c r="H23" s="67" t="n">
        <v>8</v>
      </c>
      <c r="I23" s="67" t="n">
        <v>8</v>
      </c>
      <c r="J23" s="67" t="n">
        <v>8</v>
      </c>
      <c r="K23" s="34" t="str">
        <f aca="false">IF(N(CHOOSE(Scen,H23,I23,J23))=0,"n/a",INDEX(Q_Lab,1,CHOOSE(Scen,H23,I23,J23)))</f>
        <v>Q4'25</v>
      </c>
      <c r="L23" s="94"/>
      <c r="M23" s="18" t="s">
        <v>1073</v>
      </c>
      <c r="N23" s="100" t="s">
        <v>1096</v>
      </c>
      <c r="O23" s="35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0" t="n">
        <f aca="false">IF(B23="Owned",CPM_SP,0)</f>
        <v>0</v>
      </c>
    </row>
    <row r="24" customFormat="false" ht="15" hidden="false" customHeight="false" outlineLevel="0" collapsed="false">
      <c r="A24" s="0" t="s">
        <v>1097</v>
      </c>
      <c r="B24" s="100" t="s">
        <v>1085</v>
      </c>
      <c r="C24" s="100" t="s">
        <v>1070</v>
      </c>
      <c r="D24" s="18" t="s">
        <v>1078</v>
      </c>
      <c r="E24" s="100" t="s">
        <v>1083</v>
      </c>
      <c r="F24" s="20" t="n">
        <f aca="false">IF(C24="Facility",1/PUE,1)</f>
        <v>1</v>
      </c>
      <c r="G24" s="29" t="n">
        <f aca="false">IF(B24="Owned",1,0)</f>
        <v>0</v>
      </c>
      <c r="H24" s="67" t="n">
        <v>12</v>
      </c>
      <c r="I24" s="67" t="n">
        <v>12</v>
      </c>
      <c r="J24" s="67" t="n">
        <v>13</v>
      </c>
      <c r="K24" s="34" t="str">
        <f aca="false">IF(N(CHOOSE(Scen,H24,I24,J24))=0,"n/a",INDEX(Q_Lab,1,CHOOSE(Scen,H24,I24,J24)))</f>
        <v>Q4'26</v>
      </c>
      <c r="L24" s="94"/>
      <c r="M24" s="18" t="s">
        <v>1073</v>
      </c>
      <c r="N24" s="100" t="s">
        <v>1096</v>
      </c>
      <c r="O24" s="35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0" t="n">
        <f aca="false">IF(B24="Owned",CPM_SP,0)</f>
        <v>0</v>
      </c>
    </row>
    <row r="25" customFormat="false" ht="15" hidden="false" customHeight="false" outlineLevel="0" collapsed="false">
      <c r="A25" s="0" t="s">
        <v>1098</v>
      </c>
      <c r="B25" s="100" t="s">
        <v>1085</v>
      </c>
      <c r="C25" s="100" t="s">
        <v>1070</v>
      </c>
      <c r="D25" s="18" t="s">
        <v>1078</v>
      </c>
      <c r="E25" s="100" t="s">
        <v>1072</v>
      </c>
      <c r="F25" s="20" t="n">
        <f aca="false">IF(C25="Facility",1/PUE,1)</f>
        <v>1</v>
      </c>
      <c r="G25" s="29" t="n">
        <f aca="false">IF(B25="Owned",1,0)</f>
        <v>0</v>
      </c>
      <c r="H25" s="67"/>
      <c r="I25" s="67"/>
      <c r="J25" s="67"/>
      <c r="K25" s="34" t="str">
        <f aca="false">IF(N(CHOOSE(Scen,H25,I25,J25))=0,"n/a",INDEX(Q_Lab,1,CHOOSE(Scen,H25,I25,J25)))</f>
        <v>n/a</v>
      </c>
      <c r="L25" s="94"/>
      <c r="M25" s="18" t="s">
        <v>1073</v>
      </c>
      <c r="N25" s="100" t="s">
        <v>1099</v>
      </c>
      <c r="O25" s="35" t="n">
        <f aca="false">IF(B25="Owned",IF(N25="GB300 NVL72",CPM_Own_GB300,IF(N25="Vera Rubin NVL72",CPM_Own_VR,IF(N25="GB200 NVL72",CPM_Own_GB200,CPM_Own_Other))),IF(N25="GB300 NVL72",CPM_Lease_GB300,IF(N25="Vera Rubin NVL72",CPM_Lease_VR,CPM_Lease)))</f>
        <v>30</v>
      </c>
      <c r="P25" s="20" t="n">
        <f aca="false">IF(B25="Owned",CPM_SP,0)</f>
        <v>0</v>
      </c>
    </row>
    <row r="26" customFormat="false" ht="15" hidden="false" customHeight="false" outlineLevel="0" collapsed="false">
      <c r="A26" s="0" t="s">
        <v>1100</v>
      </c>
      <c r="B26" s="100" t="s">
        <v>1085</v>
      </c>
      <c r="C26" s="100" t="s">
        <v>1070</v>
      </c>
      <c r="D26" s="18" t="s">
        <v>1101</v>
      </c>
      <c r="E26" s="100" t="s">
        <v>1079</v>
      </c>
      <c r="F26" s="20" t="n">
        <f aca="false">IF(C26="Facility",1/PUE,1)</f>
        <v>1</v>
      </c>
      <c r="G26" s="29" t="n">
        <f aca="false">IF(B26="Owned",1,0)</f>
        <v>0</v>
      </c>
      <c r="H26" s="67" t="n">
        <v>8</v>
      </c>
      <c r="I26" s="67" t="n">
        <v>8</v>
      </c>
      <c r="J26" s="67" t="n">
        <v>8</v>
      </c>
      <c r="K26" s="34" t="str">
        <f aca="false">IF(N(CHOOSE(Scen,H26,I26,J26))=0,"n/a",INDEX(Q_Lab,1,CHOOSE(Scen,H26,I26,J26)))</f>
        <v>Q4'25</v>
      </c>
      <c r="L26" s="94"/>
      <c r="M26" s="18" t="s">
        <v>1073</v>
      </c>
      <c r="N26" s="100" t="s">
        <v>1091</v>
      </c>
      <c r="O26" s="35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0" t="n">
        <f aca="false">IF(B26="Owned",CPM_SP,0)</f>
        <v>0</v>
      </c>
    </row>
    <row r="27" customFormat="false" ht="15" hidden="false" customHeight="false" outlineLevel="0" collapsed="false">
      <c r="A27" s="0" t="s">
        <v>1102</v>
      </c>
      <c r="B27" s="100" t="s">
        <v>1085</v>
      </c>
      <c r="C27" s="100" t="s">
        <v>1077</v>
      </c>
      <c r="D27" s="18" t="s">
        <v>1078</v>
      </c>
      <c r="E27" s="100" t="s">
        <v>1083</v>
      </c>
      <c r="F27" s="20" t="n">
        <f aca="false">IF(C27="Facility",1/PUE,1)</f>
        <v>0.8</v>
      </c>
      <c r="G27" s="29" t="n">
        <f aca="false">IF(B27="Owned",1,0)</f>
        <v>0</v>
      </c>
      <c r="H27" s="67" t="n">
        <v>12</v>
      </c>
      <c r="I27" s="67" t="n">
        <v>12</v>
      </c>
      <c r="J27" s="67" t="n">
        <v>13</v>
      </c>
      <c r="K27" s="34" t="str">
        <f aca="false">IF(N(CHOOSE(Scen,H27,I27,J27))=0,"n/a",INDEX(Q_Lab,1,CHOOSE(Scen,H27,I27,J27)))</f>
        <v>Q4'26</v>
      </c>
      <c r="L27" s="94"/>
      <c r="M27" s="18" t="s">
        <v>1073</v>
      </c>
      <c r="N27" s="100" t="s">
        <v>1074</v>
      </c>
      <c r="O27" s="35" t="n">
        <f aca="false">IF(B27="Owned",IF(N27="GB300 NVL72",CPM_Own_GB300,IF(N27="Vera Rubin NVL72",CPM_Own_VR,IF(N27="GB200 NVL72",CPM_Own_GB200,CPM_Own_Other))),IF(N27="GB300 NVL72",CPM_Lease_GB300,IF(N27="Vera Rubin NVL72",CPM_Lease_VR,CPM_Lease)))</f>
        <v>41</v>
      </c>
      <c r="P27" s="20" t="n">
        <f aca="false">IF(B27="Owned",CPM_SP,0)</f>
        <v>0</v>
      </c>
    </row>
    <row r="28" customFormat="false" ht="15" hidden="false" customHeight="false" outlineLevel="0" collapsed="false">
      <c r="A28" s="0" t="s">
        <v>1103</v>
      </c>
      <c r="B28" s="100" t="s">
        <v>1085</v>
      </c>
      <c r="C28" s="100" t="s">
        <v>1077</v>
      </c>
      <c r="D28" s="18" t="s">
        <v>1078</v>
      </c>
      <c r="E28" s="100" t="s">
        <v>1083</v>
      </c>
      <c r="F28" s="20" t="n">
        <f aca="false">IF(C28="Facility",1/PUE,1)</f>
        <v>0.8</v>
      </c>
      <c r="G28" s="29" t="n">
        <f aca="false">IF(B28="Owned",1,0)</f>
        <v>0</v>
      </c>
      <c r="H28" s="67" t="n">
        <v>12</v>
      </c>
      <c r="I28" s="67" t="n">
        <v>12</v>
      </c>
      <c r="J28" s="67" t="n">
        <v>13</v>
      </c>
      <c r="K28" s="34" t="str">
        <f aca="false">IF(N(CHOOSE(Scen,H28,I28,J28))=0,"n/a",INDEX(Q_Lab,1,CHOOSE(Scen,H28,I28,J28)))</f>
        <v>Q4'26</v>
      </c>
      <c r="L28" s="94"/>
      <c r="M28" s="18" t="s">
        <v>1073</v>
      </c>
      <c r="N28" s="100" t="s">
        <v>1074</v>
      </c>
      <c r="O28" s="35" t="n">
        <f aca="false">IF(B28="Owned",IF(N28="GB300 NVL72",CPM_Own_GB300,IF(N28="Vera Rubin NVL72",CPM_Own_VR,IF(N28="GB200 NVL72",CPM_Own_GB200,CPM_Own_Other))),IF(N28="GB300 NVL72",CPM_Lease_GB300,IF(N28="Vera Rubin NVL72",CPM_Lease_VR,CPM_Lease)))</f>
        <v>41</v>
      </c>
      <c r="P28" s="20" t="n">
        <f aca="false">IF(B28="Owned",CPM_SP,0)</f>
        <v>0</v>
      </c>
    </row>
    <row r="29" customFormat="false" ht="15" hidden="false" customHeight="false" outlineLevel="0" collapsed="false">
      <c r="A29" s="0" t="s">
        <v>1104</v>
      </c>
      <c r="B29" s="100" t="s">
        <v>1085</v>
      </c>
      <c r="C29" s="100" t="s">
        <v>1070</v>
      </c>
      <c r="D29" s="18" t="s">
        <v>1078</v>
      </c>
      <c r="E29" s="100" t="s">
        <v>1079</v>
      </c>
      <c r="F29" s="20" t="n">
        <f aca="false">IF(C29="Facility",1/PUE,1)</f>
        <v>1</v>
      </c>
      <c r="G29" s="29" t="n">
        <f aca="false">IF(B29="Owned",1,0)</f>
        <v>0</v>
      </c>
      <c r="H29" s="67" t="n">
        <v>11</v>
      </c>
      <c r="I29" s="67" t="n">
        <v>11</v>
      </c>
      <c r="J29" s="67" t="n">
        <v>11</v>
      </c>
      <c r="K29" s="34" t="str">
        <f aca="false">IF(N(CHOOSE(Scen,H29,I29,J29))=0,"n/a",INDEX(Q_Lab,1,CHOOSE(Scen,H29,I29,J29)))</f>
        <v>Q3'26</v>
      </c>
      <c r="L29" s="94"/>
      <c r="M29" s="18" t="s">
        <v>1073</v>
      </c>
      <c r="N29" s="100" t="s">
        <v>1096</v>
      </c>
      <c r="O29" s="35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0" t="n">
        <f aca="false">IF(B29="Owned",CPM_SP,0)</f>
        <v>0</v>
      </c>
    </row>
    <row r="30" customFormat="false" ht="15" hidden="false" customHeight="false" outlineLevel="0" collapsed="false">
      <c r="A30" s="0" t="s">
        <v>1105</v>
      </c>
      <c r="B30" s="100" t="s">
        <v>1085</v>
      </c>
      <c r="C30" s="100" t="s">
        <v>1070</v>
      </c>
      <c r="D30" s="18" t="s">
        <v>1078</v>
      </c>
      <c r="E30" s="100" t="s">
        <v>1083</v>
      </c>
      <c r="F30" s="20" t="n">
        <f aca="false">IF(C30="Facility",1/PUE,1)</f>
        <v>1</v>
      </c>
      <c r="G30" s="29" t="n">
        <f aca="false">IF(B30="Owned",1,0)</f>
        <v>0</v>
      </c>
      <c r="H30" s="67" t="n">
        <v>12</v>
      </c>
      <c r="I30" s="67" t="n">
        <v>12</v>
      </c>
      <c r="J30" s="67" t="n">
        <v>13</v>
      </c>
      <c r="K30" s="34" t="str">
        <f aca="false">IF(N(CHOOSE(Scen,H30,I30,J30))=0,"n/a",INDEX(Q_Lab,1,CHOOSE(Scen,H30,I30,J30)))</f>
        <v>Q4'26</v>
      </c>
      <c r="L30" s="94"/>
      <c r="M30" s="18" t="s">
        <v>1073</v>
      </c>
      <c r="N30" s="100" t="s">
        <v>1074</v>
      </c>
      <c r="O30" s="35" t="n">
        <f aca="false">IF(B30="Owned",IF(N30="GB300 NVL72",CPM_Own_GB300,IF(N30="Vera Rubin NVL72",CPM_Own_VR,IF(N30="GB200 NVL72",CPM_Own_GB200,CPM_Own_Other))),IF(N30="GB300 NVL72",CPM_Lease_GB300,IF(N30="Vera Rubin NVL72",CPM_Lease_VR,CPM_Lease)))</f>
        <v>41</v>
      </c>
      <c r="P30" s="20" t="n">
        <f aca="false">IF(B30="Owned",CPM_SP,0)</f>
        <v>0</v>
      </c>
    </row>
    <row r="31" customFormat="false" ht="15" hidden="false" customHeight="false" outlineLevel="0" collapsed="false">
      <c r="A31" s="0" t="s">
        <v>1106</v>
      </c>
      <c r="B31" s="100" t="s">
        <v>1085</v>
      </c>
      <c r="C31" s="100" t="s">
        <v>1070</v>
      </c>
      <c r="D31" s="18" t="s">
        <v>1107</v>
      </c>
      <c r="E31" s="100" t="s">
        <v>1083</v>
      </c>
      <c r="F31" s="20" t="n">
        <f aca="false">IF(C31="Facility",1/PUE,1)</f>
        <v>1</v>
      </c>
      <c r="G31" s="29" t="n">
        <f aca="false">IF(B31="Owned",1,0)</f>
        <v>0</v>
      </c>
      <c r="H31" s="67"/>
      <c r="I31" s="67"/>
      <c r="J31" s="67"/>
      <c r="K31" s="34" t="str">
        <f aca="false">IF(N(CHOOSE(Scen,H31,I31,J31))=0,"n/a",INDEX(Q_Lab,1,CHOOSE(Scen,H31,I31,J31)))</f>
        <v>n/a</v>
      </c>
      <c r="L31" s="94"/>
      <c r="M31" s="18" t="s">
        <v>1073</v>
      </c>
      <c r="N31" s="100" t="s">
        <v>1099</v>
      </c>
      <c r="O31" s="35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0" t="n">
        <f aca="false">IF(B31="Owned",CPM_SP,0)</f>
        <v>0</v>
      </c>
    </row>
    <row r="32" customFormat="false" ht="15" hidden="false" customHeight="false" outlineLevel="0" collapsed="false">
      <c r="A32" s="0" t="s">
        <v>1108</v>
      </c>
      <c r="B32" s="100" t="s">
        <v>1085</v>
      </c>
      <c r="C32" s="100" t="s">
        <v>1070</v>
      </c>
      <c r="D32" s="18" t="s">
        <v>1107</v>
      </c>
      <c r="E32" s="100" t="s">
        <v>1083</v>
      </c>
      <c r="F32" s="20" t="n">
        <f aca="false">IF(C32="Facility",1/PUE,1)</f>
        <v>1</v>
      </c>
      <c r="G32" s="29" t="n">
        <f aca="false">IF(B32="Owned",1,0)</f>
        <v>0</v>
      </c>
      <c r="H32" s="67"/>
      <c r="I32" s="67"/>
      <c r="J32" s="67"/>
      <c r="K32" s="34" t="str">
        <f aca="false">IF(N(CHOOSE(Scen,H32,I32,J32))=0,"n/a",INDEX(Q_Lab,1,CHOOSE(Scen,H32,I32,J32)))</f>
        <v>n/a</v>
      </c>
      <c r="L32" s="94"/>
      <c r="M32" s="18" t="s">
        <v>1073</v>
      </c>
      <c r="N32" s="100" t="s">
        <v>1099</v>
      </c>
      <c r="O32" s="35" t="n">
        <f aca="false">IF(B32="Owned",IF(N32="GB300 NVL72",CPM_Own_GB300,IF(N32="Vera Rubin NVL72",CPM_Own_VR,IF(N32="GB200 NVL72",CPM_Own_GB200,CPM_Own_Other))),IF(N32="GB300 NVL72",CPM_Lease_GB300,IF(N32="Vera Rubin NVL72",CPM_Lease_VR,CPM_Lease)))</f>
        <v>30</v>
      </c>
      <c r="P32" s="20" t="n">
        <f aca="false">IF(B32="Owned",CPM_SP,0)</f>
        <v>0</v>
      </c>
    </row>
    <row r="33" customFormat="false" ht="15" hidden="false" customHeight="false" outlineLevel="0" collapsed="false">
      <c r="A33" s="0" t="s">
        <v>1109</v>
      </c>
      <c r="B33" s="100" t="s">
        <v>1085</v>
      </c>
      <c r="C33" s="100" t="s">
        <v>1070</v>
      </c>
      <c r="D33" s="18" t="s">
        <v>1078</v>
      </c>
      <c r="E33" s="100" t="s">
        <v>1083</v>
      </c>
      <c r="F33" s="20" t="n">
        <f aca="false">IF(C33="Facility",1/PUE,1)</f>
        <v>1</v>
      </c>
      <c r="G33" s="29" t="n">
        <f aca="false">IF(B33="Owned",1,0)</f>
        <v>0</v>
      </c>
      <c r="H33" s="67"/>
      <c r="I33" s="67"/>
      <c r="J33" s="67"/>
      <c r="K33" s="34" t="str">
        <f aca="false">IF(N(CHOOSE(Scen,H33,I33,J33))=0,"n/a",INDEX(Q_Lab,1,CHOOSE(Scen,H33,I33,J33)))</f>
        <v>n/a</v>
      </c>
      <c r="L33" s="94"/>
      <c r="M33" s="18" t="s">
        <v>1073</v>
      </c>
      <c r="N33" s="100" t="s">
        <v>1099</v>
      </c>
      <c r="O33" s="35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0" t="n">
        <f aca="false">IF(B33="Owned",CPM_SP,0)</f>
        <v>0</v>
      </c>
    </row>
    <row r="34" customFormat="false" ht="15" hidden="false" customHeight="false" outlineLevel="0" collapsed="false">
      <c r="A34" s="0" t="s">
        <v>1110</v>
      </c>
      <c r="B34" s="100" t="s">
        <v>1085</v>
      </c>
      <c r="C34" s="100" t="s">
        <v>1070</v>
      </c>
      <c r="D34" s="18" t="s">
        <v>1101</v>
      </c>
      <c r="E34" s="100" t="s">
        <v>1072</v>
      </c>
      <c r="F34" s="20" t="n">
        <f aca="false">IF(C34="Facility",1/PUE,1)</f>
        <v>1</v>
      </c>
      <c r="G34" s="29" t="n">
        <f aca="false">IF(B34="Owned",1,0)</f>
        <v>0</v>
      </c>
      <c r="H34" s="67" t="n">
        <v>15</v>
      </c>
      <c r="I34" s="67" t="n">
        <v>15</v>
      </c>
      <c r="J34" s="67" t="n">
        <v>17</v>
      </c>
      <c r="K34" s="34" t="str">
        <f aca="false">IF(N(CHOOSE(Scen,H34,I34,J34))=0,"n/a",INDEX(Q_Lab,1,CHOOSE(Scen,H34,I34,J34)))</f>
        <v>Q3'27</v>
      </c>
      <c r="L34" s="94"/>
      <c r="M34" s="18" t="s">
        <v>1073</v>
      </c>
      <c r="N34" s="100" t="s">
        <v>1080</v>
      </c>
      <c r="O34" s="35" t="n">
        <f aca="false">IF(B34="Owned",IF(N34="GB300 NVL72",CPM_Own_GB300,IF(N34="Vera Rubin NVL72",CPM_Own_VR,IF(N34="GB200 NVL72",CPM_Own_GB200,CPM_Own_Other))),IF(N34="GB300 NVL72",CPM_Lease_GB300,IF(N34="Vera Rubin NVL72",CPM_Lease_VR,CPM_Lease)))</f>
        <v>32</v>
      </c>
      <c r="P34" s="20" t="n">
        <f aca="false">IF(B34="Owned",CPM_SP,0)</f>
        <v>0</v>
      </c>
    </row>
    <row r="35" customFormat="false" ht="15" hidden="false" customHeight="false" outlineLevel="0" collapsed="false">
      <c r="A35" s="0" t="s">
        <v>1111</v>
      </c>
      <c r="B35" s="100" t="s">
        <v>1085</v>
      </c>
      <c r="C35" s="100" t="s">
        <v>1070</v>
      </c>
      <c r="D35" s="18" t="s">
        <v>1112</v>
      </c>
      <c r="E35" s="100" t="s">
        <v>1072</v>
      </c>
      <c r="F35" s="20" t="n">
        <f aca="false">IF(C35="Facility",1/PUE,1)</f>
        <v>1</v>
      </c>
      <c r="G35" s="29" t="n">
        <f aca="false">IF(B35="Owned",1,0)</f>
        <v>0</v>
      </c>
      <c r="H35" s="67"/>
      <c r="I35" s="67"/>
      <c r="J35" s="67"/>
      <c r="K35" s="34" t="str">
        <f aca="false">IF(N(CHOOSE(Scen,H35,I35,J35))=0,"n/a",INDEX(Q_Lab,1,CHOOSE(Scen,H35,I35,J35)))</f>
        <v>n/a</v>
      </c>
      <c r="L35" s="94"/>
      <c r="M35" s="18" t="s">
        <v>1073</v>
      </c>
      <c r="N35" s="100" t="s">
        <v>1099</v>
      </c>
      <c r="O35" s="35" t="n">
        <f aca="false">IF(B35="Owned",IF(N35="GB300 NVL72",CPM_Own_GB300,IF(N35="Vera Rubin NVL72",CPM_Own_VR,IF(N35="GB200 NVL72",CPM_Own_GB200,CPM_Own_Other))),IF(N35="GB300 NVL72",CPM_Lease_GB300,IF(N35="Vera Rubin NVL72",CPM_Lease_VR,CPM_Lease)))</f>
        <v>30</v>
      </c>
      <c r="P35" s="20" t="n">
        <f aca="false">IF(B35="Owned",CPM_SP,0)</f>
        <v>0</v>
      </c>
    </row>
    <row r="36" customFormat="false" ht="15" hidden="false" customHeight="false" outlineLevel="0" collapsed="false">
      <c r="A36" s="0" t="s">
        <v>1113</v>
      </c>
      <c r="B36" s="100" t="s">
        <v>1114</v>
      </c>
      <c r="C36" s="100" t="s">
        <v>1070</v>
      </c>
      <c r="D36" s="0" t="s">
        <v>1115</v>
      </c>
      <c r="E36" s="100" t="s">
        <v>1083</v>
      </c>
      <c r="F36" s="20" t="n">
        <f aca="false">IF(C36="Facility",1/PUE,1)</f>
        <v>1</v>
      </c>
    </row>
    <row r="39" customFormat="false" ht="15" hidden="false" customHeight="false" outlineLevel="0" collapsed="false">
      <c r="A39" s="48" t="s">
        <v>1116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</row>
    <row r="40" customFormat="false" ht="15" hidden="false" customHeight="false" outlineLevel="0" collapsed="false">
      <c r="A40" s="101" t="s">
        <v>1117</v>
      </c>
      <c r="B40" s="18" t="s">
        <v>415</v>
      </c>
      <c r="C40" s="18" t="s">
        <v>354</v>
      </c>
      <c r="D40" s="18" t="s">
        <v>1118</v>
      </c>
      <c r="F40" s="102" t="n">
        <v>0</v>
      </c>
      <c r="G40" s="102" t="n">
        <v>0</v>
      </c>
      <c r="H40" s="102" t="n">
        <v>0</v>
      </c>
      <c r="I40" s="102" t="n">
        <v>0</v>
      </c>
      <c r="J40" s="102" t="n">
        <v>0</v>
      </c>
      <c r="K40" s="102" t="n">
        <v>0</v>
      </c>
      <c r="L40" s="102" t="n">
        <v>0</v>
      </c>
      <c r="M40" s="102" t="n">
        <v>21.8</v>
      </c>
      <c r="N40" s="102" t="n">
        <v>30</v>
      </c>
      <c r="O40" s="102" t="n">
        <v>33</v>
      </c>
      <c r="P40" s="102" t="n">
        <v>57</v>
      </c>
      <c r="Q40" s="102" t="n">
        <v>57</v>
      </c>
      <c r="R40" s="102" t="n">
        <v>57</v>
      </c>
      <c r="S40" s="102" t="n">
        <v>107</v>
      </c>
      <c r="T40" s="102" t="n">
        <v>160</v>
      </c>
      <c r="U40" s="102" t="n">
        <v>230</v>
      </c>
      <c r="V40" s="102" t="n">
        <v>230</v>
      </c>
      <c r="W40" s="102" t="n">
        <v>230</v>
      </c>
      <c r="X40" s="102" t="n">
        <v>230</v>
      </c>
      <c r="Y40" s="102" t="n">
        <v>230</v>
      </c>
      <c r="Z40" s="102" t="n">
        <v>230</v>
      </c>
      <c r="AA40" s="102" t="n">
        <v>230</v>
      </c>
      <c r="AB40" s="102" t="n">
        <v>230</v>
      </c>
      <c r="AC40" s="102" t="n">
        <v>230</v>
      </c>
      <c r="AD40" s="102" t="n">
        <v>230</v>
      </c>
      <c r="AE40" s="102" t="n">
        <v>230</v>
      </c>
      <c r="AF40" s="102" t="n">
        <v>230</v>
      </c>
      <c r="AG40" s="102" t="n">
        <v>230</v>
      </c>
      <c r="AI40" s="103" t="n">
        <f aca="false">INDEX($F40:$AG40,1,MATCH(AI$7,$F$7:$AG$7,1))</f>
        <v>0</v>
      </c>
      <c r="AJ40" s="103" t="n">
        <f aca="false">INDEX($F40:$AG40,1,MATCH(AJ$7,$F$7:$AG$7,1))</f>
        <v>21.8</v>
      </c>
      <c r="AK40" s="103" t="n">
        <f aca="false">INDEX($F40:$AG40,1,MATCH(AK$7,$F$7:$AG$7,1))</f>
        <v>57</v>
      </c>
      <c r="AL40" s="103" t="n">
        <f aca="false">INDEX($F40:$AG40,1,MATCH(AL$7,$F$7:$AG$7,1))</f>
        <v>230</v>
      </c>
      <c r="AM40" s="103" t="n">
        <f aca="false">INDEX($F40:$AG40,1,MATCH(AM$7,$F$7:$AG$7,1))</f>
        <v>230</v>
      </c>
      <c r="AN40" s="103" t="n">
        <f aca="false">INDEX($F40:$AG40,1,MATCH(AN$7,$F$7:$AG$7,1))</f>
        <v>230</v>
      </c>
      <c r="AO40" s="103" t="n">
        <f aca="false">INDEX($F40:$AG40,1,MATCH(AO$7,$F$7:$AG$7,1))</f>
        <v>230</v>
      </c>
    </row>
    <row r="41" customFormat="false" ht="15" hidden="false" customHeight="false" outlineLevel="0" collapsed="false">
      <c r="A41" s="101" t="s">
        <v>1119</v>
      </c>
      <c r="B41" s="18" t="s">
        <v>415</v>
      </c>
      <c r="C41" s="18" t="s">
        <v>354</v>
      </c>
      <c r="D41" s="18" t="s">
        <v>1118</v>
      </c>
      <c r="F41" s="102" t="n">
        <v>0</v>
      </c>
      <c r="G41" s="102" t="n">
        <v>0</v>
      </c>
      <c r="H41" s="102" t="n">
        <v>0</v>
      </c>
      <c r="I41" s="102" t="n">
        <v>0</v>
      </c>
      <c r="J41" s="102" t="n">
        <v>0</v>
      </c>
      <c r="K41" s="102" t="n">
        <v>0</v>
      </c>
      <c r="L41" s="102" t="n">
        <v>0</v>
      </c>
      <c r="M41" s="102" t="n">
        <v>26.2</v>
      </c>
      <c r="N41" s="102" t="n">
        <v>37.5</v>
      </c>
      <c r="O41" s="102" t="n">
        <v>39</v>
      </c>
      <c r="P41" s="102" t="n">
        <v>66</v>
      </c>
      <c r="Q41" s="102" t="n">
        <v>81.8</v>
      </c>
      <c r="R41" s="102" t="n">
        <v>118.5</v>
      </c>
      <c r="S41" s="102" t="n">
        <v>168.5</v>
      </c>
      <c r="T41" s="102" t="n">
        <v>205</v>
      </c>
      <c r="U41" s="102" t="n">
        <v>240</v>
      </c>
      <c r="V41" s="102" t="n">
        <v>240</v>
      </c>
      <c r="W41" s="102" t="n">
        <v>240</v>
      </c>
      <c r="X41" s="102" t="n">
        <v>240</v>
      </c>
      <c r="Y41" s="102" t="n">
        <v>240</v>
      </c>
      <c r="Z41" s="102" t="n">
        <v>240</v>
      </c>
      <c r="AA41" s="102" t="n">
        <v>240</v>
      </c>
      <c r="AB41" s="102" t="n">
        <v>240</v>
      </c>
      <c r="AC41" s="102" t="n">
        <v>240</v>
      </c>
      <c r="AD41" s="102" t="n">
        <v>240</v>
      </c>
      <c r="AE41" s="102" t="n">
        <v>240</v>
      </c>
      <c r="AF41" s="102" t="n">
        <v>240</v>
      </c>
      <c r="AG41" s="102" t="n">
        <v>240</v>
      </c>
      <c r="AI41" s="103" t="n">
        <f aca="false">INDEX($F41:$AG41,1,MATCH(AI$7,$F$7:$AG$7,1))</f>
        <v>0</v>
      </c>
      <c r="AJ41" s="103" t="n">
        <f aca="false">INDEX($F41:$AG41,1,MATCH(AJ$7,$F$7:$AG$7,1))</f>
        <v>26.2</v>
      </c>
      <c r="AK41" s="103" t="n">
        <f aca="false">INDEX($F41:$AG41,1,MATCH(AK$7,$F$7:$AG$7,1))</f>
        <v>81.8</v>
      </c>
      <c r="AL41" s="103" t="n">
        <f aca="false">INDEX($F41:$AG41,1,MATCH(AL$7,$F$7:$AG$7,1))</f>
        <v>240</v>
      </c>
      <c r="AM41" s="103" t="n">
        <f aca="false">INDEX($F41:$AG41,1,MATCH(AM$7,$F$7:$AG$7,1))</f>
        <v>240</v>
      </c>
      <c r="AN41" s="103" t="n">
        <f aca="false">INDEX($F41:$AG41,1,MATCH(AN$7,$F$7:$AG$7,1))</f>
        <v>240</v>
      </c>
      <c r="AO41" s="103" t="n">
        <f aca="false">INDEX($F41:$AG41,1,MATCH(AO$7,$F$7:$AG$7,1))</f>
        <v>240</v>
      </c>
    </row>
    <row r="42" customFormat="false" ht="15" hidden="false" customHeight="false" outlineLevel="0" collapsed="false">
      <c r="A42" s="101" t="s">
        <v>1120</v>
      </c>
      <c r="B42" s="18" t="s">
        <v>415</v>
      </c>
      <c r="C42" s="18" t="s">
        <v>354</v>
      </c>
      <c r="D42" s="18" t="s">
        <v>1118</v>
      </c>
      <c r="F42" s="102" t="n">
        <v>0</v>
      </c>
      <c r="G42" s="102" t="n">
        <v>0</v>
      </c>
      <c r="H42" s="102" t="n">
        <v>0</v>
      </c>
      <c r="I42" s="102" t="n">
        <v>0</v>
      </c>
      <c r="J42" s="102" t="n">
        <v>0</v>
      </c>
      <c r="K42" s="102" t="n">
        <v>0</v>
      </c>
      <c r="L42" s="102" t="n">
        <v>0</v>
      </c>
      <c r="M42" s="102" t="n">
        <v>30.6</v>
      </c>
      <c r="N42" s="102" t="n">
        <v>45</v>
      </c>
      <c r="O42" s="102" t="n">
        <v>45</v>
      </c>
      <c r="P42" s="102" t="n">
        <v>75</v>
      </c>
      <c r="Q42" s="102" t="n">
        <v>106.6</v>
      </c>
      <c r="R42" s="102" t="n">
        <v>180</v>
      </c>
      <c r="S42" s="102" t="n">
        <v>230</v>
      </c>
      <c r="T42" s="102" t="n">
        <v>250</v>
      </c>
      <c r="U42" s="102" t="n">
        <v>250</v>
      </c>
      <c r="V42" s="102" t="n">
        <v>250</v>
      </c>
      <c r="W42" s="102" t="n">
        <v>250</v>
      </c>
      <c r="X42" s="102" t="n">
        <v>250</v>
      </c>
      <c r="Y42" s="102" t="n">
        <v>250</v>
      </c>
      <c r="Z42" s="102" t="n">
        <v>250</v>
      </c>
      <c r="AA42" s="102" t="n">
        <v>250</v>
      </c>
      <c r="AB42" s="102" t="n">
        <v>250</v>
      </c>
      <c r="AC42" s="102" t="n">
        <v>250</v>
      </c>
      <c r="AD42" s="102" t="n">
        <v>250</v>
      </c>
      <c r="AE42" s="102" t="n">
        <v>250</v>
      </c>
      <c r="AF42" s="102" t="n">
        <v>250</v>
      </c>
      <c r="AG42" s="102" t="n">
        <v>250</v>
      </c>
      <c r="AI42" s="103" t="n">
        <f aca="false">INDEX($F42:$AG42,1,MATCH(AI$7,$F$7:$AG$7,1))</f>
        <v>0</v>
      </c>
      <c r="AJ42" s="103" t="n">
        <f aca="false">INDEX($F42:$AG42,1,MATCH(AJ$7,$F$7:$AG$7,1))</f>
        <v>30.6</v>
      </c>
      <c r="AK42" s="103" t="n">
        <f aca="false">INDEX($F42:$AG42,1,MATCH(AK$7,$F$7:$AG$7,1))</f>
        <v>106.6</v>
      </c>
      <c r="AL42" s="103" t="n">
        <f aca="false">INDEX($F42:$AG42,1,MATCH(AL$7,$F$7:$AG$7,1))</f>
        <v>250</v>
      </c>
      <c r="AM42" s="103" t="n">
        <f aca="false">INDEX($F42:$AG42,1,MATCH(AM$7,$F$7:$AG$7,1))</f>
        <v>250</v>
      </c>
      <c r="AN42" s="103" t="n">
        <f aca="false">INDEX($F42:$AG42,1,MATCH(AN$7,$F$7:$AG$7,1))</f>
        <v>250</v>
      </c>
      <c r="AO42" s="103" t="n">
        <f aca="false">INDEX($F42:$AG42,1,MATCH(AO$7,$F$7:$AG$7,1))</f>
        <v>250</v>
      </c>
    </row>
    <row r="43" customFormat="false" ht="15" hidden="false" customHeight="false" outlineLevel="0" collapsed="false">
      <c r="A43" s="101" t="s">
        <v>1121</v>
      </c>
      <c r="B43" s="18" t="s">
        <v>415</v>
      </c>
      <c r="C43" s="18" t="s">
        <v>354</v>
      </c>
      <c r="D43" s="18" t="s">
        <v>1118</v>
      </c>
      <c r="F43" s="102" t="n">
        <v>0</v>
      </c>
      <c r="G43" s="102" t="n">
        <v>0</v>
      </c>
      <c r="H43" s="102" t="n">
        <v>0</v>
      </c>
      <c r="I43" s="102" t="n">
        <v>0</v>
      </c>
      <c r="J43" s="102" t="n">
        <v>0</v>
      </c>
      <c r="K43" s="102" t="n">
        <v>0</v>
      </c>
      <c r="L43" s="102" t="n">
        <v>0</v>
      </c>
      <c r="M43" s="102" t="n">
        <v>0</v>
      </c>
      <c r="N43" s="102" t="n">
        <v>0</v>
      </c>
      <c r="O43" s="102" t="n">
        <v>0</v>
      </c>
      <c r="P43" s="102" t="n">
        <v>0</v>
      </c>
      <c r="Q43" s="102" t="n">
        <v>0</v>
      </c>
      <c r="R43" s="102" t="n">
        <v>0</v>
      </c>
      <c r="S43" s="102" t="n">
        <v>0</v>
      </c>
      <c r="T43" s="102" t="n">
        <v>0</v>
      </c>
      <c r="U43" s="102" t="n">
        <v>50</v>
      </c>
      <c r="V43" s="102" t="n">
        <v>50</v>
      </c>
      <c r="W43" s="102" t="n">
        <v>100</v>
      </c>
      <c r="X43" s="102" t="n">
        <v>100</v>
      </c>
      <c r="Y43" s="102" t="n">
        <v>200</v>
      </c>
      <c r="Z43" s="102" t="n">
        <v>200</v>
      </c>
      <c r="AA43" s="102" t="n">
        <v>300</v>
      </c>
      <c r="AB43" s="102" t="n">
        <v>300</v>
      </c>
      <c r="AC43" s="102" t="n">
        <v>500</v>
      </c>
      <c r="AD43" s="102" t="n">
        <v>500</v>
      </c>
      <c r="AE43" s="102" t="n">
        <v>500</v>
      </c>
      <c r="AF43" s="102" t="n">
        <v>500</v>
      </c>
      <c r="AG43" s="102" t="n">
        <v>700</v>
      </c>
      <c r="AI43" s="103" t="n">
        <f aca="false">INDEX($F43:$AG43,1,MATCH(AI$7,$F$7:$AG$7,1))</f>
        <v>0</v>
      </c>
      <c r="AJ43" s="103" t="n">
        <f aca="false">INDEX($F43:$AG43,1,MATCH(AJ$7,$F$7:$AG$7,1))</f>
        <v>0</v>
      </c>
      <c r="AK43" s="103" t="n">
        <f aca="false">INDEX($F43:$AG43,1,MATCH(AK$7,$F$7:$AG$7,1))</f>
        <v>0</v>
      </c>
      <c r="AL43" s="103" t="n">
        <f aca="false">INDEX($F43:$AG43,1,MATCH(AL$7,$F$7:$AG$7,1))</f>
        <v>50</v>
      </c>
      <c r="AM43" s="103" t="n">
        <f aca="false">INDEX($F43:$AG43,1,MATCH(AM$7,$F$7:$AG$7,1))</f>
        <v>200</v>
      </c>
      <c r="AN43" s="103" t="n">
        <f aca="false">INDEX($F43:$AG43,1,MATCH(AN$7,$F$7:$AG$7,1))</f>
        <v>500</v>
      </c>
      <c r="AO43" s="103" t="n">
        <f aca="false">INDEX($F43:$AG43,1,MATCH(AO$7,$F$7:$AG$7,1))</f>
        <v>700</v>
      </c>
    </row>
    <row r="44" customFormat="false" ht="15" hidden="false" customHeight="false" outlineLevel="0" collapsed="false">
      <c r="A44" s="101" t="s">
        <v>1122</v>
      </c>
      <c r="B44" s="18" t="s">
        <v>415</v>
      </c>
      <c r="C44" s="18" t="s">
        <v>354</v>
      </c>
      <c r="D44" s="18" t="s">
        <v>1118</v>
      </c>
      <c r="F44" s="102" t="n">
        <v>0</v>
      </c>
      <c r="G44" s="102" t="n">
        <v>0</v>
      </c>
      <c r="H44" s="102" t="n">
        <v>0</v>
      </c>
      <c r="I44" s="102" t="n">
        <v>0</v>
      </c>
      <c r="J44" s="102" t="n">
        <v>0</v>
      </c>
      <c r="K44" s="102" t="n">
        <v>0</v>
      </c>
      <c r="L44" s="102" t="n">
        <v>0</v>
      </c>
      <c r="M44" s="102" t="n">
        <v>0</v>
      </c>
      <c r="N44" s="102" t="n">
        <v>0</v>
      </c>
      <c r="O44" s="102" t="n">
        <v>0</v>
      </c>
      <c r="P44" s="102" t="n">
        <v>0</v>
      </c>
      <c r="Q44" s="102" t="n">
        <v>0</v>
      </c>
      <c r="R44" s="102" t="n">
        <v>0</v>
      </c>
      <c r="S44" s="102" t="n">
        <v>0</v>
      </c>
      <c r="T44" s="102" t="n">
        <v>50</v>
      </c>
      <c r="U44" s="102" t="n">
        <v>125</v>
      </c>
      <c r="V44" s="102" t="n">
        <v>125</v>
      </c>
      <c r="W44" s="102" t="n">
        <v>175</v>
      </c>
      <c r="X44" s="102" t="n">
        <v>175</v>
      </c>
      <c r="Y44" s="102" t="n">
        <v>225</v>
      </c>
      <c r="Z44" s="102" t="n">
        <v>225</v>
      </c>
      <c r="AA44" s="102" t="n">
        <v>450</v>
      </c>
      <c r="AB44" s="102" t="n">
        <v>450</v>
      </c>
      <c r="AC44" s="102" t="n">
        <v>650</v>
      </c>
      <c r="AD44" s="102" t="n">
        <v>650</v>
      </c>
      <c r="AE44" s="102" t="n">
        <v>650</v>
      </c>
      <c r="AF44" s="102" t="n">
        <v>650</v>
      </c>
      <c r="AG44" s="102" t="n">
        <v>950</v>
      </c>
      <c r="AI44" s="103" t="n">
        <f aca="false">INDEX($F44:$AG44,1,MATCH(AI$7,$F$7:$AG$7,1))</f>
        <v>0</v>
      </c>
      <c r="AJ44" s="103" t="n">
        <f aca="false">INDEX($F44:$AG44,1,MATCH(AJ$7,$F$7:$AG$7,1))</f>
        <v>0</v>
      </c>
      <c r="AK44" s="103" t="n">
        <f aca="false">INDEX($F44:$AG44,1,MATCH(AK$7,$F$7:$AG$7,1))</f>
        <v>0</v>
      </c>
      <c r="AL44" s="103" t="n">
        <f aca="false">INDEX($F44:$AG44,1,MATCH(AL$7,$F$7:$AG$7,1))</f>
        <v>125</v>
      </c>
      <c r="AM44" s="103" t="n">
        <f aca="false">INDEX($F44:$AG44,1,MATCH(AM$7,$F$7:$AG$7,1))</f>
        <v>225</v>
      </c>
      <c r="AN44" s="103" t="n">
        <f aca="false">INDEX($F44:$AG44,1,MATCH(AN$7,$F$7:$AG$7,1))</f>
        <v>650</v>
      </c>
      <c r="AO44" s="103" t="n">
        <f aca="false">INDEX($F44:$AG44,1,MATCH(AO$7,$F$7:$AG$7,1))</f>
        <v>950</v>
      </c>
    </row>
    <row r="45" customFormat="false" ht="15" hidden="false" customHeight="false" outlineLevel="0" collapsed="false">
      <c r="A45" s="101" t="s">
        <v>1123</v>
      </c>
      <c r="B45" s="18" t="s">
        <v>415</v>
      </c>
      <c r="C45" s="18" t="s">
        <v>354</v>
      </c>
      <c r="D45" s="18" t="s">
        <v>1118</v>
      </c>
      <c r="F45" s="102" t="n">
        <v>0</v>
      </c>
      <c r="G45" s="102" t="n">
        <v>0</v>
      </c>
      <c r="H45" s="102" t="n">
        <v>0</v>
      </c>
      <c r="I45" s="102" t="n">
        <v>0</v>
      </c>
      <c r="J45" s="102" t="n">
        <v>0</v>
      </c>
      <c r="K45" s="102" t="n">
        <v>0</v>
      </c>
      <c r="L45" s="102" t="n">
        <v>0</v>
      </c>
      <c r="M45" s="102" t="n">
        <v>0</v>
      </c>
      <c r="N45" s="102" t="n">
        <v>0</v>
      </c>
      <c r="O45" s="102" t="n">
        <v>0</v>
      </c>
      <c r="P45" s="102" t="n">
        <v>0</v>
      </c>
      <c r="Q45" s="102" t="n">
        <v>0</v>
      </c>
      <c r="R45" s="102" t="n">
        <v>0</v>
      </c>
      <c r="S45" s="102" t="n">
        <v>0</v>
      </c>
      <c r="T45" s="102" t="n">
        <v>100</v>
      </c>
      <c r="U45" s="102" t="n">
        <v>200</v>
      </c>
      <c r="V45" s="102" t="n">
        <v>200</v>
      </c>
      <c r="W45" s="102" t="n">
        <v>250</v>
      </c>
      <c r="X45" s="102" t="n">
        <v>250</v>
      </c>
      <c r="Y45" s="102" t="n">
        <v>250</v>
      </c>
      <c r="Z45" s="102" t="n">
        <v>250</v>
      </c>
      <c r="AA45" s="102" t="n">
        <v>600</v>
      </c>
      <c r="AB45" s="102" t="n">
        <v>600</v>
      </c>
      <c r="AC45" s="102" t="n">
        <v>800</v>
      </c>
      <c r="AD45" s="102" t="n">
        <v>800</v>
      </c>
      <c r="AE45" s="102" t="n">
        <v>800</v>
      </c>
      <c r="AF45" s="102" t="n">
        <v>800</v>
      </c>
      <c r="AG45" s="102" t="n">
        <v>1200</v>
      </c>
      <c r="AI45" s="103" t="n">
        <f aca="false">INDEX($F45:$AG45,1,MATCH(AI$7,$F$7:$AG$7,1))</f>
        <v>0</v>
      </c>
      <c r="AJ45" s="103" t="n">
        <f aca="false">INDEX($F45:$AG45,1,MATCH(AJ$7,$F$7:$AG$7,1))</f>
        <v>0</v>
      </c>
      <c r="AK45" s="103" t="n">
        <f aca="false">INDEX($F45:$AG45,1,MATCH(AK$7,$F$7:$AG$7,1))</f>
        <v>0</v>
      </c>
      <c r="AL45" s="103" t="n">
        <f aca="false">INDEX($F45:$AG45,1,MATCH(AL$7,$F$7:$AG$7,1))</f>
        <v>200</v>
      </c>
      <c r="AM45" s="103" t="n">
        <f aca="false">INDEX($F45:$AG45,1,MATCH(AM$7,$F$7:$AG$7,1))</f>
        <v>250</v>
      </c>
      <c r="AN45" s="103" t="n">
        <f aca="false">INDEX($F45:$AG45,1,MATCH(AN$7,$F$7:$AG$7,1))</f>
        <v>800</v>
      </c>
      <c r="AO45" s="103" t="n">
        <f aca="false">INDEX($F45:$AG45,1,MATCH(AO$7,$F$7:$AG$7,1))</f>
        <v>1200</v>
      </c>
    </row>
    <row r="46" customFormat="false" ht="15" hidden="false" customHeight="false" outlineLevel="0" collapsed="false">
      <c r="A46" s="101" t="s">
        <v>1124</v>
      </c>
      <c r="B46" s="18" t="s">
        <v>415</v>
      </c>
      <c r="C46" s="18" t="s">
        <v>354</v>
      </c>
      <c r="D46" s="18" t="s">
        <v>1118</v>
      </c>
      <c r="F46" s="102" t="n">
        <v>0</v>
      </c>
      <c r="G46" s="102" t="n">
        <v>0</v>
      </c>
      <c r="H46" s="102" t="n">
        <v>0</v>
      </c>
      <c r="I46" s="102" t="n">
        <v>0</v>
      </c>
      <c r="J46" s="102" t="n">
        <v>0</v>
      </c>
      <c r="K46" s="102" t="n">
        <v>0</v>
      </c>
      <c r="L46" s="102" t="n">
        <v>0</v>
      </c>
      <c r="M46" s="102" t="n">
        <v>0</v>
      </c>
      <c r="N46" s="102" t="n">
        <v>0</v>
      </c>
      <c r="O46" s="102" t="n">
        <v>0</v>
      </c>
      <c r="P46" s="102" t="n">
        <v>0</v>
      </c>
      <c r="Q46" s="102" t="n">
        <v>0</v>
      </c>
      <c r="R46" s="102" t="n">
        <v>0</v>
      </c>
      <c r="S46" s="102" t="n">
        <v>0</v>
      </c>
      <c r="T46" s="102" t="n">
        <v>0</v>
      </c>
      <c r="U46" s="102" t="n">
        <v>0</v>
      </c>
      <c r="V46" s="102" t="n">
        <v>0</v>
      </c>
      <c r="W46" s="102" t="n">
        <v>0</v>
      </c>
      <c r="X46" s="102" t="n">
        <v>0</v>
      </c>
      <c r="Y46" s="102" t="n">
        <v>130</v>
      </c>
      <c r="Z46" s="102" t="n">
        <v>130</v>
      </c>
      <c r="AA46" s="102" t="n">
        <v>260</v>
      </c>
      <c r="AB46" s="102" t="n">
        <v>260</v>
      </c>
      <c r="AC46" s="102" t="n">
        <v>400</v>
      </c>
      <c r="AD46" s="102" t="n">
        <v>400</v>
      </c>
      <c r="AE46" s="102" t="n">
        <v>400</v>
      </c>
      <c r="AF46" s="102" t="n">
        <v>400</v>
      </c>
      <c r="AG46" s="102" t="n">
        <v>660</v>
      </c>
      <c r="AI46" s="103" t="n">
        <f aca="false">INDEX($F46:$AG46,1,MATCH(AI$7,$F$7:$AG$7,1))</f>
        <v>0</v>
      </c>
      <c r="AJ46" s="103" t="n">
        <f aca="false">INDEX($F46:$AG46,1,MATCH(AJ$7,$F$7:$AG$7,1))</f>
        <v>0</v>
      </c>
      <c r="AK46" s="103" t="n">
        <f aca="false">INDEX($F46:$AG46,1,MATCH(AK$7,$F$7:$AG$7,1))</f>
        <v>0</v>
      </c>
      <c r="AL46" s="103" t="n">
        <f aca="false">INDEX($F46:$AG46,1,MATCH(AL$7,$F$7:$AG$7,1))</f>
        <v>0</v>
      </c>
      <c r="AM46" s="103" t="n">
        <f aca="false">INDEX($F46:$AG46,1,MATCH(AM$7,$F$7:$AG$7,1))</f>
        <v>130</v>
      </c>
      <c r="AN46" s="103" t="n">
        <f aca="false">INDEX($F46:$AG46,1,MATCH(AN$7,$F$7:$AG$7,1))</f>
        <v>400</v>
      </c>
      <c r="AO46" s="103" t="n">
        <f aca="false">INDEX($F46:$AG46,1,MATCH(AO$7,$F$7:$AG$7,1))</f>
        <v>660</v>
      </c>
    </row>
    <row r="47" customFormat="false" ht="15" hidden="false" customHeight="false" outlineLevel="0" collapsed="false">
      <c r="A47" s="101" t="s">
        <v>1125</v>
      </c>
      <c r="B47" s="18" t="s">
        <v>415</v>
      </c>
      <c r="C47" s="18" t="s">
        <v>354</v>
      </c>
      <c r="D47" s="18" t="s">
        <v>1118</v>
      </c>
      <c r="F47" s="102" t="n">
        <v>0</v>
      </c>
      <c r="G47" s="102" t="n">
        <v>0</v>
      </c>
      <c r="H47" s="102" t="n">
        <v>0</v>
      </c>
      <c r="I47" s="102" t="n">
        <v>0</v>
      </c>
      <c r="J47" s="102" t="n">
        <v>0</v>
      </c>
      <c r="K47" s="102" t="n">
        <v>0</v>
      </c>
      <c r="L47" s="102" t="n">
        <v>0</v>
      </c>
      <c r="M47" s="102" t="n">
        <v>0</v>
      </c>
      <c r="N47" s="102" t="n">
        <v>0</v>
      </c>
      <c r="O47" s="102" t="n">
        <v>0</v>
      </c>
      <c r="P47" s="102" t="n">
        <v>0</v>
      </c>
      <c r="Q47" s="102" t="n">
        <v>0</v>
      </c>
      <c r="R47" s="102" t="n">
        <v>0</v>
      </c>
      <c r="S47" s="102" t="n">
        <v>0</v>
      </c>
      <c r="T47" s="102" t="n">
        <v>0</v>
      </c>
      <c r="U47" s="102" t="n">
        <v>65</v>
      </c>
      <c r="V47" s="102" t="n">
        <v>130</v>
      </c>
      <c r="W47" s="102" t="n">
        <v>130</v>
      </c>
      <c r="X47" s="102" t="n">
        <v>130</v>
      </c>
      <c r="Y47" s="102" t="n">
        <v>265</v>
      </c>
      <c r="Z47" s="102" t="n">
        <v>265</v>
      </c>
      <c r="AA47" s="102" t="n">
        <v>460</v>
      </c>
      <c r="AB47" s="102" t="n">
        <v>460</v>
      </c>
      <c r="AC47" s="102" t="n">
        <v>700</v>
      </c>
      <c r="AD47" s="102" t="n">
        <v>700</v>
      </c>
      <c r="AE47" s="102" t="n">
        <v>700</v>
      </c>
      <c r="AF47" s="102" t="n">
        <v>700</v>
      </c>
      <c r="AG47" s="102" t="n">
        <v>930</v>
      </c>
      <c r="AI47" s="103" t="n">
        <f aca="false">INDEX($F47:$AG47,1,MATCH(AI$7,$F$7:$AG$7,1))</f>
        <v>0</v>
      </c>
      <c r="AJ47" s="103" t="n">
        <f aca="false">INDEX($F47:$AG47,1,MATCH(AJ$7,$F$7:$AG$7,1))</f>
        <v>0</v>
      </c>
      <c r="AK47" s="103" t="n">
        <f aca="false">INDEX($F47:$AG47,1,MATCH(AK$7,$F$7:$AG$7,1))</f>
        <v>0</v>
      </c>
      <c r="AL47" s="103" t="n">
        <f aca="false">INDEX($F47:$AG47,1,MATCH(AL$7,$F$7:$AG$7,1))</f>
        <v>65</v>
      </c>
      <c r="AM47" s="103" t="n">
        <f aca="false">INDEX($F47:$AG47,1,MATCH(AM$7,$F$7:$AG$7,1))</f>
        <v>265</v>
      </c>
      <c r="AN47" s="103" t="n">
        <f aca="false">INDEX($F47:$AG47,1,MATCH(AN$7,$F$7:$AG$7,1))</f>
        <v>700</v>
      </c>
      <c r="AO47" s="103" t="n">
        <f aca="false">INDEX($F47:$AG47,1,MATCH(AO$7,$F$7:$AG$7,1))</f>
        <v>930</v>
      </c>
    </row>
    <row r="48" customFormat="false" ht="15" hidden="false" customHeight="false" outlineLevel="0" collapsed="false">
      <c r="A48" s="101" t="s">
        <v>1126</v>
      </c>
      <c r="B48" s="18" t="s">
        <v>415</v>
      </c>
      <c r="C48" s="18" t="s">
        <v>354</v>
      </c>
      <c r="D48" s="18" t="s">
        <v>1118</v>
      </c>
      <c r="F48" s="102" t="n">
        <v>0</v>
      </c>
      <c r="G48" s="102" t="n">
        <v>0</v>
      </c>
      <c r="H48" s="102" t="n">
        <v>0</v>
      </c>
      <c r="I48" s="102" t="n">
        <v>0</v>
      </c>
      <c r="J48" s="102" t="n">
        <v>0</v>
      </c>
      <c r="K48" s="102" t="n">
        <v>0</v>
      </c>
      <c r="L48" s="102" t="n">
        <v>0</v>
      </c>
      <c r="M48" s="102" t="n">
        <v>0</v>
      </c>
      <c r="N48" s="102" t="n">
        <v>0</v>
      </c>
      <c r="O48" s="102" t="n">
        <v>0</v>
      </c>
      <c r="P48" s="102" t="n">
        <v>0</v>
      </c>
      <c r="Q48" s="102" t="n">
        <v>0</v>
      </c>
      <c r="R48" s="102" t="n">
        <v>0</v>
      </c>
      <c r="S48" s="102" t="n">
        <v>0</v>
      </c>
      <c r="T48" s="102" t="n">
        <v>0</v>
      </c>
      <c r="U48" s="102" t="n">
        <v>130</v>
      </c>
      <c r="V48" s="102" t="n">
        <v>260</v>
      </c>
      <c r="W48" s="102" t="n">
        <v>260</v>
      </c>
      <c r="X48" s="102" t="n">
        <v>260</v>
      </c>
      <c r="Y48" s="102" t="n">
        <v>400</v>
      </c>
      <c r="Z48" s="102" t="n">
        <v>400</v>
      </c>
      <c r="AA48" s="102" t="n">
        <v>660</v>
      </c>
      <c r="AB48" s="102" t="n">
        <v>660</v>
      </c>
      <c r="AC48" s="102" t="n">
        <v>1000</v>
      </c>
      <c r="AD48" s="102" t="n">
        <v>1000</v>
      </c>
      <c r="AE48" s="102" t="n">
        <v>1000</v>
      </c>
      <c r="AF48" s="102" t="n">
        <v>1000</v>
      </c>
      <c r="AG48" s="102" t="n">
        <v>1200</v>
      </c>
      <c r="AI48" s="103" t="n">
        <f aca="false">INDEX($F48:$AG48,1,MATCH(AI$7,$F$7:$AG$7,1))</f>
        <v>0</v>
      </c>
      <c r="AJ48" s="103" t="n">
        <f aca="false">INDEX($F48:$AG48,1,MATCH(AJ$7,$F$7:$AG$7,1))</f>
        <v>0</v>
      </c>
      <c r="AK48" s="103" t="n">
        <f aca="false">INDEX($F48:$AG48,1,MATCH(AK$7,$F$7:$AG$7,1))</f>
        <v>0</v>
      </c>
      <c r="AL48" s="103" t="n">
        <f aca="false">INDEX($F48:$AG48,1,MATCH(AL$7,$F$7:$AG$7,1))</f>
        <v>130</v>
      </c>
      <c r="AM48" s="103" t="n">
        <f aca="false">INDEX($F48:$AG48,1,MATCH(AM$7,$F$7:$AG$7,1))</f>
        <v>400</v>
      </c>
      <c r="AN48" s="103" t="n">
        <f aca="false">INDEX($F48:$AG48,1,MATCH(AN$7,$F$7:$AG$7,1))</f>
        <v>1000</v>
      </c>
      <c r="AO48" s="103" t="n">
        <f aca="false">INDEX($F48:$AG48,1,MATCH(AO$7,$F$7:$AG$7,1))</f>
        <v>1200</v>
      </c>
    </row>
    <row r="49" customFormat="false" ht="15" hidden="false" customHeight="false" outlineLevel="0" collapsed="false">
      <c r="A49" s="101" t="s">
        <v>1127</v>
      </c>
      <c r="B49" s="18" t="s">
        <v>415</v>
      </c>
      <c r="C49" s="18" t="s">
        <v>354</v>
      </c>
      <c r="D49" s="18" t="s">
        <v>1118</v>
      </c>
      <c r="F49" s="102" t="n">
        <v>0</v>
      </c>
      <c r="G49" s="102" t="n">
        <v>0</v>
      </c>
      <c r="H49" s="102" t="n">
        <v>0</v>
      </c>
      <c r="I49" s="102" t="n">
        <v>0</v>
      </c>
      <c r="J49" s="102" t="n">
        <v>0</v>
      </c>
      <c r="K49" s="102" t="n">
        <v>0</v>
      </c>
      <c r="L49" s="102" t="n">
        <v>0</v>
      </c>
      <c r="M49" s="102" t="n">
        <v>0</v>
      </c>
      <c r="N49" s="102" t="n">
        <v>0</v>
      </c>
      <c r="O49" s="102" t="n">
        <v>0</v>
      </c>
      <c r="P49" s="102" t="n">
        <v>0</v>
      </c>
      <c r="Q49" s="102" t="n">
        <v>0</v>
      </c>
      <c r="R49" s="102" t="n">
        <v>0</v>
      </c>
      <c r="S49" s="102" t="n">
        <v>0</v>
      </c>
      <c r="T49" s="102" t="n">
        <v>25</v>
      </c>
      <c r="U49" s="102" t="n">
        <v>50</v>
      </c>
      <c r="V49" s="102" t="n">
        <v>50</v>
      </c>
      <c r="W49" s="102" t="n">
        <v>100</v>
      </c>
      <c r="X49" s="102" t="n">
        <v>100</v>
      </c>
      <c r="Y49" s="102" t="n">
        <v>200</v>
      </c>
      <c r="Z49" s="102" t="n">
        <v>200</v>
      </c>
      <c r="AA49" s="102" t="n">
        <v>200</v>
      </c>
      <c r="AB49" s="102" t="n">
        <v>200</v>
      </c>
      <c r="AC49" s="102" t="n">
        <v>300</v>
      </c>
      <c r="AD49" s="102" t="n">
        <v>300</v>
      </c>
      <c r="AE49" s="102" t="n">
        <v>300</v>
      </c>
      <c r="AF49" s="102" t="n">
        <v>300</v>
      </c>
      <c r="AG49" s="102" t="n">
        <v>300</v>
      </c>
      <c r="AI49" s="103" t="n">
        <f aca="false">INDEX($F49:$AG49,1,MATCH(AI$7,$F$7:$AG$7,1))</f>
        <v>0</v>
      </c>
      <c r="AJ49" s="103" t="n">
        <f aca="false">INDEX($F49:$AG49,1,MATCH(AJ$7,$F$7:$AG$7,1))</f>
        <v>0</v>
      </c>
      <c r="AK49" s="103" t="n">
        <f aca="false">INDEX($F49:$AG49,1,MATCH(AK$7,$F$7:$AG$7,1))</f>
        <v>0</v>
      </c>
      <c r="AL49" s="103" t="n">
        <f aca="false">INDEX($F49:$AG49,1,MATCH(AL$7,$F$7:$AG$7,1))</f>
        <v>50</v>
      </c>
      <c r="AM49" s="103" t="n">
        <f aca="false">INDEX($F49:$AG49,1,MATCH(AM$7,$F$7:$AG$7,1))</f>
        <v>200</v>
      </c>
      <c r="AN49" s="103" t="n">
        <f aca="false">INDEX($F49:$AG49,1,MATCH(AN$7,$F$7:$AG$7,1))</f>
        <v>300</v>
      </c>
      <c r="AO49" s="103" t="n">
        <f aca="false">INDEX($F49:$AG49,1,MATCH(AO$7,$F$7:$AG$7,1))</f>
        <v>300</v>
      </c>
    </row>
    <row r="50" customFormat="false" ht="15" hidden="false" customHeight="false" outlineLevel="0" collapsed="false">
      <c r="A50" s="101" t="s">
        <v>1128</v>
      </c>
      <c r="B50" s="18" t="s">
        <v>415</v>
      </c>
      <c r="C50" s="18" t="s">
        <v>354</v>
      </c>
      <c r="D50" s="18" t="s">
        <v>1118</v>
      </c>
      <c r="F50" s="102" t="n">
        <v>0</v>
      </c>
      <c r="G50" s="102" t="n">
        <v>0</v>
      </c>
      <c r="H50" s="102" t="n">
        <v>0</v>
      </c>
      <c r="I50" s="102" t="n">
        <v>0</v>
      </c>
      <c r="J50" s="102" t="n">
        <v>0</v>
      </c>
      <c r="K50" s="102" t="n">
        <v>0</v>
      </c>
      <c r="L50" s="102" t="n">
        <v>0</v>
      </c>
      <c r="M50" s="102" t="n">
        <v>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12.5</v>
      </c>
      <c r="S50" s="102" t="n">
        <v>25</v>
      </c>
      <c r="T50" s="102" t="n">
        <v>50</v>
      </c>
      <c r="U50" s="102" t="n">
        <v>75</v>
      </c>
      <c r="V50" s="102" t="n">
        <v>75</v>
      </c>
      <c r="W50" s="102" t="n">
        <v>150</v>
      </c>
      <c r="X50" s="102" t="n">
        <v>150</v>
      </c>
      <c r="Y50" s="102" t="n">
        <v>250</v>
      </c>
      <c r="Z50" s="102" t="n">
        <v>250</v>
      </c>
      <c r="AA50" s="102" t="n">
        <v>250</v>
      </c>
      <c r="AB50" s="102" t="n">
        <v>250</v>
      </c>
      <c r="AC50" s="102" t="n">
        <v>300</v>
      </c>
      <c r="AD50" s="102" t="n">
        <v>300</v>
      </c>
      <c r="AE50" s="102" t="n">
        <v>300</v>
      </c>
      <c r="AF50" s="102" t="n">
        <v>300</v>
      </c>
      <c r="AG50" s="102" t="n">
        <v>300</v>
      </c>
      <c r="AI50" s="103" t="n">
        <f aca="false">INDEX($F50:$AG50,1,MATCH(AI$7,$F$7:$AG$7,1))</f>
        <v>0</v>
      </c>
      <c r="AJ50" s="103" t="n">
        <f aca="false">INDEX($F50:$AG50,1,MATCH(AJ$7,$F$7:$AG$7,1))</f>
        <v>0</v>
      </c>
      <c r="AK50" s="103" t="n">
        <f aca="false">INDEX($F50:$AG50,1,MATCH(AK$7,$F$7:$AG$7,1))</f>
        <v>0</v>
      </c>
      <c r="AL50" s="103" t="n">
        <f aca="false">INDEX($F50:$AG50,1,MATCH(AL$7,$F$7:$AG$7,1))</f>
        <v>75</v>
      </c>
      <c r="AM50" s="103" t="n">
        <f aca="false">INDEX($F50:$AG50,1,MATCH(AM$7,$F$7:$AG$7,1))</f>
        <v>250</v>
      </c>
      <c r="AN50" s="103" t="n">
        <f aca="false">INDEX($F50:$AG50,1,MATCH(AN$7,$F$7:$AG$7,1))</f>
        <v>300</v>
      </c>
      <c r="AO50" s="103" t="n">
        <f aca="false">INDEX($F50:$AG50,1,MATCH(AO$7,$F$7:$AG$7,1))</f>
        <v>300</v>
      </c>
    </row>
    <row r="51" customFormat="false" ht="15" hidden="false" customHeight="false" outlineLevel="0" collapsed="false">
      <c r="A51" s="101" t="s">
        <v>1129</v>
      </c>
      <c r="B51" s="18" t="s">
        <v>415</v>
      </c>
      <c r="C51" s="18" t="s">
        <v>354</v>
      </c>
      <c r="D51" s="18" t="s">
        <v>1118</v>
      </c>
      <c r="F51" s="102" t="n">
        <v>0</v>
      </c>
      <c r="G51" s="102" t="n">
        <v>0</v>
      </c>
      <c r="H51" s="102" t="n">
        <v>0</v>
      </c>
      <c r="I51" s="102" t="n">
        <v>0</v>
      </c>
      <c r="J51" s="102" t="n">
        <v>0</v>
      </c>
      <c r="K51" s="102" t="n">
        <v>0</v>
      </c>
      <c r="L51" s="102" t="n">
        <v>0</v>
      </c>
      <c r="M51" s="102" t="n">
        <v>0</v>
      </c>
      <c r="N51" s="102" t="n">
        <v>0</v>
      </c>
      <c r="O51" s="102" t="n">
        <v>0</v>
      </c>
      <c r="P51" s="102" t="n">
        <v>0</v>
      </c>
      <c r="Q51" s="102" t="n">
        <v>0</v>
      </c>
      <c r="R51" s="102" t="n">
        <v>25</v>
      </c>
      <c r="S51" s="102" t="n">
        <v>50</v>
      </c>
      <c r="T51" s="102" t="n">
        <v>75</v>
      </c>
      <c r="U51" s="102" t="n">
        <v>100</v>
      </c>
      <c r="V51" s="102" t="n">
        <v>100</v>
      </c>
      <c r="W51" s="102" t="n">
        <v>200</v>
      </c>
      <c r="X51" s="102" t="n">
        <v>200</v>
      </c>
      <c r="Y51" s="102" t="n">
        <v>300</v>
      </c>
      <c r="Z51" s="102" t="n">
        <v>300</v>
      </c>
      <c r="AA51" s="102" t="n">
        <v>300</v>
      </c>
      <c r="AB51" s="102" t="n">
        <v>300</v>
      </c>
      <c r="AC51" s="102" t="n">
        <v>300</v>
      </c>
      <c r="AD51" s="102" t="n">
        <v>300</v>
      </c>
      <c r="AE51" s="102" t="n">
        <v>300</v>
      </c>
      <c r="AF51" s="102" t="n">
        <v>300</v>
      </c>
      <c r="AG51" s="102" t="n">
        <v>300</v>
      </c>
      <c r="AI51" s="103" t="n">
        <f aca="false">INDEX($F51:$AG51,1,MATCH(AI$7,$F$7:$AG$7,1))</f>
        <v>0</v>
      </c>
      <c r="AJ51" s="103" t="n">
        <f aca="false">INDEX($F51:$AG51,1,MATCH(AJ$7,$F$7:$AG$7,1))</f>
        <v>0</v>
      </c>
      <c r="AK51" s="103" t="n">
        <f aca="false">INDEX($F51:$AG51,1,MATCH(AK$7,$F$7:$AG$7,1))</f>
        <v>0</v>
      </c>
      <c r="AL51" s="103" t="n">
        <f aca="false">INDEX($F51:$AG51,1,MATCH(AL$7,$F$7:$AG$7,1))</f>
        <v>100</v>
      </c>
      <c r="AM51" s="103" t="n">
        <f aca="false">INDEX($F51:$AG51,1,MATCH(AM$7,$F$7:$AG$7,1))</f>
        <v>300</v>
      </c>
      <c r="AN51" s="103" t="n">
        <f aca="false">INDEX($F51:$AG51,1,MATCH(AN$7,$F$7:$AG$7,1))</f>
        <v>300</v>
      </c>
      <c r="AO51" s="103" t="n">
        <f aca="false">INDEX($F51:$AG51,1,MATCH(AO$7,$F$7:$AG$7,1))</f>
        <v>300</v>
      </c>
    </row>
    <row r="52" customFormat="false" ht="15" hidden="false" customHeight="false" outlineLevel="0" collapsed="false">
      <c r="A52" s="101" t="s">
        <v>1130</v>
      </c>
      <c r="B52" s="18" t="s">
        <v>415</v>
      </c>
      <c r="C52" s="18" t="s">
        <v>354</v>
      </c>
      <c r="D52" s="18" t="s">
        <v>1118</v>
      </c>
      <c r="F52" s="102" t="n">
        <v>0</v>
      </c>
      <c r="G52" s="102" t="n">
        <v>0</v>
      </c>
      <c r="H52" s="102" t="n">
        <v>0</v>
      </c>
      <c r="I52" s="102" t="n">
        <v>0</v>
      </c>
      <c r="J52" s="102" t="n">
        <v>0</v>
      </c>
      <c r="K52" s="102" t="n">
        <v>0</v>
      </c>
      <c r="L52" s="102" t="n">
        <v>0</v>
      </c>
      <c r="M52" s="102" t="n">
        <v>0</v>
      </c>
      <c r="N52" s="102" t="n">
        <v>0</v>
      </c>
      <c r="O52" s="102" t="n">
        <v>0</v>
      </c>
      <c r="P52" s="102" t="n">
        <v>0</v>
      </c>
      <c r="Q52" s="102" t="n">
        <v>0</v>
      </c>
      <c r="R52" s="102" t="n">
        <v>27</v>
      </c>
      <c r="S52" s="102" t="n">
        <v>60</v>
      </c>
      <c r="T52" s="102" t="n">
        <v>60</v>
      </c>
      <c r="U52" s="102" t="n">
        <v>120</v>
      </c>
      <c r="V52" s="102" t="n">
        <v>120</v>
      </c>
      <c r="W52" s="102" t="n">
        <v>120</v>
      </c>
      <c r="X52" s="102" t="n">
        <v>120</v>
      </c>
      <c r="Y52" s="102" t="n">
        <v>240</v>
      </c>
      <c r="Z52" s="102" t="n">
        <v>240</v>
      </c>
      <c r="AA52" s="102" t="n">
        <v>240</v>
      </c>
      <c r="AB52" s="102" t="n">
        <v>240</v>
      </c>
      <c r="AC52" s="102" t="n">
        <v>240</v>
      </c>
      <c r="AD52" s="102" t="n">
        <v>240</v>
      </c>
      <c r="AE52" s="102" t="n">
        <v>240</v>
      </c>
      <c r="AF52" s="102" t="n">
        <v>240</v>
      </c>
      <c r="AG52" s="102" t="n">
        <v>240</v>
      </c>
      <c r="AI52" s="103" t="n">
        <f aca="false">INDEX($F52:$AG52,1,MATCH(AI$7,$F$7:$AG$7,1))</f>
        <v>0</v>
      </c>
      <c r="AJ52" s="103" t="n">
        <f aca="false">INDEX($F52:$AG52,1,MATCH(AJ$7,$F$7:$AG$7,1))</f>
        <v>0</v>
      </c>
      <c r="AK52" s="103" t="n">
        <f aca="false">INDEX($F52:$AG52,1,MATCH(AK$7,$F$7:$AG$7,1))</f>
        <v>0</v>
      </c>
      <c r="AL52" s="103" t="n">
        <f aca="false">INDEX($F52:$AG52,1,MATCH(AL$7,$F$7:$AG$7,1))</f>
        <v>120</v>
      </c>
      <c r="AM52" s="103" t="n">
        <f aca="false">INDEX($F52:$AG52,1,MATCH(AM$7,$F$7:$AG$7,1))</f>
        <v>240</v>
      </c>
      <c r="AN52" s="103" t="n">
        <f aca="false">INDEX($F52:$AG52,1,MATCH(AN$7,$F$7:$AG$7,1))</f>
        <v>240</v>
      </c>
      <c r="AO52" s="103" t="n">
        <f aca="false">INDEX($F52:$AG52,1,MATCH(AO$7,$F$7:$AG$7,1))</f>
        <v>240</v>
      </c>
    </row>
    <row r="53" customFormat="false" ht="15" hidden="false" customHeight="false" outlineLevel="0" collapsed="false">
      <c r="A53" s="101" t="s">
        <v>1131</v>
      </c>
      <c r="B53" s="18" t="s">
        <v>415</v>
      </c>
      <c r="C53" s="18" t="s">
        <v>354</v>
      </c>
      <c r="D53" s="18" t="s">
        <v>1118</v>
      </c>
      <c r="F53" s="102" t="n">
        <v>0</v>
      </c>
      <c r="G53" s="102" t="n">
        <v>0</v>
      </c>
      <c r="H53" s="102" t="n">
        <v>0</v>
      </c>
      <c r="I53" s="102" t="n">
        <v>0</v>
      </c>
      <c r="J53" s="102" t="n">
        <v>0</v>
      </c>
      <c r="K53" s="102" t="n">
        <v>0</v>
      </c>
      <c r="L53" s="102" t="n">
        <v>0</v>
      </c>
      <c r="M53" s="102" t="n">
        <v>0</v>
      </c>
      <c r="N53" s="102" t="n">
        <v>0</v>
      </c>
      <c r="O53" s="102" t="n">
        <v>0</v>
      </c>
      <c r="P53" s="102" t="n">
        <v>0</v>
      </c>
      <c r="Q53" s="102" t="n">
        <v>30</v>
      </c>
      <c r="R53" s="102" t="n">
        <v>73.5</v>
      </c>
      <c r="S53" s="102" t="n">
        <v>120</v>
      </c>
      <c r="T53" s="102" t="n">
        <v>120</v>
      </c>
      <c r="U53" s="102" t="n">
        <v>180</v>
      </c>
      <c r="V53" s="102" t="n">
        <v>180</v>
      </c>
      <c r="W53" s="102" t="n">
        <v>180</v>
      </c>
      <c r="X53" s="102" t="n">
        <v>180</v>
      </c>
      <c r="Y53" s="102" t="n">
        <v>240</v>
      </c>
      <c r="Z53" s="102" t="n">
        <v>240</v>
      </c>
      <c r="AA53" s="102" t="n">
        <v>240</v>
      </c>
      <c r="AB53" s="102" t="n">
        <v>240</v>
      </c>
      <c r="AC53" s="102" t="n">
        <v>240</v>
      </c>
      <c r="AD53" s="102" t="n">
        <v>240</v>
      </c>
      <c r="AE53" s="102" t="n">
        <v>240</v>
      </c>
      <c r="AF53" s="102" t="n">
        <v>240</v>
      </c>
      <c r="AG53" s="102" t="n">
        <v>240</v>
      </c>
      <c r="AI53" s="103" t="n">
        <f aca="false">INDEX($F53:$AG53,1,MATCH(AI$7,$F$7:$AG$7,1))</f>
        <v>0</v>
      </c>
      <c r="AJ53" s="103" t="n">
        <f aca="false">INDEX($F53:$AG53,1,MATCH(AJ$7,$F$7:$AG$7,1))</f>
        <v>0</v>
      </c>
      <c r="AK53" s="103" t="n">
        <f aca="false">INDEX($F53:$AG53,1,MATCH(AK$7,$F$7:$AG$7,1))</f>
        <v>30</v>
      </c>
      <c r="AL53" s="103" t="n">
        <f aca="false">INDEX($F53:$AG53,1,MATCH(AL$7,$F$7:$AG$7,1))</f>
        <v>180</v>
      </c>
      <c r="AM53" s="103" t="n">
        <f aca="false">INDEX($F53:$AG53,1,MATCH(AM$7,$F$7:$AG$7,1))</f>
        <v>240</v>
      </c>
      <c r="AN53" s="103" t="n">
        <f aca="false">INDEX($F53:$AG53,1,MATCH(AN$7,$F$7:$AG$7,1))</f>
        <v>240</v>
      </c>
      <c r="AO53" s="103" t="n">
        <f aca="false">INDEX($F53:$AG53,1,MATCH(AO$7,$F$7:$AG$7,1))</f>
        <v>240</v>
      </c>
    </row>
    <row r="54" customFormat="false" ht="15" hidden="false" customHeight="false" outlineLevel="0" collapsed="false">
      <c r="A54" s="101" t="s">
        <v>1132</v>
      </c>
      <c r="B54" s="18" t="s">
        <v>415</v>
      </c>
      <c r="C54" s="18" t="s">
        <v>354</v>
      </c>
      <c r="D54" s="18" t="s">
        <v>1118</v>
      </c>
      <c r="F54" s="102" t="n">
        <v>0</v>
      </c>
      <c r="G54" s="102" t="n">
        <v>0</v>
      </c>
      <c r="H54" s="102" t="n">
        <v>0</v>
      </c>
      <c r="I54" s="102" t="n">
        <v>0</v>
      </c>
      <c r="J54" s="102" t="n">
        <v>0</v>
      </c>
      <c r="K54" s="102" t="n">
        <v>0</v>
      </c>
      <c r="L54" s="102" t="n">
        <v>0</v>
      </c>
      <c r="M54" s="102" t="n">
        <v>0</v>
      </c>
      <c r="N54" s="102" t="n">
        <v>0</v>
      </c>
      <c r="O54" s="102" t="n">
        <v>0</v>
      </c>
      <c r="P54" s="102" t="n">
        <v>0</v>
      </c>
      <c r="Q54" s="102" t="n">
        <v>60</v>
      </c>
      <c r="R54" s="102" t="n">
        <v>120</v>
      </c>
      <c r="S54" s="102" t="n">
        <v>180</v>
      </c>
      <c r="T54" s="102" t="n">
        <v>180</v>
      </c>
      <c r="U54" s="102" t="n">
        <v>240</v>
      </c>
      <c r="V54" s="102" t="n">
        <v>240</v>
      </c>
      <c r="W54" s="102" t="n">
        <v>240</v>
      </c>
      <c r="X54" s="102" t="n">
        <v>240</v>
      </c>
      <c r="Y54" s="102" t="n">
        <v>240</v>
      </c>
      <c r="Z54" s="102" t="n">
        <v>240</v>
      </c>
      <c r="AA54" s="102" t="n">
        <v>240</v>
      </c>
      <c r="AB54" s="102" t="n">
        <v>240</v>
      </c>
      <c r="AC54" s="102" t="n">
        <v>240</v>
      </c>
      <c r="AD54" s="102" t="n">
        <v>240</v>
      </c>
      <c r="AE54" s="102" t="n">
        <v>240</v>
      </c>
      <c r="AF54" s="102" t="n">
        <v>240</v>
      </c>
      <c r="AG54" s="102" t="n">
        <v>240</v>
      </c>
      <c r="AI54" s="103" t="n">
        <f aca="false">INDEX($F54:$AG54,1,MATCH(AI$7,$F$7:$AG$7,1))</f>
        <v>0</v>
      </c>
      <c r="AJ54" s="103" t="n">
        <f aca="false">INDEX($F54:$AG54,1,MATCH(AJ$7,$F$7:$AG$7,1))</f>
        <v>0</v>
      </c>
      <c r="AK54" s="103" t="n">
        <f aca="false">INDEX($F54:$AG54,1,MATCH(AK$7,$F$7:$AG$7,1))</f>
        <v>60</v>
      </c>
      <c r="AL54" s="103" t="n">
        <f aca="false">INDEX($F54:$AG54,1,MATCH(AL$7,$F$7:$AG$7,1))</f>
        <v>240</v>
      </c>
      <c r="AM54" s="103" t="n">
        <f aca="false">INDEX($F54:$AG54,1,MATCH(AM$7,$F$7:$AG$7,1))</f>
        <v>240</v>
      </c>
      <c r="AN54" s="103" t="n">
        <f aca="false">INDEX($F54:$AG54,1,MATCH(AN$7,$F$7:$AG$7,1))</f>
        <v>240</v>
      </c>
      <c r="AO54" s="103" t="n">
        <f aca="false">INDEX($F54:$AG54,1,MATCH(AO$7,$F$7:$AG$7,1))</f>
        <v>240</v>
      </c>
    </row>
    <row r="55" customFormat="false" ht="15" hidden="false" customHeight="false" outlineLevel="0" collapsed="false">
      <c r="A55" s="101" t="s">
        <v>1133</v>
      </c>
      <c r="B55" s="18" t="s">
        <v>415</v>
      </c>
      <c r="C55" s="18" t="s">
        <v>354</v>
      </c>
      <c r="D55" s="18" t="s">
        <v>1118</v>
      </c>
      <c r="F55" s="102" t="n">
        <v>0</v>
      </c>
      <c r="G55" s="102" t="n">
        <v>0</v>
      </c>
      <c r="H55" s="102" t="n">
        <v>0</v>
      </c>
      <c r="I55" s="102" t="n">
        <v>0</v>
      </c>
      <c r="J55" s="102" t="n">
        <v>0</v>
      </c>
      <c r="K55" s="102" t="n">
        <v>0</v>
      </c>
      <c r="L55" s="102" t="n">
        <v>0</v>
      </c>
      <c r="M55" s="102" t="n">
        <v>0</v>
      </c>
      <c r="N55" s="102" t="n">
        <v>0</v>
      </c>
      <c r="O55" s="102" t="n">
        <v>0</v>
      </c>
      <c r="P55" s="102" t="n">
        <v>0</v>
      </c>
      <c r="Q55" s="102" t="n">
        <v>0</v>
      </c>
      <c r="R55" s="102" t="n">
        <v>0</v>
      </c>
      <c r="S55" s="102" t="n">
        <v>0</v>
      </c>
      <c r="T55" s="102" t="n">
        <v>0</v>
      </c>
      <c r="U55" s="102" t="n">
        <v>35</v>
      </c>
      <c r="V55" s="102" t="n">
        <v>35</v>
      </c>
      <c r="W55" s="102" t="n">
        <v>70</v>
      </c>
      <c r="X55" s="102" t="n">
        <v>70</v>
      </c>
      <c r="Y55" s="102" t="n">
        <v>140</v>
      </c>
      <c r="Z55" s="102" t="n">
        <v>140</v>
      </c>
      <c r="AA55" s="102" t="n">
        <v>140</v>
      </c>
      <c r="AB55" s="102" t="n">
        <v>140</v>
      </c>
      <c r="AC55" s="102" t="n">
        <v>220</v>
      </c>
      <c r="AD55" s="102" t="n">
        <v>220</v>
      </c>
      <c r="AE55" s="102" t="n">
        <v>220</v>
      </c>
      <c r="AF55" s="102" t="n">
        <v>220</v>
      </c>
      <c r="AG55" s="102" t="n">
        <v>310</v>
      </c>
      <c r="AI55" s="103" t="n">
        <f aca="false">INDEX($F55:$AG55,1,MATCH(AI$7,$F$7:$AG$7,1))</f>
        <v>0</v>
      </c>
      <c r="AJ55" s="103" t="n">
        <f aca="false">INDEX($F55:$AG55,1,MATCH(AJ$7,$F$7:$AG$7,1))</f>
        <v>0</v>
      </c>
      <c r="AK55" s="103" t="n">
        <f aca="false">INDEX($F55:$AG55,1,MATCH(AK$7,$F$7:$AG$7,1))</f>
        <v>0</v>
      </c>
      <c r="AL55" s="103" t="n">
        <f aca="false">INDEX($F55:$AG55,1,MATCH(AL$7,$F$7:$AG$7,1))</f>
        <v>35</v>
      </c>
      <c r="AM55" s="103" t="n">
        <f aca="false">INDEX($F55:$AG55,1,MATCH(AM$7,$F$7:$AG$7,1))</f>
        <v>140</v>
      </c>
      <c r="AN55" s="103" t="n">
        <f aca="false">INDEX($F55:$AG55,1,MATCH(AN$7,$F$7:$AG$7,1))</f>
        <v>220</v>
      </c>
      <c r="AO55" s="103" t="n">
        <f aca="false">INDEX($F55:$AG55,1,MATCH(AO$7,$F$7:$AG$7,1))</f>
        <v>310</v>
      </c>
    </row>
    <row r="56" customFormat="false" ht="15" hidden="false" customHeight="false" outlineLevel="0" collapsed="false">
      <c r="A56" s="101" t="s">
        <v>1134</v>
      </c>
      <c r="B56" s="18" t="s">
        <v>415</v>
      </c>
      <c r="C56" s="18" t="s">
        <v>354</v>
      </c>
      <c r="D56" s="18" t="s">
        <v>1118</v>
      </c>
      <c r="F56" s="102" t="n">
        <v>0</v>
      </c>
      <c r="G56" s="102" t="n">
        <v>0</v>
      </c>
      <c r="H56" s="102" t="n">
        <v>0</v>
      </c>
      <c r="I56" s="102" t="n">
        <v>0</v>
      </c>
      <c r="J56" s="102" t="n">
        <v>0</v>
      </c>
      <c r="K56" s="102" t="n">
        <v>0</v>
      </c>
      <c r="L56" s="102" t="n">
        <v>0</v>
      </c>
      <c r="M56" s="102" t="n">
        <v>0</v>
      </c>
      <c r="N56" s="102" t="n">
        <v>0</v>
      </c>
      <c r="O56" s="102" t="n">
        <v>0</v>
      </c>
      <c r="P56" s="102" t="n">
        <v>0</v>
      </c>
      <c r="Q56" s="102" t="n">
        <v>0</v>
      </c>
      <c r="R56" s="102" t="n">
        <v>0</v>
      </c>
      <c r="S56" s="102" t="n">
        <v>17.5</v>
      </c>
      <c r="T56" s="102" t="n">
        <v>35</v>
      </c>
      <c r="U56" s="102" t="n">
        <v>52.5</v>
      </c>
      <c r="V56" s="102" t="n">
        <v>52.5</v>
      </c>
      <c r="W56" s="102" t="n">
        <v>105</v>
      </c>
      <c r="X56" s="102" t="n">
        <v>105</v>
      </c>
      <c r="Y56" s="102" t="n">
        <v>170</v>
      </c>
      <c r="Z56" s="102" t="n">
        <v>170</v>
      </c>
      <c r="AA56" s="102" t="n">
        <v>170</v>
      </c>
      <c r="AB56" s="102" t="n">
        <v>170</v>
      </c>
      <c r="AC56" s="102" t="n">
        <v>265</v>
      </c>
      <c r="AD56" s="102" t="n">
        <v>265</v>
      </c>
      <c r="AE56" s="102" t="n">
        <v>265</v>
      </c>
      <c r="AF56" s="102" t="n">
        <v>265</v>
      </c>
      <c r="AG56" s="102" t="n">
        <v>310</v>
      </c>
      <c r="AI56" s="103" t="n">
        <f aca="false">INDEX($F56:$AG56,1,MATCH(AI$7,$F$7:$AG$7,1))</f>
        <v>0</v>
      </c>
      <c r="AJ56" s="103" t="n">
        <f aca="false">INDEX($F56:$AG56,1,MATCH(AJ$7,$F$7:$AG$7,1))</f>
        <v>0</v>
      </c>
      <c r="AK56" s="103" t="n">
        <f aca="false">INDEX($F56:$AG56,1,MATCH(AK$7,$F$7:$AG$7,1))</f>
        <v>0</v>
      </c>
      <c r="AL56" s="103" t="n">
        <f aca="false">INDEX($F56:$AG56,1,MATCH(AL$7,$F$7:$AG$7,1))</f>
        <v>52.5</v>
      </c>
      <c r="AM56" s="103" t="n">
        <f aca="false">INDEX($F56:$AG56,1,MATCH(AM$7,$F$7:$AG$7,1))</f>
        <v>170</v>
      </c>
      <c r="AN56" s="103" t="n">
        <f aca="false">INDEX($F56:$AG56,1,MATCH(AN$7,$F$7:$AG$7,1))</f>
        <v>265</v>
      </c>
      <c r="AO56" s="103" t="n">
        <f aca="false">INDEX($F56:$AG56,1,MATCH(AO$7,$F$7:$AG$7,1))</f>
        <v>310</v>
      </c>
    </row>
    <row r="57" customFormat="false" ht="15" hidden="false" customHeight="false" outlineLevel="0" collapsed="false">
      <c r="A57" s="101" t="s">
        <v>1135</v>
      </c>
      <c r="B57" s="18" t="s">
        <v>415</v>
      </c>
      <c r="C57" s="18" t="s">
        <v>354</v>
      </c>
      <c r="D57" s="18" t="s">
        <v>1118</v>
      </c>
      <c r="F57" s="102" t="n">
        <v>0</v>
      </c>
      <c r="G57" s="102" t="n">
        <v>0</v>
      </c>
      <c r="H57" s="102" t="n">
        <v>0</v>
      </c>
      <c r="I57" s="102" t="n">
        <v>0</v>
      </c>
      <c r="J57" s="102" t="n">
        <v>0</v>
      </c>
      <c r="K57" s="102" t="n">
        <v>0</v>
      </c>
      <c r="L57" s="102" t="n">
        <v>0</v>
      </c>
      <c r="M57" s="102" t="n">
        <v>0</v>
      </c>
      <c r="N57" s="102" t="n">
        <v>0</v>
      </c>
      <c r="O57" s="102" t="n">
        <v>0</v>
      </c>
      <c r="P57" s="102" t="n">
        <v>0</v>
      </c>
      <c r="Q57" s="102" t="n">
        <v>0</v>
      </c>
      <c r="R57" s="102" t="n">
        <v>0</v>
      </c>
      <c r="S57" s="102" t="n">
        <v>35</v>
      </c>
      <c r="T57" s="102" t="n">
        <v>70</v>
      </c>
      <c r="U57" s="102" t="n">
        <v>70</v>
      </c>
      <c r="V57" s="102" t="n">
        <v>70</v>
      </c>
      <c r="W57" s="102" t="n">
        <v>140</v>
      </c>
      <c r="X57" s="102" t="n">
        <v>140</v>
      </c>
      <c r="Y57" s="102" t="n">
        <v>200</v>
      </c>
      <c r="Z57" s="102" t="n">
        <v>200</v>
      </c>
      <c r="AA57" s="102" t="n">
        <v>200</v>
      </c>
      <c r="AB57" s="102" t="n">
        <v>200</v>
      </c>
      <c r="AC57" s="102" t="n">
        <v>310</v>
      </c>
      <c r="AD57" s="102" t="n">
        <v>310</v>
      </c>
      <c r="AE57" s="102" t="n">
        <v>310</v>
      </c>
      <c r="AF57" s="102" t="n">
        <v>310</v>
      </c>
      <c r="AG57" s="102" t="n">
        <v>310</v>
      </c>
      <c r="AI57" s="103" t="n">
        <f aca="false">INDEX($F57:$AG57,1,MATCH(AI$7,$F$7:$AG$7,1))</f>
        <v>0</v>
      </c>
      <c r="AJ57" s="103" t="n">
        <f aca="false">INDEX($F57:$AG57,1,MATCH(AJ$7,$F$7:$AG$7,1))</f>
        <v>0</v>
      </c>
      <c r="AK57" s="103" t="n">
        <f aca="false">INDEX($F57:$AG57,1,MATCH(AK$7,$F$7:$AG$7,1))</f>
        <v>0</v>
      </c>
      <c r="AL57" s="103" t="n">
        <f aca="false">INDEX($F57:$AG57,1,MATCH(AL$7,$F$7:$AG$7,1))</f>
        <v>70</v>
      </c>
      <c r="AM57" s="103" t="n">
        <f aca="false">INDEX($F57:$AG57,1,MATCH(AM$7,$F$7:$AG$7,1))</f>
        <v>200</v>
      </c>
      <c r="AN57" s="103" t="n">
        <f aca="false">INDEX($F57:$AG57,1,MATCH(AN$7,$F$7:$AG$7,1))</f>
        <v>310</v>
      </c>
      <c r="AO57" s="103" t="n">
        <f aca="false">INDEX($F57:$AG57,1,MATCH(AO$7,$F$7:$AG$7,1))</f>
        <v>310</v>
      </c>
    </row>
    <row r="58" customFormat="false" ht="15" hidden="false" customHeight="false" outlineLevel="0" collapsed="false">
      <c r="A58" s="101" t="s">
        <v>1136</v>
      </c>
      <c r="B58" s="18" t="s">
        <v>415</v>
      </c>
      <c r="C58" s="18" t="s">
        <v>354</v>
      </c>
      <c r="D58" s="18" t="s">
        <v>1118</v>
      </c>
      <c r="F58" s="102" t="n">
        <v>25</v>
      </c>
      <c r="G58" s="102" t="n">
        <v>25</v>
      </c>
      <c r="H58" s="102" t="n">
        <v>25</v>
      </c>
      <c r="I58" s="102" t="n">
        <v>25</v>
      </c>
      <c r="J58" s="102" t="n">
        <v>25</v>
      </c>
      <c r="K58" s="102" t="n">
        <v>25</v>
      </c>
      <c r="L58" s="102" t="n">
        <v>25</v>
      </c>
      <c r="M58" s="102" t="n">
        <v>50</v>
      </c>
      <c r="N58" s="102" t="n">
        <v>75</v>
      </c>
      <c r="O58" s="102" t="n">
        <v>75</v>
      </c>
      <c r="P58" s="102" t="n">
        <v>75</v>
      </c>
      <c r="Q58" s="102" t="n">
        <v>75</v>
      </c>
      <c r="R58" s="102" t="n">
        <v>75</v>
      </c>
      <c r="S58" s="102" t="n">
        <v>75</v>
      </c>
      <c r="T58" s="102" t="n">
        <v>75</v>
      </c>
      <c r="U58" s="102" t="n">
        <v>75</v>
      </c>
      <c r="V58" s="102" t="n">
        <v>75</v>
      </c>
      <c r="W58" s="102" t="n">
        <v>75</v>
      </c>
      <c r="X58" s="102" t="n">
        <v>75</v>
      </c>
      <c r="Y58" s="102" t="n">
        <v>75</v>
      </c>
      <c r="Z58" s="102" t="n">
        <v>75</v>
      </c>
      <c r="AA58" s="102" t="n">
        <v>75</v>
      </c>
      <c r="AB58" s="102" t="n">
        <v>75</v>
      </c>
      <c r="AC58" s="102" t="n">
        <v>75</v>
      </c>
      <c r="AD58" s="102" t="n">
        <v>75</v>
      </c>
      <c r="AE58" s="102" t="n">
        <v>75</v>
      </c>
      <c r="AF58" s="102" t="n">
        <v>75</v>
      </c>
      <c r="AG58" s="102" t="n">
        <v>75</v>
      </c>
      <c r="AI58" s="103" t="n">
        <f aca="false">INDEX($F58:$AG58,1,MATCH(AI$7,$F$7:$AG$7,1))</f>
        <v>25</v>
      </c>
      <c r="AJ58" s="103" t="n">
        <f aca="false">INDEX($F58:$AG58,1,MATCH(AJ$7,$F$7:$AG$7,1))</f>
        <v>50</v>
      </c>
      <c r="AK58" s="103" t="n">
        <f aca="false">INDEX($F58:$AG58,1,MATCH(AK$7,$F$7:$AG$7,1))</f>
        <v>75</v>
      </c>
      <c r="AL58" s="103" t="n">
        <f aca="false">INDEX($F58:$AG58,1,MATCH(AL$7,$F$7:$AG$7,1))</f>
        <v>75</v>
      </c>
      <c r="AM58" s="103" t="n">
        <f aca="false">INDEX($F58:$AG58,1,MATCH(AM$7,$F$7:$AG$7,1))</f>
        <v>75</v>
      </c>
      <c r="AN58" s="103" t="n">
        <f aca="false">INDEX($F58:$AG58,1,MATCH(AN$7,$F$7:$AG$7,1))</f>
        <v>75</v>
      </c>
      <c r="AO58" s="103" t="n">
        <f aca="false">INDEX($F58:$AG58,1,MATCH(AO$7,$F$7:$AG$7,1))</f>
        <v>75</v>
      </c>
    </row>
    <row r="59" customFormat="false" ht="15" hidden="false" customHeight="false" outlineLevel="0" collapsed="false">
      <c r="A59" s="101" t="s">
        <v>1137</v>
      </c>
      <c r="B59" s="18" t="s">
        <v>415</v>
      </c>
      <c r="C59" s="18" t="s">
        <v>354</v>
      </c>
      <c r="D59" s="18" t="s">
        <v>1118</v>
      </c>
      <c r="F59" s="102" t="n">
        <v>25</v>
      </c>
      <c r="G59" s="102" t="n">
        <v>25</v>
      </c>
      <c r="H59" s="102" t="n">
        <v>25</v>
      </c>
      <c r="I59" s="102" t="n">
        <v>25</v>
      </c>
      <c r="J59" s="102" t="n">
        <v>25</v>
      </c>
      <c r="K59" s="102" t="n">
        <v>25</v>
      </c>
      <c r="L59" s="102" t="n">
        <v>37.5</v>
      </c>
      <c r="M59" s="102" t="n">
        <v>62.5</v>
      </c>
      <c r="N59" s="102" t="n">
        <v>75</v>
      </c>
      <c r="O59" s="102" t="n">
        <v>75</v>
      </c>
      <c r="P59" s="102" t="n">
        <v>75</v>
      </c>
      <c r="Q59" s="102" t="n">
        <v>75</v>
      </c>
      <c r="R59" s="102" t="n">
        <v>75</v>
      </c>
      <c r="S59" s="102" t="n">
        <v>75</v>
      </c>
      <c r="T59" s="102" t="n">
        <v>75</v>
      </c>
      <c r="U59" s="102" t="n">
        <v>75</v>
      </c>
      <c r="V59" s="102" t="n">
        <v>75</v>
      </c>
      <c r="W59" s="102" t="n">
        <v>75</v>
      </c>
      <c r="X59" s="102" t="n">
        <v>75</v>
      </c>
      <c r="Y59" s="102" t="n">
        <v>75</v>
      </c>
      <c r="Z59" s="102" t="n">
        <v>75</v>
      </c>
      <c r="AA59" s="102" t="n">
        <v>75</v>
      </c>
      <c r="AB59" s="102" t="n">
        <v>75</v>
      </c>
      <c r="AC59" s="102" t="n">
        <v>75</v>
      </c>
      <c r="AD59" s="102" t="n">
        <v>75</v>
      </c>
      <c r="AE59" s="102" t="n">
        <v>75</v>
      </c>
      <c r="AF59" s="102" t="n">
        <v>75</v>
      </c>
      <c r="AG59" s="102" t="n">
        <v>75</v>
      </c>
      <c r="AI59" s="103" t="n">
        <f aca="false">INDEX($F59:$AG59,1,MATCH(AI$7,$F$7:$AG$7,1))</f>
        <v>25</v>
      </c>
      <c r="AJ59" s="103" t="n">
        <f aca="false">INDEX($F59:$AG59,1,MATCH(AJ$7,$F$7:$AG$7,1))</f>
        <v>62.5</v>
      </c>
      <c r="AK59" s="103" t="n">
        <f aca="false">INDEX($F59:$AG59,1,MATCH(AK$7,$F$7:$AG$7,1))</f>
        <v>75</v>
      </c>
      <c r="AL59" s="103" t="n">
        <f aca="false">INDEX($F59:$AG59,1,MATCH(AL$7,$F$7:$AG$7,1))</f>
        <v>75</v>
      </c>
      <c r="AM59" s="103" t="n">
        <f aca="false">INDEX($F59:$AG59,1,MATCH(AM$7,$F$7:$AG$7,1))</f>
        <v>75</v>
      </c>
      <c r="AN59" s="103" t="n">
        <f aca="false">INDEX($F59:$AG59,1,MATCH(AN$7,$F$7:$AG$7,1))</f>
        <v>75</v>
      </c>
      <c r="AO59" s="103" t="n">
        <f aca="false">INDEX($F59:$AG59,1,MATCH(AO$7,$F$7:$AG$7,1))</f>
        <v>75</v>
      </c>
    </row>
    <row r="60" customFormat="false" ht="15" hidden="false" customHeight="false" outlineLevel="0" collapsed="false">
      <c r="A60" s="101" t="s">
        <v>1138</v>
      </c>
      <c r="B60" s="18" t="s">
        <v>415</v>
      </c>
      <c r="C60" s="18" t="s">
        <v>354</v>
      </c>
      <c r="D60" s="18" t="s">
        <v>1118</v>
      </c>
      <c r="F60" s="102" t="n">
        <v>25</v>
      </c>
      <c r="G60" s="102" t="n">
        <v>25</v>
      </c>
      <c r="H60" s="102" t="n">
        <v>25</v>
      </c>
      <c r="I60" s="102" t="n">
        <v>25</v>
      </c>
      <c r="J60" s="102" t="n">
        <v>25</v>
      </c>
      <c r="K60" s="102" t="n">
        <v>25</v>
      </c>
      <c r="L60" s="102" t="n">
        <v>50</v>
      </c>
      <c r="M60" s="102" t="n">
        <v>75</v>
      </c>
      <c r="N60" s="102" t="n">
        <v>75</v>
      </c>
      <c r="O60" s="102" t="n">
        <v>75</v>
      </c>
      <c r="P60" s="102" t="n">
        <v>75</v>
      </c>
      <c r="Q60" s="102" t="n">
        <v>75</v>
      </c>
      <c r="R60" s="102" t="n">
        <v>75</v>
      </c>
      <c r="S60" s="102" t="n">
        <v>75</v>
      </c>
      <c r="T60" s="102" t="n">
        <v>75</v>
      </c>
      <c r="U60" s="102" t="n">
        <v>75</v>
      </c>
      <c r="V60" s="102" t="n">
        <v>75</v>
      </c>
      <c r="W60" s="102" t="n">
        <v>75</v>
      </c>
      <c r="X60" s="102" t="n">
        <v>75</v>
      </c>
      <c r="Y60" s="102" t="n">
        <v>75</v>
      </c>
      <c r="Z60" s="102" t="n">
        <v>75</v>
      </c>
      <c r="AA60" s="102" t="n">
        <v>75</v>
      </c>
      <c r="AB60" s="102" t="n">
        <v>75</v>
      </c>
      <c r="AC60" s="102" t="n">
        <v>75</v>
      </c>
      <c r="AD60" s="102" t="n">
        <v>75</v>
      </c>
      <c r="AE60" s="102" t="n">
        <v>75</v>
      </c>
      <c r="AF60" s="102" t="n">
        <v>75</v>
      </c>
      <c r="AG60" s="102" t="n">
        <v>75</v>
      </c>
      <c r="AI60" s="103" t="n">
        <f aca="false">INDEX($F60:$AG60,1,MATCH(AI$7,$F$7:$AG$7,1))</f>
        <v>25</v>
      </c>
      <c r="AJ60" s="103" t="n">
        <f aca="false">INDEX($F60:$AG60,1,MATCH(AJ$7,$F$7:$AG$7,1))</f>
        <v>75</v>
      </c>
      <c r="AK60" s="103" t="n">
        <f aca="false">INDEX($F60:$AG60,1,MATCH(AK$7,$F$7:$AG$7,1))</f>
        <v>75</v>
      </c>
      <c r="AL60" s="103" t="n">
        <f aca="false">INDEX($F60:$AG60,1,MATCH(AL$7,$F$7:$AG$7,1))</f>
        <v>75</v>
      </c>
      <c r="AM60" s="103" t="n">
        <f aca="false">INDEX($F60:$AG60,1,MATCH(AM$7,$F$7:$AG$7,1))</f>
        <v>75</v>
      </c>
      <c r="AN60" s="103" t="n">
        <f aca="false">INDEX($F60:$AG60,1,MATCH(AN$7,$F$7:$AG$7,1))</f>
        <v>75</v>
      </c>
      <c r="AO60" s="103" t="n">
        <f aca="false">INDEX($F60:$AG60,1,MATCH(AO$7,$F$7:$AG$7,1))</f>
        <v>75</v>
      </c>
    </row>
    <row r="61" customFormat="false" ht="15" hidden="false" customHeight="false" outlineLevel="0" collapsed="false">
      <c r="A61" s="101" t="s">
        <v>1139</v>
      </c>
      <c r="B61" s="18" t="s">
        <v>415</v>
      </c>
      <c r="C61" s="18" t="s">
        <v>354</v>
      </c>
      <c r="D61" s="18" t="s">
        <v>1118</v>
      </c>
      <c r="F61" s="102" t="n">
        <v>0</v>
      </c>
      <c r="G61" s="102" t="n">
        <v>0</v>
      </c>
      <c r="H61" s="102" t="n">
        <v>0</v>
      </c>
      <c r="I61" s="102" t="n">
        <v>0</v>
      </c>
      <c r="J61" s="102" t="n">
        <v>0</v>
      </c>
      <c r="K61" s="102" t="n">
        <v>0</v>
      </c>
      <c r="L61" s="102" t="n">
        <v>0</v>
      </c>
      <c r="M61" s="102" t="n">
        <v>0</v>
      </c>
      <c r="N61" s="102" t="n">
        <v>0</v>
      </c>
      <c r="O61" s="102" t="n">
        <v>0</v>
      </c>
      <c r="P61" s="102" t="n">
        <v>0</v>
      </c>
      <c r="Q61" s="102" t="n">
        <v>0</v>
      </c>
      <c r="R61" s="102" t="n">
        <v>0</v>
      </c>
      <c r="S61" s="102" t="n">
        <v>0</v>
      </c>
      <c r="T61" s="102" t="n">
        <v>0</v>
      </c>
      <c r="U61" s="102" t="n">
        <v>0</v>
      </c>
      <c r="V61" s="102" t="n">
        <v>35</v>
      </c>
      <c r="W61" s="102" t="n">
        <v>70</v>
      </c>
      <c r="X61" s="102" t="n">
        <v>70</v>
      </c>
      <c r="Y61" s="102" t="n">
        <v>70</v>
      </c>
      <c r="Z61" s="102" t="n">
        <v>70</v>
      </c>
      <c r="AA61" s="102" t="n">
        <v>70</v>
      </c>
      <c r="AB61" s="102" t="n">
        <v>70</v>
      </c>
      <c r="AC61" s="102" t="n">
        <v>70</v>
      </c>
      <c r="AD61" s="102" t="n">
        <v>70</v>
      </c>
      <c r="AE61" s="102" t="n">
        <v>70</v>
      </c>
      <c r="AF61" s="102" t="n">
        <v>70</v>
      </c>
      <c r="AG61" s="102" t="n">
        <v>70</v>
      </c>
      <c r="AI61" s="103" t="n">
        <f aca="false">INDEX($F61:$AG61,1,MATCH(AI$7,$F$7:$AG$7,1))</f>
        <v>0</v>
      </c>
      <c r="AJ61" s="103" t="n">
        <f aca="false">INDEX($F61:$AG61,1,MATCH(AJ$7,$F$7:$AG$7,1))</f>
        <v>0</v>
      </c>
      <c r="AK61" s="103" t="n">
        <f aca="false">INDEX($F61:$AG61,1,MATCH(AK$7,$F$7:$AG$7,1))</f>
        <v>0</v>
      </c>
      <c r="AL61" s="103" t="n">
        <f aca="false">INDEX($F61:$AG61,1,MATCH(AL$7,$F$7:$AG$7,1))</f>
        <v>0</v>
      </c>
      <c r="AM61" s="103" t="n">
        <f aca="false">INDEX($F61:$AG61,1,MATCH(AM$7,$F$7:$AG$7,1))</f>
        <v>70</v>
      </c>
      <c r="AN61" s="103" t="n">
        <f aca="false">INDEX($F61:$AG61,1,MATCH(AN$7,$F$7:$AG$7,1))</f>
        <v>70</v>
      </c>
      <c r="AO61" s="103" t="n">
        <f aca="false">INDEX($F61:$AG61,1,MATCH(AO$7,$F$7:$AG$7,1))</f>
        <v>70</v>
      </c>
    </row>
    <row r="62" customFormat="false" ht="15" hidden="false" customHeight="false" outlineLevel="0" collapsed="false">
      <c r="A62" s="101" t="s">
        <v>1140</v>
      </c>
      <c r="B62" s="18" t="s">
        <v>415</v>
      </c>
      <c r="C62" s="18" t="s">
        <v>354</v>
      </c>
      <c r="D62" s="18" t="s">
        <v>1118</v>
      </c>
      <c r="F62" s="102" t="n">
        <v>0</v>
      </c>
      <c r="G62" s="102" t="n">
        <v>0</v>
      </c>
      <c r="H62" s="102" t="n">
        <v>0</v>
      </c>
      <c r="I62" s="102" t="n">
        <v>0</v>
      </c>
      <c r="J62" s="102" t="n">
        <v>0</v>
      </c>
      <c r="K62" s="102" t="n">
        <v>0</v>
      </c>
      <c r="L62" s="102" t="n">
        <v>0</v>
      </c>
      <c r="M62" s="102" t="n">
        <v>0</v>
      </c>
      <c r="N62" s="102" t="n">
        <v>0</v>
      </c>
      <c r="O62" s="102" t="n">
        <v>0</v>
      </c>
      <c r="P62" s="102" t="n">
        <v>0</v>
      </c>
      <c r="Q62" s="102" t="n">
        <v>0</v>
      </c>
      <c r="R62" s="102" t="n">
        <v>0</v>
      </c>
      <c r="S62" s="102" t="n">
        <v>0</v>
      </c>
      <c r="T62" s="102" t="n">
        <v>0</v>
      </c>
      <c r="U62" s="102" t="n">
        <v>17.5</v>
      </c>
      <c r="V62" s="102" t="n">
        <v>52.5</v>
      </c>
      <c r="W62" s="102" t="n">
        <v>70</v>
      </c>
      <c r="X62" s="102" t="n">
        <v>70</v>
      </c>
      <c r="Y62" s="102" t="n">
        <v>70</v>
      </c>
      <c r="Z62" s="102" t="n">
        <v>70</v>
      </c>
      <c r="AA62" s="102" t="n">
        <v>70</v>
      </c>
      <c r="AB62" s="102" t="n">
        <v>70</v>
      </c>
      <c r="AC62" s="102" t="n">
        <v>70</v>
      </c>
      <c r="AD62" s="102" t="n">
        <v>70</v>
      </c>
      <c r="AE62" s="102" t="n">
        <v>70</v>
      </c>
      <c r="AF62" s="102" t="n">
        <v>70</v>
      </c>
      <c r="AG62" s="102" t="n">
        <v>70</v>
      </c>
      <c r="AI62" s="103" t="n">
        <f aca="false">INDEX($F62:$AG62,1,MATCH(AI$7,$F$7:$AG$7,1))</f>
        <v>0</v>
      </c>
      <c r="AJ62" s="103" t="n">
        <f aca="false">INDEX($F62:$AG62,1,MATCH(AJ$7,$F$7:$AG$7,1))</f>
        <v>0</v>
      </c>
      <c r="AK62" s="103" t="n">
        <f aca="false">INDEX($F62:$AG62,1,MATCH(AK$7,$F$7:$AG$7,1))</f>
        <v>0</v>
      </c>
      <c r="AL62" s="103" t="n">
        <f aca="false">INDEX($F62:$AG62,1,MATCH(AL$7,$F$7:$AG$7,1))</f>
        <v>17.5</v>
      </c>
      <c r="AM62" s="103" t="n">
        <f aca="false">INDEX($F62:$AG62,1,MATCH(AM$7,$F$7:$AG$7,1))</f>
        <v>70</v>
      </c>
      <c r="AN62" s="103" t="n">
        <f aca="false">INDEX($F62:$AG62,1,MATCH(AN$7,$F$7:$AG$7,1))</f>
        <v>70</v>
      </c>
      <c r="AO62" s="103" t="n">
        <f aca="false">INDEX($F62:$AG62,1,MATCH(AO$7,$F$7:$AG$7,1))</f>
        <v>70</v>
      </c>
    </row>
    <row r="63" customFormat="false" ht="15" hidden="false" customHeight="false" outlineLevel="0" collapsed="false">
      <c r="A63" s="101" t="s">
        <v>1141</v>
      </c>
      <c r="B63" s="18" t="s">
        <v>415</v>
      </c>
      <c r="C63" s="18" t="s">
        <v>354</v>
      </c>
      <c r="D63" s="18" t="s">
        <v>1118</v>
      </c>
      <c r="F63" s="102" t="n">
        <v>0</v>
      </c>
      <c r="G63" s="102" t="n">
        <v>0</v>
      </c>
      <c r="H63" s="102" t="n">
        <v>0</v>
      </c>
      <c r="I63" s="102" t="n">
        <v>0</v>
      </c>
      <c r="J63" s="102" t="n">
        <v>0</v>
      </c>
      <c r="K63" s="102" t="n">
        <v>0</v>
      </c>
      <c r="L63" s="102" t="n">
        <v>0</v>
      </c>
      <c r="M63" s="102" t="n">
        <v>0</v>
      </c>
      <c r="N63" s="102" t="n">
        <v>0</v>
      </c>
      <c r="O63" s="102" t="n">
        <v>0</v>
      </c>
      <c r="P63" s="102" t="n">
        <v>0</v>
      </c>
      <c r="Q63" s="102" t="n">
        <v>0</v>
      </c>
      <c r="R63" s="102" t="n">
        <v>0</v>
      </c>
      <c r="S63" s="102" t="n">
        <v>0</v>
      </c>
      <c r="T63" s="102" t="n">
        <v>0</v>
      </c>
      <c r="U63" s="102" t="n">
        <v>35</v>
      </c>
      <c r="V63" s="102" t="n">
        <v>70</v>
      </c>
      <c r="W63" s="102" t="n">
        <v>70</v>
      </c>
      <c r="X63" s="102" t="n">
        <v>70</v>
      </c>
      <c r="Y63" s="102" t="n">
        <v>70</v>
      </c>
      <c r="Z63" s="102" t="n">
        <v>70</v>
      </c>
      <c r="AA63" s="102" t="n">
        <v>70</v>
      </c>
      <c r="AB63" s="102" t="n">
        <v>70</v>
      </c>
      <c r="AC63" s="102" t="n">
        <v>70</v>
      </c>
      <c r="AD63" s="102" t="n">
        <v>70</v>
      </c>
      <c r="AE63" s="102" t="n">
        <v>70</v>
      </c>
      <c r="AF63" s="102" t="n">
        <v>70</v>
      </c>
      <c r="AG63" s="102" t="n">
        <v>70</v>
      </c>
      <c r="AI63" s="103" t="n">
        <f aca="false">INDEX($F63:$AG63,1,MATCH(AI$7,$F$7:$AG$7,1))</f>
        <v>0</v>
      </c>
      <c r="AJ63" s="103" t="n">
        <f aca="false">INDEX($F63:$AG63,1,MATCH(AJ$7,$F$7:$AG$7,1))</f>
        <v>0</v>
      </c>
      <c r="AK63" s="103" t="n">
        <f aca="false">INDEX($F63:$AG63,1,MATCH(AK$7,$F$7:$AG$7,1))</f>
        <v>0</v>
      </c>
      <c r="AL63" s="103" t="n">
        <f aca="false">INDEX($F63:$AG63,1,MATCH(AL$7,$F$7:$AG$7,1))</f>
        <v>35</v>
      </c>
      <c r="AM63" s="103" t="n">
        <f aca="false">INDEX($F63:$AG63,1,MATCH(AM$7,$F$7:$AG$7,1))</f>
        <v>70</v>
      </c>
      <c r="AN63" s="103" t="n">
        <f aca="false">INDEX($F63:$AG63,1,MATCH(AN$7,$F$7:$AG$7,1))</f>
        <v>70</v>
      </c>
      <c r="AO63" s="103" t="n">
        <f aca="false">INDEX($F63:$AG63,1,MATCH(AO$7,$F$7:$AG$7,1))</f>
        <v>70</v>
      </c>
    </row>
    <row r="64" customFormat="false" ht="15" hidden="false" customHeight="false" outlineLevel="0" collapsed="false">
      <c r="A64" s="101" t="s">
        <v>1142</v>
      </c>
      <c r="B64" s="18" t="s">
        <v>415</v>
      </c>
      <c r="C64" s="18" t="s">
        <v>354</v>
      </c>
      <c r="D64" s="18" t="s">
        <v>1118</v>
      </c>
      <c r="F64" s="102" t="n">
        <v>0</v>
      </c>
      <c r="G64" s="102" t="n">
        <v>0</v>
      </c>
      <c r="H64" s="102" t="n">
        <v>0</v>
      </c>
      <c r="I64" s="102" t="n">
        <v>0</v>
      </c>
      <c r="J64" s="102" t="n">
        <v>0</v>
      </c>
      <c r="K64" s="102" t="n">
        <v>5</v>
      </c>
      <c r="L64" s="102" t="n">
        <v>5</v>
      </c>
      <c r="M64" s="102" t="n">
        <v>5</v>
      </c>
      <c r="N64" s="102" t="n">
        <v>5</v>
      </c>
      <c r="O64" s="102" t="n">
        <v>5</v>
      </c>
      <c r="P64" s="102" t="n">
        <v>5</v>
      </c>
      <c r="Q64" s="102" t="n">
        <v>5</v>
      </c>
      <c r="R64" s="102" t="n">
        <v>5</v>
      </c>
      <c r="S64" s="102" t="n">
        <v>5</v>
      </c>
      <c r="T64" s="102" t="n">
        <v>5</v>
      </c>
      <c r="U64" s="102" t="n">
        <v>20</v>
      </c>
      <c r="V64" s="102" t="n">
        <v>20</v>
      </c>
      <c r="W64" s="102" t="n">
        <v>20</v>
      </c>
      <c r="X64" s="102" t="n">
        <v>20</v>
      </c>
      <c r="Y64" s="102" t="n">
        <v>20</v>
      </c>
      <c r="Z64" s="102" t="n">
        <v>20</v>
      </c>
      <c r="AA64" s="102" t="n">
        <v>20</v>
      </c>
      <c r="AB64" s="102" t="n">
        <v>20</v>
      </c>
      <c r="AC64" s="102" t="n">
        <v>20</v>
      </c>
      <c r="AD64" s="102" t="n">
        <v>20</v>
      </c>
      <c r="AE64" s="102" t="n">
        <v>20</v>
      </c>
      <c r="AF64" s="102" t="n">
        <v>20</v>
      </c>
      <c r="AG64" s="102" t="n">
        <v>20</v>
      </c>
      <c r="AI64" s="103" t="n">
        <f aca="false">INDEX($F64:$AG64,1,MATCH(AI$7,$F$7:$AG$7,1))</f>
        <v>0</v>
      </c>
      <c r="AJ64" s="103" t="n">
        <f aca="false">INDEX($F64:$AG64,1,MATCH(AJ$7,$F$7:$AG$7,1))</f>
        <v>5</v>
      </c>
      <c r="AK64" s="103" t="n">
        <f aca="false">INDEX($F64:$AG64,1,MATCH(AK$7,$F$7:$AG$7,1))</f>
        <v>5</v>
      </c>
      <c r="AL64" s="103" t="n">
        <f aca="false">INDEX($F64:$AG64,1,MATCH(AL$7,$F$7:$AG$7,1))</f>
        <v>20</v>
      </c>
      <c r="AM64" s="103" t="n">
        <f aca="false">INDEX($F64:$AG64,1,MATCH(AM$7,$F$7:$AG$7,1))</f>
        <v>20</v>
      </c>
      <c r="AN64" s="103" t="n">
        <f aca="false">INDEX($F64:$AG64,1,MATCH(AN$7,$F$7:$AG$7,1))</f>
        <v>20</v>
      </c>
      <c r="AO64" s="103" t="n">
        <f aca="false">INDEX($F64:$AG64,1,MATCH(AO$7,$F$7:$AG$7,1))</f>
        <v>20</v>
      </c>
    </row>
    <row r="65" customFormat="false" ht="15" hidden="false" customHeight="false" outlineLevel="0" collapsed="false">
      <c r="A65" s="101" t="s">
        <v>1143</v>
      </c>
      <c r="B65" s="18" t="s">
        <v>415</v>
      </c>
      <c r="C65" s="18" t="s">
        <v>354</v>
      </c>
      <c r="D65" s="18" t="s">
        <v>1118</v>
      </c>
      <c r="F65" s="102" t="n">
        <v>0</v>
      </c>
      <c r="G65" s="102" t="n">
        <v>0</v>
      </c>
      <c r="H65" s="102" t="n">
        <v>0</v>
      </c>
      <c r="I65" s="102" t="n">
        <v>0</v>
      </c>
      <c r="J65" s="102" t="n">
        <v>0</v>
      </c>
      <c r="K65" s="102" t="n">
        <v>5</v>
      </c>
      <c r="L65" s="102" t="n">
        <v>10</v>
      </c>
      <c r="M65" s="102" t="n">
        <v>20</v>
      </c>
      <c r="N65" s="102" t="n">
        <v>20</v>
      </c>
      <c r="O65" s="102" t="n">
        <v>20</v>
      </c>
      <c r="P65" s="102" t="n">
        <v>20</v>
      </c>
      <c r="Q65" s="102" t="n">
        <v>20</v>
      </c>
      <c r="R65" s="102" t="n">
        <v>20</v>
      </c>
      <c r="S65" s="102" t="n">
        <v>20</v>
      </c>
      <c r="T65" s="102" t="n">
        <v>20</v>
      </c>
      <c r="U65" s="102" t="n">
        <v>30</v>
      </c>
      <c r="V65" s="102" t="n">
        <v>30</v>
      </c>
      <c r="W65" s="102" t="n">
        <v>30</v>
      </c>
      <c r="X65" s="102" t="n">
        <v>30</v>
      </c>
      <c r="Y65" s="102" t="n">
        <v>30</v>
      </c>
      <c r="Z65" s="102" t="n">
        <v>30</v>
      </c>
      <c r="AA65" s="102" t="n">
        <v>30</v>
      </c>
      <c r="AB65" s="102" t="n">
        <v>30</v>
      </c>
      <c r="AC65" s="102" t="n">
        <v>30</v>
      </c>
      <c r="AD65" s="102" t="n">
        <v>30</v>
      </c>
      <c r="AE65" s="102" t="n">
        <v>30</v>
      </c>
      <c r="AF65" s="102" t="n">
        <v>30</v>
      </c>
      <c r="AG65" s="102" t="n">
        <v>30</v>
      </c>
      <c r="AI65" s="103" t="n">
        <f aca="false">INDEX($F65:$AG65,1,MATCH(AI$7,$F$7:$AG$7,1))</f>
        <v>0</v>
      </c>
      <c r="AJ65" s="103" t="n">
        <f aca="false">INDEX($F65:$AG65,1,MATCH(AJ$7,$F$7:$AG$7,1))</f>
        <v>20</v>
      </c>
      <c r="AK65" s="103" t="n">
        <f aca="false">INDEX($F65:$AG65,1,MATCH(AK$7,$F$7:$AG$7,1))</f>
        <v>20</v>
      </c>
      <c r="AL65" s="103" t="n">
        <f aca="false">INDEX($F65:$AG65,1,MATCH(AL$7,$F$7:$AG$7,1))</f>
        <v>30</v>
      </c>
      <c r="AM65" s="103" t="n">
        <f aca="false">INDEX($F65:$AG65,1,MATCH(AM$7,$F$7:$AG$7,1))</f>
        <v>30</v>
      </c>
      <c r="AN65" s="103" t="n">
        <f aca="false">INDEX($F65:$AG65,1,MATCH(AN$7,$F$7:$AG$7,1))</f>
        <v>30</v>
      </c>
      <c r="AO65" s="103" t="n">
        <f aca="false">INDEX($F65:$AG65,1,MATCH(AO$7,$F$7:$AG$7,1))</f>
        <v>30</v>
      </c>
    </row>
    <row r="66" customFormat="false" ht="15" hidden="false" customHeight="false" outlineLevel="0" collapsed="false">
      <c r="A66" s="101" t="s">
        <v>1144</v>
      </c>
      <c r="B66" s="18" t="s">
        <v>415</v>
      </c>
      <c r="C66" s="18" t="s">
        <v>354</v>
      </c>
      <c r="D66" s="18" t="s">
        <v>1118</v>
      </c>
      <c r="F66" s="102" t="n">
        <v>0</v>
      </c>
      <c r="G66" s="102" t="n">
        <v>0</v>
      </c>
      <c r="H66" s="102" t="n">
        <v>0</v>
      </c>
      <c r="I66" s="102" t="n">
        <v>0</v>
      </c>
      <c r="J66" s="102" t="n">
        <v>0</v>
      </c>
      <c r="K66" s="102" t="n">
        <v>5</v>
      </c>
      <c r="L66" s="102" t="n">
        <v>15</v>
      </c>
      <c r="M66" s="102" t="n">
        <v>35</v>
      </c>
      <c r="N66" s="102" t="n">
        <v>35</v>
      </c>
      <c r="O66" s="102" t="n">
        <v>35</v>
      </c>
      <c r="P66" s="102" t="n">
        <v>35</v>
      </c>
      <c r="Q66" s="102" t="n">
        <v>35</v>
      </c>
      <c r="R66" s="102" t="n">
        <v>35</v>
      </c>
      <c r="S66" s="102" t="n">
        <v>35</v>
      </c>
      <c r="T66" s="102" t="n">
        <v>35</v>
      </c>
      <c r="U66" s="102" t="n">
        <v>40</v>
      </c>
      <c r="V66" s="102" t="n">
        <v>40</v>
      </c>
      <c r="W66" s="102" t="n">
        <v>40</v>
      </c>
      <c r="X66" s="102" t="n">
        <v>40</v>
      </c>
      <c r="Y66" s="102" t="n">
        <v>40</v>
      </c>
      <c r="Z66" s="102" t="n">
        <v>40</v>
      </c>
      <c r="AA66" s="102" t="n">
        <v>40</v>
      </c>
      <c r="AB66" s="102" t="n">
        <v>40</v>
      </c>
      <c r="AC66" s="102" t="n">
        <v>40</v>
      </c>
      <c r="AD66" s="102" t="n">
        <v>40</v>
      </c>
      <c r="AE66" s="102" t="n">
        <v>40</v>
      </c>
      <c r="AF66" s="102" t="n">
        <v>40</v>
      </c>
      <c r="AG66" s="102" t="n">
        <v>40</v>
      </c>
      <c r="AI66" s="103" t="n">
        <f aca="false">INDEX($F66:$AG66,1,MATCH(AI$7,$F$7:$AG$7,1))</f>
        <v>0</v>
      </c>
      <c r="AJ66" s="103" t="n">
        <f aca="false">INDEX($F66:$AG66,1,MATCH(AJ$7,$F$7:$AG$7,1))</f>
        <v>35</v>
      </c>
      <c r="AK66" s="103" t="n">
        <f aca="false">INDEX($F66:$AG66,1,MATCH(AK$7,$F$7:$AG$7,1))</f>
        <v>35</v>
      </c>
      <c r="AL66" s="103" t="n">
        <f aca="false">INDEX($F66:$AG66,1,MATCH(AL$7,$F$7:$AG$7,1))</f>
        <v>40</v>
      </c>
      <c r="AM66" s="103" t="n">
        <f aca="false">INDEX($F66:$AG66,1,MATCH(AM$7,$F$7:$AG$7,1))</f>
        <v>40</v>
      </c>
      <c r="AN66" s="103" t="n">
        <f aca="false">INDEX($F66:$AG66,1,MATCH(AN$7,$F$7:$AG$7,1))</f>
        <v>40</v>
      </c>
      <c r="AO66" s="103" t="n">
        <f aca="false">INDEX($F66:$AG66,1,MATCH(AO$7,$F$7:$AG$7,1))</f>
        <v>40</v>
      </c>
    </row>
    <row r="67" customFormat="false" ht="15" hidden="false" customHeight="false" outlineLevel="0" collapsed="false">
      <c r="A67" s="101" t="s">
        <v>1145</v>
      </c>
      <c r="B67" s="18" t="s">
        <v>415</v>
      </c>
      <c r="C67" s="18" t="s">
        <v>354</v>
      </c>
      <c r="D67" s="18" t="s">
        <v>1118</v>
      </c>
      <c r="F67" s="102" t="n">
        <v>0</v>
      </c>
      <c r="G67" s="102" t="n">
        <v>0</v>
      </c>
      <c r="H67" s="102" t="n">
        <v>0</v>
      </c>
      <c r="I67" s="102" t="n">
        <v>5</v>
      </c>
      <c r="J67" s="102" t="n">
        <v>5</v>
      </c>
      <c r="K67" s="102" t="n">
        <v>5</v>
      </c>
      <c r="L67" s="102" t="n">
        <v>5</v>
      </c>
      <c r="M67" s="102" t="n">
        <v>5</v>
      </c>
      <c r="N67" s="102" t="n">
        <v>5</v>
      </c>
      <c r="O67" s="102" t="n">
        <v>5</v>
      </c>
      <c r="P67" s="102" t="n">
        <v>5</v>
      </c>
      <c r="Q67" s="102" t="n">
        <v>5</v>
      </c>
      <c r="R67" s="102" t="n">
        <v>5</v>
      </c>
      <c r="S67" s="102" t="n">
        <v>5</v>
      </c>
      <c r="T67" s="102" t="n">
        <v>5</v>
      </c>
      <c r="U67" s="102" t="n">
        <v>5</v>
      </c>
      <c r="V67" s="102" t="n">
        <v>5</v>
      </c>
      <c r="W67" s="102" t="n">
        <v>5</v>
      </c>
      <c r="X67" s="102" t="n">
        <v>5</v>
      </c>
      <c r="Y67" s="102" t="n">
        <v>5</v>
      </c>
      <c r="Z67" s="102" t="n">
        <v>5</v>
      </c>
      <c r="AA67" s="102" t="n">
        <v>5</v>
      </c>
      <c r="AB67" s="102" t="n">
        <v>5</v>
      </c>
      <c r="AC67" s="102" t="n">
        <v>5</v>
      </c>
      <c r="AD67" s="102" t="n">
        <v>5</v>
      </c>
      <c r="AE67" s="102" t="n">
        <v>5</v>
      </c>
      <c r="AF67" s="102" t="n">
        <v>5</v>
      </c>
      <c r="AG67" s="102" t="n">
        <v>5</v>
      </c>
      <c r="AI67" s="103" t="n">
        <f aca="false">INDEX($F67:$AG67,1,MATCH(AI$7,$F$7:$AG$7,1))</f>
        <v>5</v>
      </c>
      <c r="AJ67" s="103" t="n">
        <f aca="false">INDEX($F67:$AG67,1,MATCH(AJ$7,$F$7:$AG$7,1))</f>
        <v>5</v>
      </c>
      <c r="AK67" s="103" t="n">
        <f aca="false">INDEX($F67:$AG67,1,MATCH(AK$7,$F$7:$AG$7,1))</f>
        <v>5</v>
      </c>
      <c r="AL67" s="103" t="n">
        <f aca="false">INDEX($F67:$AG67,1,MATCH(AL$7,$F$7:$AG$7,1))</f>
        <v>5</v>
      </c>
      <c r="AM67" s="103" t="n">
        <f aca="false">INDEX($F67:$AG67,1,MATCH(AM$7,$F$7:$AG$7,1))</f>
        <v>5</v>
      </c>
      <c r="AN67" s="103" t="n">
        <f aca="false">INDEX($F67:$AG67,1,MATCH(AN$7,$F$7:$AG$7,1))</f>
        <v>5</v>
      </c>
      <c r="AO67" s="103" t="n">
        <f aca="false">INDEX($F67:$AG67,1,MATCH(AO$7,$F$7:$AG$7,1))</f>
        <v>5</v>
      </c>
    </row>
    <row r="68" customFormat="false" ht="15" hidden="false" customHeight="false" outlineLevel="0" collapsed="false">
      <c r="A68" s="101" t="s">
        <v>1146</v>
      </c>
      <c r="B68" s="18" t="s">
        <v>415</v>
      </c>
      <c r="C68" s="18" t="s">
        <v>354</v>
      </c>
      <c r="D68" s="18" t="s">
        <v>1118</v>
      </c>
      <c r="F68" s="102" t="n">
        <v>0</v>
      </c>
      <c r="G68" s="102" t="n">
        <v>0</v>
      </c>
      <c r="H68" s="102" t="n">
        <v>0</v>
      </c>
      <c r="I68" s="102" t="n">
        <v>5</v>
      </c>
      <c r="J68" s="102" t="n">
        <v>5</v>
      </c>
      <c r="K68" s="102" t="n">
        <v>5</v>
      </c>
      <c r="L68" s="102" t="n">
        <v>5</v>
      </c>
      <c r="M68" s="102" t="n">
        <v>5</v>
      </c>
      <c r="N68" s="102" t="n">
        <v>5</v>
      </c>
      <c r="O68" s="102" t="n">
        <v>5</v>
      </c>
      <c r="P68" s="102" t="n">
        <v>5</v>
      </c>
      <c r="Q68" s="102" t="n">
        <v>5</v>
      </c>
      <c r="R68" s="102" t="n">
        <v>5</v>
      </c>
      <c r="S68" s="102" t="n">
        <v>5</v>
      </c>
      <c r="T68" s="102" t="n">
        <v>5</v>
      </c>
      <c r="U68" s="102" t="n">
        <v>5</v>
      </c>
      <c r="V68" s="102" t="n">
        <v>5</v>
      </c>
      <c r="W68" s="102" t="n">
        <v>5</v>
      </c>
      <c r="X68" s="102" t="n">
        <v>5</v>
      </c>
      <c r="Y68" s="102" t="n">
        <v>5</v>
      </c>
      <c r="Z68" s="102" t="n">
        <v>5</v>
      </c>
      <c r="AA68" s="102" t="n">
        <v>5</v>
      </c>
      <c r="AB68" s="102" t="n">
        <v>5</v>
      </c>
      <c r="AC68" s="102" t="n">
        <v>5</v>
      </c>
      <c r="AD68" s="102" t="n">
        <v>5</v>
      </c>
      <c r="AE68" s="102" t="n">
        <v>5</v>
      </c>
      <c r="AF68" s="102" t="n">
        <v>5</v>
      </c>
      <c r="AG68" s="102" t="n">
        <v>5</v>
      </c>
      <c r="AI68" s="103" t="n">
        <f aca="false">INDEX($F68:$AG68,1,MATCH(AI$7,$F$7:$AG$7,1))</f>
        <v>5</v>
      </c>
      <c r="AJ68" s="103" t="n">
        <f aca="false">INDEX($F68:$AG68,1,MATCH(AJ$7,$F$7:$AG$7,1))</f>
        <v>5</v>
      </c>
      <c r="AK68" s="103" t="n">
        <f aca="false">INDEX($F68:$AG68,1,MATCH(AK$7,$F$7:$AG$7,1))</f>
        <v>5</v>
      </c>
      <c r="AL68" s="103" t="n">
        <f aca="false">INDEX($F68:$AG68,1,MATCH(AL$7,$F$7:$AG$7,1))</f>
        <v>5</v>
      </c>
      <c r="AM68" s="103" t="n">
        <f aca="false">INDEX($F68:$AG68,1,MATCH(AM$7,$F$7:$AG$7,1))</f>
        <v>5</v>
      </c>
      <c r="AN68" s="103" t="n">
        <f aca="false">INDEX($F68:$AG68,1,MATCH(AN$7,$F$7:$AG$7,1))</f>
        <v>5</v>
      </c>
      <c r="AO68" s="103" t="n">
        <f aca="false">INDEX($F68:$AG68,1,MATCH(AO$7,$F$7:$AG$7,1))</f>
        <v>5</v>
      </c>
    </row>
    <row r="69" customFormat="false" ht="15" hidden="false" customHeight="false" outlineLevel="0" collapsed="false">
      <c r="A69" s="101" t="s">
        <v>1147</v>
      </c>
      <c r="B69" s="18" t="s">
        <v>415</v>
      </c>
      <c r="C69" s="18" t="s">
        <v>354</v>
      </c>
      <c r="D69" s="18" t="s">
        <v>1118</v>
      </c>
      <c r="F69" s="102" t="n">
        <v>0</v>
      </c>
      <c r="G69" s="102" t="n">
        <v>0</v>
      </c>
      <c r="H69" s="102" t="n">
        <v>0</v>
      </c>
      <c r="I69" s="102" t="n">
        <v>5</v>
      </c>
      <c r="J69" s="102" t="n">
        <v>5</v>
      </c>
      <c r="K69" s="102" t="n">
        <v>5</v>
      </c>
      <c r="L69" s="102" t="n">
        <v>5</v>
      </c>
      <c r="M69" s="102" t="n">
        <v>5</v>
      </c>
      <c r="N69" s="102" t="n">
        <v>5</v>
      </c>
      <c r="O69" s="102" t="n">
        <v>5</v>
      </c>
      <c r="P69" s="102" t="n">
        <v>5</v>
      </c>
      <c r="Q69" s="102" t="n">
        <v>5</v>
      </c>
      <c r="R69" s="102" t="n">
        <v>5</v>
      </c>
      <c r="S69" s="102" t="n">
        <v>5</v>
      </c>
      <c r="T69" s="102" t="n">
        <v>5</v>
      </c>
      <c r="U69" s="102" t="n">
        <v>5</v>
      </c>
      <c r="V69" s="102" t="n">
        <v>5</v>
      </c>
      <c r="W69" s="102" t="n">
        <v>5</v>
      </c>
      <c r="X69" s="102" t="n">
        <v>5</v>
      </c>
      <c r="Y69" s="102" t="n">
        <v>5</v>
      </c>
      <c r="Z69" s="102" t="n">
        <v>5</v>
      </c>
      <c r="AA69" s="102" t="n">
        <v>5</v>
      </c>
      <c r="AB69" s="102" t="n">
        <v>5</v>
      </c>
      <c r="AC69" s="102" t="n">
        <v>5</v>
      </c>
      <c r="AD69" s="102" t="n">
        <v>5</v>
      </c>
      <c r="AE69" s="102" t="n">
        <v>5</v>
      </c>
      <c r="AF69" s="102" t="n">
        <v>5</v>
      </c>
      <c r="AG69" s="102" t="n">
        <v>5</v>
      </c>
      <c r="AI69" s="103" t="n">
        <f aca="false">INDEX($F69:$AG69,1,MATCH(AI$7,$F$7:$AG$7,1))</f>
        <v>5</v>
      </c>
      <c r="AJ69" s="103" t="n">
        <f aca="false">INDEX($F69:$AG69,1,MATCH(AJ$7,$F$7:$AG$7,1))</f>
        <v>5</v>
      </c>
      <c r="AK69" s="103" t="n">
        <f aca="false">INDEX($F69:$AG69,1,MATCH(AK$7,$F$7:$AG$7,1))</f>
        <v>5</v>
      </c>
      <c r="AL69" s="103" t="n">
        <f aca="false">INDEX($F69:$AG69,1,MATCH(AL$7,$F$7:$AG$7,1))</f>
        <v>5</v>
      </c>
      <c r="AM69" s="103" t="n">
        <f aca="false">INDEX($F69:$AG69,1,MATCH(AM$7,$F$7:$AG$7,1))</f>
        <v>5</v>
      </c>
      <c r="AN69" s="103" t="n">
        <f aca="false">INDEX($F69:$AG69,1,MATCH(AN$7,$F$7:$AG$7,1))</f>
        <v>5</v>
      </c>
      <c r="AO69" s="103" t="n">
        <f aca="false">INDEX($F69:$AG69,1,MATCH(AO$7,$F$7:$AG$7,1))</f>
        <v>5</v>
      </c>
    </row>
    <row r="70" customFormat="false" ht="15" hidden="false" customHeight="false" outlineLevel="0" collapsed="false">
      <c r="A70" s="101" t="s">
        <v>1148</v>
      </c>
      <c r="B70" s="18" t="s">
        <v>415</v>
      </c>
      <c r="C70" s="18" t="s">
        <v>354</v>
      </c>
      <c r="D70" s="18" t="s">
        <v>1118</v>
      </c>
      <c r="F70" s="102" t="n">
        <v>0</v>
      </c>
      <c r="G70" s="102" t="n">
        <v>0</v>
      </c>
      <c r="H70" s="102" t="n">
        <v>0</v>
      </c>
      <c r="I70" s="102" t="n">
        <v>0</v>
      </c>
      <c r="J70" s="102" t="n">
        <v>10</v>
      </c>
      <c r="K70" s="102" t="n">
        <v>10</v>
      </c>
      <c r="L70" s="102" t="n">
        <v>10</v>
      </c>
      <c r="M70" s="102" t="n">
        <v>10</v>
      </c>
      <c r="N70" s="102" t="n">
        <v>10</v>
      </c>
      <c r="O70" s="102" t="n">
        <v>10</v>
      </c>
      <c r="P70" s="102" t="n">
        <v>10</v>
      </c>
      <c r="Q70" s="102" t="n">
        <v>10</v>
      </c>
      <c r="R70" s="102" t="n">
        <v>10</v>
      </c>
      <c r="S70" s="102" t="n">
        <v>10</v>
      </c>
      <c r="T70" s="102" t="n">
        <v>10</v>
      </c>
      <c r="U70" s="102" t="n">
        <v>10</v>
      </c>
      <c r="V70" s="102" t="n">
        <v>10</v>
      </c>
      <c r="W70" s="102" t="n">
        <v>10</v>
      </c>
      <c r="X70" s="102" t="n">
        <v>10</v>
      </c>
      <c r="Y70" s="102" t="n">
        <v>10</v>
      </c>
      <c r="Z70" s="102" t="n">
        <v>10</v>
      </c>
      <c r="AA70" s="102" t="n">
        <v>10</v>
      </c>
      <c r="AB70" s="102" t="n">
        <v>10</v>
      </c>
      <c r="AC70" s="102" t="n">
        <v>10</v>
      </c>
      <c r="AD70" s="102" t="n">
        <v>10</v>
      </c>
      <c r="AE70" s="102" t="n">
        <v>10</v>
      </c>
      <c r="AF70" s="102" t="n">
        <v>10</v>
      </c>
      <c r="AG70" s="102" t="n">
        <v>10</v>
      </c>
      <c r="AI70" s="103" t="n">
        <f aca="false">INDEX($F70:$AG70,1,MATCH(AI$7,$F$7:$AG$7,1))</f>
        <v>0</v>
      </c>
      <c r="AJ70" s="103" t="n">
        <f aca="false">INDEX($F70:$AG70,1,MATCH(AJ$7,$F$7:$AG$7,1))</f>
        <v>10</v>
      </c>
      <c r="AK70" s="103" t="n">
        <f aca="false">INDEX($F70:$AG70,1,MATCH(AK$7,$F$7:$AG$7,1))</f>
        <v>10</v>
      </c>
      <c r="AL70" s="103" t="n">
        <f aca="false">INDEX($F70:$AG70,1,MATCH(AL$7,$F$7:$AG$7,1))</f>
        <v>10</v>
      </c>
      <c r="AM70" s="103" t="n">
        <f aca="false">INDEX($F70:$AG70,1,MATCH(AM$7,$F$7:$AG$7,1))</f>
        <v>10</v>
      </c>
      <c r="AN70" s="103" t="n">
        <f aca="false">INDEX($F70:$AG70,1,MATCH(AN$7,$F$7:$AG$7,1))</f>
        <v>10</v>
      </c>
      <c r="AO70" s="103" t="n">
        <f aca="false">INDEX($F70:$AG70,1,MATCH(AO$7,$F$7:$AG$7,1))</f>
        <v>10</v>
      </c>
    </row>
    <row r="71" customFormat="false" ht="15" hidden="false" customHeight="false" outlineLevel="0" collapsed="false">
      <c r="A71" s="101" t="s">
        <v>1149</v>
      </c>
      <c r="B71" s="18" t="s">
        <v>415</v>
      </c>
      <c r="C71" s="18" t="s">
        <v>354</v>
      </c>
      <c r="D71" s="18" t="s">
        <v>1118</v>
      </c>
      <c r="F71" s="102" t="n">
        <v>0</v>
      </c>
      <c r="G71" s="102" t="n">
        <v>0</v>
      </c>
      <c r="H71" s="102" t="n">
        <v>0</v>
      </c>
      <c r="I71" s="102" t="n">
        <v>0</v>
      </c>
      <c r="J71" s="102" t="n">
        <v>10</v>
      </c>
      <c r="K71" s="102" t="n">
        <v>10</v>
      </c>
      <c r="L71" s="102" t="n">
        <v>10</v>
      </c>
      <c r="M71" s="102" t="n">
        <v>10</v>
      </c>
      <c r="N71" s="102" t="n">
        <v>10</v>
      </c>
      <c r="O71" s="102" t="n">
        <v>10</v>
      </c>
      <c r="P71" s="102" t="n">
        <v>10</v>
      </c>
      <c r="Q71" s="102" t="n">
        <v>10</v>
      </c>
      <c r="R71" s="102" t="n">
        <v>10</v>
      </c>
      <c r="S71" s="102" t="n">
        <v>10</v>
      </c>
      <c r="T71" s="102" t="n">
        <v>10</v>
      </c>
      <c r="U71" s="102" t="n">
        <v>10</v>
      </c>
      <c r="V71" s="102" t="n">
        <v>10</v>
      </c>
      <c r="W71" s="102" t="n">
        <v>10</v>
      </c>
      <c r="X71" s="102" t="n">
        <v>10</v>
      </c>
      <c r="Y71" s="102" t="n">
        <v>10</v>
      </c>
      <c r="Z71" s="102" t="n">
        <v>10</v>
      </c>
      <c r="AA71" s="102" t="n">
        <v>10</v>
      </c>
      <c r="AB71" s="102" t="n">
        <v>10</v>
      </c>
      <c r="AC71" s="102" t="n">
        <v>10</v>
      </c>
      <c r="AD71" s="102" t="n">
        <v>10</v>
      </c>
      <c r="AE71" s="102" t="n">
        <v>10</v>
      </c>
      <c r="AF71" s="102" t="n">
        <v>10</v>
      </c>
      <c r="AG71" s="102" t="n">
        <v>10</v>
      </c>
      <c r="AI71" s="103" t="n">
        <f aca="false">INDEX($F71:$AG71,1,MATCH(AI$7,$F$7:$AG$7,1))</f>
        <v>0</v>
      </c>
      <c r="AJ71" s="103" t="n">
        <f aca="false">INDEX($F71:$AG71,1,MATCH(AJ$7,$F$7:$AG$7,1))</f>
        <v>10</v>
      </c>
      <c r="AK71" s="103" t="n">
        <f aca="false">INDEX($F71:$AG71,1,MATCH(AK$7,$F$7:$AG$7,1))</f>
        <v>10</v>
      </c>
      <c r="AL71" s="103" t="n">
        <f aca="false">INDEX($F71:$AG71,1,MATCH(AL$7,$F$7:$AG$7,1))</f>
        <v>10</v>
      </c>
      <c r="AM71" s="103" t="n">
        <f aca="false">INDEX($F71:$AG71,1,MATCH(AM$7,$F$7:$AG$7,1))</f>
        <v>10</v>
      </c>
      <c r="AN71" s="103" t="n">
        <f aca="false">INDEX($F71:$AG71,1,MATCH(AN$7,$F$7:$AG$7,1))</f>
        <v>10</v>
      </c>
      <c r="AO71" s="103" t="n">
        <f aca="false">INDEX($F71:$AG71,1,MATCH(AO$7,$F$7:$AG$7,1))</f>
        <v>10</v>
      </c>
    </row>
    <row r="72" customFormat="false" ht="15" hidden="false" customHeight="false" outlineLevel="0" collapsed="false">
      <c r="A72" s="101" t="s">
        <v>1150</v>
      </c>
      <c r="B72" s="18" t="s">
        <v>415</v>
      </c>
      <c r="C72" s="18" t="s">
        <v>354</v>
      </c>
      <c r="D72" s="18" t="s">
        <v>1118</v>
      </c>
      <c r="F72" s="102" t="n">
        <v>0</v>
      </c>
      <c r="G72" s="102" t="n">
        <v>0</v>
      </c>
      <c r="H72" s="102" t="n">
        <v>0</v>
      </c>
      <c r="I72" s="102" t="n">
        <v>0</v>
      </c>
      <c r="J72" s="102" t="n">
        <v>10</v>
      </c>
      <c r="K72" s="102" t="n">
        <v>10</v>
      </c>
      <c r="L72" s="102" t="n">
        <v>10</v>
      </c>
      <c r="M72" s="102" t="n">
        <v>10</v>
      </c>
      <c r="N72" s="102" t="n">
        <v>10</v>
      </c>
      <c r="O72" s="102" t="n">
        <v>10</v>
      </c>
      <c r="P72" s="102" t="n">
        <v>10</v>
      </c>
      <c r="Q72" s="102" t="n">
        <v>10</v>
      </c>
      <c r="R72" s="102" t="n">
        <v>10</v>
      </c>
      <c r="S72" s="102" t="n">
        <v>10</v>
      </c>
      <c r="T72" s="102" t="n">
        <v>10</v>
      </c>
      <c r="U72" s="102" t="n">
        <v>10</v>
      </c>
      <c r="V72" s="102" t="n">
        <v>10</v>
      </c>
      <c r="W72" s="102" t="n">
        <v>10</v>
      </c>
      <c r="X72" s="102" t="n">
        <v>10</v>
      </c>
      <c r="Y72" s="102" t="n">
        <v>10</v>
      </c>
      <c r="Z72" s="102" t="n">
        <v>10</v>
      </c>
      <c r="AA72" s="102" t="n">
        <v>10</v>
      </c>
      <c r="AB72" s="102" t="n">
        <v>10</v>
      </c>
      <c r="AC72" s="102" t="n">
        <v>10</v>
      </c>
      <c r="AD72" s="102" t="n">
        <v>10</v>
      </c>
      <c r="AE72" s="102" t="n">
        <v>10</v>
      </c>
      <c r="AF72" s="102" t="n">
        <v>10</v>
      </c>
      <c r="AG72" s="102" t="n">
        <v>10</v>
      </c>
      <c r="AI72" s="103" t="n">
        <f aca="false">INDEX($F72:$AG72,1,MATCH(AI$7,$F$7:$AG$7,1))</f>
        <v>0</v>
      </c>
      <c r="AJ72" s="103" t="n">
        <f aca="false">INDEX($F72:$AG72,1,MATCH(AJ$7,$F$7:$AG$7,1))</f>
        <v>10</v>
      </c>
      <c r="AK72" s="103" t="n">
        <f aca="false">INDEX($F72:$AG72,1,MATCH(AK$7,$F$7:$AG$7,1))</f>
        <v>10</v>
      </c>
      <c r="AL72" s="103" t="n">
        <f aca="false">INDEX($F72:$AG72,1,MATCH(AL$7,$F$7:$AG$7,1))</f>
        <v>10</v>
      </c>
      <c r="AM72" s="103" t="n">
        <f aca="false">INDEX($F72:$AG72,1,MATCH(AM$7,$F$7:$AG$7,1))</f>
        <v>10</v>
      </c>
      <c r="AN72" s="103" t="n">
        <f aca="false">INDEX($F72:$AG72,1,MATCH(AN$7,$F$7:$AG$7,1))</f>
        <v>10</v>
      </c>
      <c r="AO72" s="103" t="n">
        <f aca="false">INDEX($F72:$AG72,1,MATCH(AO$7,$F$7:$AG$7,1))</f>
        <v>10</v>
      </c>
    </row>
    <row r="73" customFormat="false" ht="15" hidden="false" customHeight="false" outlineLevel="0" collapsed="false">
      <c r="A73" s="101" t="s">
        <v>1151</v>
      </c>
      <c r="B73" s="18" t="s">
        <v>415</v>
      </c>
      <c r="C73" s="18" t="s">
        <v>354</v>
      </c>
      <c r="D73" s="18" t="s">
        <v>1118</v>
      </c>
      <c r="F73" s="102" t="n">
        <v>0</v>
      </c>
      <c r="G73" s="102" t="n">
        <v>0</v>
      </c>
      <c r="H73" s="102" t="n">
        <v>0</v>
      </c>
      <c r="I73" s="102" t="n">
        <v>0</v>
      </c>
      <c r="J73" s="102" t="n">
        <v>0</v>
      </c>
      <c r="K73" s="102" t="n">
        <v>0</v>
      </c>
      <c r="L73" s="102" t="n">
        <v>0</v>
      </c>
      <c r="M73" s="102" t="n">
        <v>16</v>
      </c>
      <c r="N73" s="102" t="n">
        <v>16</v>
      </c>
      <c r="O73" s="102" t="n">
        <v>16</v>
      </c>
      <c r="P73" s="102" t="n">
        <v>16</v>
      </c>
      <c r="Q73" s="102" t="n">
        <v>16</v>
      </c>
      <c r="R73" s="102" t="n">
        <v>19</v>
      </c>
      <c r="S73" s="102" t="n">
        <v>19</v>
      </c>
      <c r="T73" s="102" t="n">
        <v>19</v>
      </c>
      <c r="U73" s="102" t="n">
        <v>19</v>
      </c>
      <c r="V73" s="102" t="n">
        <v>19</v>
      </c>
      <c r="W73" s="102" t="n">
        <v>19</v>
      </c>
      <c r="X73" s="102" t="n">
        <v>19</v>
      </c>
      <c r="Y73" s="102" t="n">
        <v>19</v>
      </c>
      <c r="Z73" s="102" t="n">
        <v>19</v>
      </c>
      <c r="AA73" s="102" t="n">
        <v>19</v>
      </c>
      <c r="AB73" s="102" t="n">
        <v>19</v>
      </c>
      <c r="AC73" s="102" t="n">
        <v>19</v>
      </c>
      <c r="AD73" s="102" t="n">
        <v>19</v>
      </c>
      <c r="AE73" s="102" t="n">
        <v>19</v>
      </c>
      <c r="AF73" s="102" t="n">
        <v>19</v>
      </c>
      <c r="AG73" s="102" t="n">
        <v>19</v>
      </c>
      <c r="AI73" s="103" t="n">
        <f aca="false">INDEX($F73:$AG73,1,MATCH(AI$7,$F$7:$AG$7,1))</f>
        <v>0</v>
      </c>
      <c r="AJ73" s="103" t="n">
        <f aca="false">INDEX($F73:$AG73,1,MATCH(AJ$7,$F$7:$AG$7,1))</f>
        <v>16</v>
      </c>
      <c r="AK73" s="103" t="n">
        <f aca="false">INDEX($F73:$AG73,1,MATCH(AK$7,$F$7:$AG$7,1))</f>
        <v>16</v>
      </c>
      <c r="AL73" s="103" t="n">
        <f aca="false">INDEX($F73:$AG73,1,MATCH(AL$7,$F$7:$AG$7,1))</f>
        <v>19</v>
      </c>
      <c r="AM73" s="103" t="n">
        <f aca="false">INDEX($F73:$AG73,1,MATCH(AM$7,$F$7:$AG$7,1))</f>
        <v>19</v>
      </c>
      <c r="AN73" s="103" t="n">
        <f aca="false">INDEX($F73:$AG73,1,MATCH(AN$7,$F$7:$AG$7,1))</f>
        <v>19</v>
      </c>
      <c r="AO73" s="103" t="n">
        <f aca="false">INDEX($F73:$AG73,1,MATCH(AO$7,$F$7:$AG$7,1))</f>
        <v>19</v>
      </c>
    </row>
    <row r="74" customFormat="false" ht="15" hidden="false" customHeight="false" outlineLevel="0" collapsed="false">
      <c r="A74" s="101" t="s">
        <v>1152</v>
      </c>
      <c r="B74" s="18" t="s">
        <v>415</v>
      </c>
      <c r="C74" s="18" t="s">
        <v>354</v>
      </c>
      <c r="D74" s="18" t="s">
        <v>1118</v>
      </c>
      <c r="F74" s="102" t="n">
        <v>0</v>
      </c>
      <c r="G74" s="102" t="n">
        <v>0</v>
      </c>
      <c r="H74" s="102" t="n">
        <v>0</v>
      </c>
      <c r="I74" s="102" t="n">
        <v>0</v>
      </c>
      <c r="J74" s="102" t="n">
        <v>0</v>
      </c>
      <c r="K74" s="102" t="n">
        <v>0</v>
      </c>
      <c r="L74" s="102" t="n">
        <v>0</v>
      </c>
      <c r="M74" s="102" t="n">
        <v>16</v>
      </c>
      <c r="N74" s="102" t="n">
        <v>16</v>
      </c>
      <c r="O74" s="102" t="n">
        <v>16</v>
      </c>
      <c r="P74" s="102" t="n">
        <v>16</v>
      </c>
      <c r="Q74" s="102" t="n">
        <v>17.5</v>
      </c>
      <c r="R74" s="102" t="n">
        <v>19</v>
      </c>
      <c r="S74" s="102" t="n">
        <v>19</v>
      </c>
      <c r="T74" s="102" t="n">
        <v>19</v>
      </c>
      <c r="U74" s="102" t="n">
        <v>19</v>
      </c>
      <c r="V74" s="102" t="n">
        <v>19</v>
      </c>
      <c r="W74" s="102" t="n">
        <v>19</v>
      </c>
      <c r="X74" s="102" t="n">
        <v>19</v>
      </c>
      <c r="Y74" s="102" t="n">
        <v>19</v>
      </c>
      <c r="Z74" s="102" t="n">
        <v>19</v>
      </c>
      <c r="AA74" s="102" t="n">
        <v>19</v>
      </c>
      <c r="AB74" s="102" t="n">
        <v>19</v>
      </c>
      <c r="AC74" s="102" t="n">
        <v>19</v>
      </c>
      <c r="AD74" s="102" t="n">
        <v>19</v>
      </c>
      <c r="AE74" s="102" t="n">
        <v>19</v>
      </c>
      <c r="AF74" s="102" t="n">
        <v>19</v>
      </c>
      <c r="AG74" s="102" t="n">
        <v>19</v>
      </c>
      <c r="AI74" s="103" t="n">
        <f aca="false">INDEX($F74:$AG74,1,MATCH(AI$7,$F$7:$AG$7,1))</f>
        <v>0</v>
      </c>
      <c r="AJ74" s="103" t="n">
        <f aca="false">INDEX($F74:$AG74,1,MATCH(AJ$7,$F$7:$AG$7,1))</f>
        <v>16</v>
      </c>
      <c r="AK74" s="103" t="n">
        <f aca="false">INDEX($F74:$AG74,1,MATCH(AK$7,$F$7:$AG$7,1))</f>
        <v>17.5</v>
      </c>
      <c r="AL74" s="103" t="n">
        <f aca="false">INDEX($F74:$AG74,1,MATCH(AL$7,$F$7:$AG$7,1))</f>
        <v>19</v>
      </c>
      <c r="AM74" s="103" t="n">
        <f aca="false">INDEX($F74:$AG74,1,MATCH(AM$7,$F$7:$AG$7,1))</f>
        <v>19</v>
      </c>
      <c r="AN74" s="103" t="n">
        <f aca="false">INDEX($F74:$AG74,1,MATCH(AN$7,$F$7:$AG$7,1))</f>
        <v>19</v>
      </c>
      <c r="AO74" s="103" t="n">
        <f aca="false">INDEX($F74:$AG74,1,MATCH(AO$7,$F$7:$AG$7,1))</f>
        <v>19</v>
      </c>
    </row>
    <row r="75" customFormat="false" ht="15" hidden="false" customHeight="false" outlineLevel="0" collapsed="false">
      <c r="A75" s="101" t="s">
        <v>1153</v>
      </c>
      <c r="B75" s="18" t="s">
        <v>415</v>
      </c>
      <c r="C75" s="18" t="s">
        <v>354</v>
      </c>
      <c r="D75" s="18" t="s">
        <v>1118</v>
      </c>
      <c r="F75" s="102" t="n">
        <v>0</v>
      </c>
      <c r="G75" s="102" t="n">
        <v>0</v>
      </c>
      <c r="H75" s="102" t="n">
        <v>0</v>
      </c>
      <c r="I75" s="102" t="n">
        <v>0</v>
      </c>
      <c r="J75" s="102" t="n">
        <v>0</v>
      </c>
      <c r="K75" s="102" t="n">
        <v>0</v>
      </c>
      <c r="L75" s="102" t="n">
        <v>0</v>
      </c>
      <c r="M75" s="102" t="n">
        <v>16</v>
      </c>
      <c r="N75" s="102" t="n">
        <v>16</v>
      </c>
      <c r="O75" s="102" t="n">
        <v>16</v>
      </c>
      <c r="P75" s="102" t="n">
        <v>16</v>
      </c>
      <c r="Q75" s="102" t="n">
        <v>19</v>
      </c>
      <c r="R75" s="102" t="n">
        <v>19</v>
      </c>
      <c r="S75" s="102" t="n">
        <v>19</v>
      </c>
      <c r="T75" s="102" t="n">
        <v>19</v>
      </c>
      <c r="U75" s="102" t="n">
        <v>19</v>
      </c>
      <c r="V75" s="102" t="n">
        <v>19</v>
      </c>
      <c r="W75" s="102" t="n">
        <v>19</v>
      </c>
      <c r="X75" s="102" t="n">
        <v>19</v>
      </c>
      <c r="Y75" s="102" t="n">
        <v>19</v>
      </c>
      <c r="Z75" s="102" t="n">
        <v>19</v>
      </c>
      <c r="AA75" s="102" t="n">
        <v>19</v>
      </c>
      <c r="AB75" s="102" t="n">
        <v>19</v>
      </c>
      <c r="AC75" s="102" t="n">
        <v>19</v>
      </c>
      <c r="AD75" s="102" t="n">
        <v>19</v>
      </c>
      <c r="AE75" s="102" t="n">
        <v>19</v>
      </c>
      <c r="AF75" s="102" t="n">
        <v>19</v>
      </c>
      <c r="AG75" s="102" t="n">
        <v>19</v>
      </c>
      <c r="AI75" s="103" t="n">
        <f aca="false">INDEX($F75:$AG75,1,MATCH(AI$7,$F$7:$AG$7,1))</f>
        <v>0</v>
      </c>
      <c r="AJ75" s="103" t="n">
        <f aca="false">INDEX($F75:$AG75,1,MATCH(AJ$7,$F$7:$AG$7,1))</f>
        <v>16</v>
      </c>
      <c r="AK75" s="103" t="n">
        <f aca="false">INDEX($F75:$AG75,1,MATCH(AK$7,$F$7:$AG$7,1))</f>
        <v>19</v>
      </c>
      <c r="AL75" s="103" t="n">
        <f aca="false">INDEX($F75:$AG75,1,MATCH(AL$7,$F$7:$AG$7,1))</f>
        <v>19</v>
      </c>
      <c r="AM75" s="103" t="n">
        <f aca="false">INDEX($F75:$AG75,1,MATCH(AM$7,$F$7:$AG$7,1))</f>
        <v>19</v>
      </c>
      <c r="AN75" s="103" t="n">
        <f aca="false">INDEX($F75:$AG75,1,MATCH(AN$7,$F$7:$AG$7,1))</f>
        <v>19</v>
      </c>
      <c r="AO75" s="103" t="n">
        <f aca="false">INDEX($F75:$AG75,1,MATCH(AO$7,$F$7:$AG$7,1))</f>
        <v>19</v>
      </c>
    </row>
    <row r="76" customFormat="false" ht="15" hidden="false" customHeight="false" outlineLevel="0" collapsed="false">
      <c r="A76" s="101" t="s">
        <v>1154</v>
      </c>
      <c r="B76" s="18" t="s">
        <v>415</v>
      </c>
      <c r="C76" s="18" t="s">
        <v>354</v>
      </c>
      <c r="D76" s="18" t="s">
        <v>1118</v>
      </c>
      <c r="F76" s="102" t="n">
        <v>0</v>
      </c>
      <c r="G76" s="102" t="n">
        <v>0</v>
      </c>
      <c r="H76" s="102" t="n">
        <v>0</v>
      </c>
      <c r="I76" s="102" t="n">
        <v>0</v>
      </c>
      <c r="J76" s="102" t="n">
        <v>0</v>
      </c>
      <c r="K76" s="102" t="n">
        <v>0</v>
      </c>
      <c r="L76" s="102" t="n">
        <v>0</v>
      </c>
      <c r="M76" s="102" t="n">
        <v>0</v>
      </c>
      <c r="N76" s="102" t="n">
        <v>0</v>
      </c>
      <c r="O76" s="102" t="n">
        <v>0</v>
      </c>
      <c r="P76" s="102" t="n">
        <v>0</v>
      </c>
      <c r="Q76" s="102" t="n">
        <v>0</v>
      </c>
      <c r="R76" s="102" t="n">
        <v>4.4</v>
      </c>
      <c r="S76" s="102" t="n">
        <v>4.4</v>
      </c>
      <c r="T76" s="102" t="n">
        <v>22</v>
      </c>
      <c r="U76" s="102" t="n">
        <v>22</v>
      </c>
      <c r="V76" s="102" t="n">
        <v>22</v>
      </c>
      <c r="W76" s="102" t="n">
        <v>22</v>
      </c>
      <c r="X76" s="102" t="n">
        <v>22</v>
      </c>
      <c r="Y76" s="102" t="n">
        <v>22</v>
      </c>
      <c r="Z76" s="102" t="n">
        <v>22</v>
      </c>
      <c r="AA76" s="102" t="n">
        <v>22</v>
      </c>
      <c r="AB76" s="102" t="n">
        <v>22</v>
      </c>
      <c r="AC76" s="102" t="n">
        <v>22</v>
      </c>
      <c r="AD76" s="102" t="n">
        <v>22</v>
      </c>
      <c r="AE76" s="102" t="n">
        <v>22</v>
      </c>
      <c r="AF76" s="102" t="n">
        <v>22</v>
      </c>
      <c r="AG76" s="102" t="n">
        <v>22</v>
      </c>
      <c r="AI76" s="103" t="n">
        <f aca="false">INDEX($F76:$AG76,1,MATCH(AI$7,$F$7:$AG$7,1))</f>
        <v>0</v>
      </c>
      <c r="AJ76" s="103" t="n">
        <f aca="false">INDEX($F76:$AG76,1,MATCH(AJ$7,$F$7:$AG$7,1))</f>
        <v>0</v>
      </c>
      <c r="AK76" s="103" t="n">
        <f aca="false">INDEX($F76:$AG76,1,MATCH(AK$7,$F$7:$AG$7,1))</f>
        <v>0</v>
      </c>
      <c r="AL76" s="103" t="n">
        <f aca="false">INDEX($F76:$AG76,1,MATCH(AL$7,$F$7:$AG$7,1))</f>
        <v>22</v>
      </c>
      <c r="AM76" s="103" t="n">
        <f aca="false">INDEX($F76:$AG76,1,MATCH(AM$7,$F$7:$AG$7,1))</f>
        <v>22</v>
      </c>
      <c r="AN76" s="103" t="n">
        <f aca="false">INDEX($F76:$AG76,1,MATCH(AN$7,$F$7:$AG$7,1))</f>
        <v>22</v>
      </c>
      <c r="AO76" s="103" t="n">
        <f aca="false">INDEX($F76:$AG76,1,MATCH(AO$7,$F$7:$AG$7,1))</f>
        <v>22</v>
      </c>
    </row>
    <row r="77" customFormat="false" ht="15" hidden="false" customHeight="false" outlineLevel="0" collapsed="false">
      <c r="A77" s="101" t="s">
        <v>1155</v>
      </c>
      <c r="B77" s="18" t="s">
        <v>415</v>
      </c>
      <c r="C77" s="18" t="s">
        <v>354</v>
      </c>
      <c r="D77" s="18" t="s">
        <v>1118</v>
      </c>
      <c r="F77" s="102" t="n">
        <v>0</v>
      </c>
      <c r="G77" s="102" t="n">
        <v>0</v>
      </c>
      <c r="H77" s="102" t="n">
        <v>0</v>
      </c>
      <c r="I77" s="102" t="n">
        <v>0</v>
      </c>
      <c r="J77" s="102" t="n">
        <v>0</v>
      </c>
      <c r="K77" s="102" t="n">
        <v>0</v>
      </c>
      <c r="L77" s="102" t="n">
        <v>0</v>
      </c>
      <c r="M77" s="102" t="n">
        <v>0</v>
      </c>
      <c r="N77" s="102" t="n">
        <v>0</v>
      </c>
      <c r="O77" s="102" t="n">
        <v>0</v>
      </c>
      <c r="P77" s="102" t="n">
        <v>0</v>
      </c>
      <c r="Q77" s="102" t="n">
        <v>2.2</v>
      </c>
      <c r="R77" s="102" t="n">
        <v>13.2</v>
      </c>
      <c r="S77" s="102" t="n">
        <v>13.2</v>
      </c>
      <c r="T77" s="102" t="n">
        <v>22</v>
      </c>
      <c r="U77" s="102" t="n">
        <v>22</v>
      </c>
      <c r="V77" s="102" t="n">
        <v>22</v>
      </c>
      <c r="W77" s="102" t="n">
        <v>22</v>
      </c>
      <c r="X77" s="102" t="n">
        <v>22</v>
      </c>
      <c r="Y77" s="102" t="n">
        <v>22</v>
      </c>
      <c r="Z77" s="102" t="n">
        <v>22</v>
      </c>
      <c r="AA77" s="102" t="n">
        <v>22</v>
      </c>
      <c r="AB77" s="102" t="n">
        <v>22</v>
      </c>
      <c r="AC77" s="102" t="n">
        <v>22</v>
      </c>
      <c r="AD77" s="102" t="n">
        <v>22</v>
      </c>
      <c r="AE77" s="102" t="n">
        <v>22</v>
      </c>
      <c r="AF77" s="102" t="n">
        <v>22</v>
      </c>
      <c r="AG77" s="102" t="n">
        <v>22</v>
      </c>
      <c r="AI77" s="103" t="n">
        <f aca="false">INDEX($F77:$AG77,1,MATCH(AI$7,$F$7:$AG$7,1))</f>
        <v>0</v>
      </c>
      <c r="AJ77" s="103" t="n">
        <f aca="false">INDEX($F77:$AG77,1,MATCH(AJ$7,$F$7:$AG$7,1))</f>
        <v>0</v>
      </c>
      <c r="AK77" s="103" t="n">
        <f aca="false">INDEX($F77:$AG77,1,MATCH(AK$7,$F$7:$AG$7,1))</f>
        <v>2.2</v>
      </c>
      <c r="AL77" s="103" t="n">
        <f aca="false">INDEX($F77:$AG77,1,MATCH(AL$7,$F$7:$AG$7,1))</f>
        <v>22</v>
      </c>
      <c r="AM77" s="103" t="n">
        <f aca="false">INDEX($F77:$AG77,1,MATCH(AM$7,$F$7:$AG$7,1))</f>
        <v>22</v>
      </c>
      <c r="AN77" s="103" t="n">
        <f aca="false">INDEX($F77:$AG77,1,MATCH(AN$7,$F$7:$AG$7,1))</f>
        <v>22</v>
      </c>
      <c r="AO77" s="103" t="n">
        <f aca="false">INDEX($F77:$AG77,1,MATCH(AO$7,$F$7:$AG$7,1))</f>
        <v>22</v>
      </c>
    </row>
    <row r="78" customFormat="false" ht="15" hidden="false" customHeight="false" outlineLevel="0" collapsed="false">
      <c r="A78" s="101" t="s">
        <v>1156</v>
      </c>
      <c r="B78" s="18" t="s">
        <v>415</v>
      </c>
      <c r="C78" s="18" t="s">
        <v>354</v>
      </c>
      <c r="D78" s="18" t="s">
        <v>1118</v>
      </c>
      <c r="F78" s="102" t="n">
        <v>0</v>
      </c>
      <c r="G78" s="102" t="n">
        <v>0</v>
      </c>
      <c r="H78" s="102" t="n">
        <v>0</v>
      </c>
      <c r="I78" s="102" t="n">
        <v>0</v>
      </c>
      <c r="J78" s="102" t="n">
        <v>0</v>
      </c>
      <c r="K78" s="102" t="n">
        <v>0</v>
      </c>
      <c r="L78" s="102" t="n">
        <v>0</v>
      </c>
      <c r="M78" s="102" t="n">
        <v>0</v>
      </c>
      <c r="N78" s="102" t="n">
        <v>0</v>
      </c>
      <c r="O78" s="102" t="n">
        <v>0</v>
      </c>
      <c r="P78" s="102" t="n">
        <v>0</v>
      </c>
      <c r="Q78" s="102" t="n">
        <v>4.4</v>
      </c>
      <c r="R78" s="102" t="n">
        <v>22</v>
      </c>
      <c r="S78" s="102" t="n">
        <v>22</v>
      </c>
      <c r="T78" s="102" t="n">
        <v>22</v>
      </c>
      <c r="U78" s="102" t="n">
        <v>22</v>
      </c>
      <c r="V78" s="102" t="n">
        <v>22</v>
      </c>
      <c r="W78" s="102" t="n">
        <v>22</v>
      </c>
      <c r="X78" s="102" t="n">
        <v>22</v>
      </c>
      <c r="Y78" s="102" t="n">
        <v>22</v>
      </c>
      <c r="Z78" s="102" t="n">
        <v>22</v>
      </c>
      <c r="AA78" s="102" t="n">
        <v>22</v>
      </c>
      <c r="AB78" s="102" t="n">
        <v>22</v>
      </c>
      <c r="AC78" s="102" t="n">
        <v>22</v>
      </c>
      <c r="AD78" s="102" t="n">
        <v>22</v>
      </c>
      <c r="AE78" s="102" t="n">
        <v>22</v>
      </c>
      <c r="AF78" s="102" t="n">
        <v>22</v>
      </c>
      <c r="AG78" s="102" t="n">
        <v>22</v>
      </c>
      <c r="AI78" s="103" t="n">
        <f aca="false">INDEX($F78:$AG78,1,MATCH(AI$7,$F$7:$AG$7,1))</f>
        <v>0</v>
      </c>
      <c r="AJ78" s="103" t="n">
        <f aca="false">INDEX($F78:$AG78,1,MATCH(AJ$7,$F$7:$AG$7,1))</f>
        <v>0</v>
      </c>
      <c r="AK78" s="103" t="n">
        <f aca="false">INDEX($F78:$AG78,1,MATCH(AK$7,$F$7:$AG$7,1))</f>
        <v>4.4</v>
      </c>
      <c r="AL78" s="103" t="n">
        <f aca="false">INDEX($F78:$AG78,1,MATCH(AL$7,$F$7:$AG$7,1))</f>
        <v>22</v>
      </c>
      <c r="AM78" s="103" t="n">
        <f aca="false">INDEX($F78:$AG78,1,MATCH(AM$7,$F$7:$AG$7,1))</f>
        <v>22</v>
      </c>
      <c r="AN78" s="103" t="n">
        <f aca="false">INDEX($F78:$AG78,1,MATCH(AN$7,$F$7:$AG$7,1))</f>
        <v>22</v>
      </c>
      <c r="AO78" s="103" t="n">
        <f aca="false">INDEX($F78:$AG78,1,MATCH(AO$7,$F$7:$AG$7,1))</f>
        <v>22</v>
      </c>
    </row>
    <row r="79" customFormat="false" ht="15" hidden="false" customHeight="false" outlineLevel="0" collapsed="false">
      <c r="A79" s="101" t="s">
        <v>1157</v>
      </c>
      <c r="B79" s="18" t="s">
        <v>415</v>
      </c>
      <c r="C79" s="18" t="s">
        <v>354</v>
      </c>
      <c r="D79" s="18" t="s">
        <v>1118</v>
      </c>
      <c r="AI79" s="103" t="n">
        <f aca="false">INDEX($F79:$AG79,1,MATCH(AI$7,$F$7:$AG$7,1))</f>
        <v>0</v>
      </c>
      <c r="AJ79" s="103" t="n">
        <f aca="false">INDEX($F79:$AG79,1,MATCH(AJ$7,$F$7:$AG$7,1))</f>
        <v>0</v>
      </c>
      <c r="AK79" s="103" t="n">
        <f aca="false">INDEX($F79:$AG79,1,MATCH(AK$7,$F$7:$AG$7,1))</f>
        <v>0</v>
      </c>
      <c r="AL79" s="103" t="n">
        <f aca="false">INDEX($F79:$AG79,1,MATCH(AL$7,$F$7:$AG$7,1))</f>
        <v>0</v>
      </c>
      <c r="AM79" s="103" t="n">
        <f aca="false">INDEX($F79:$AG79,1,MATCH(AM$7,$F$7:$AG$7,1))</f>
        <v>0</v>
      </c>
      <c r="AN79" s="103" t="n">
        <f aca="false">INDEX($F79:$AG79,1,MATCH(AN$7,$F$7:$AG$7,1))</f>
        <v>0</v>
      </c>
      <c r="AO79" s="103" t="n">
        <f aca="false">INDEX($F79:$AG79,1,MATCH(AO$7,$F$7:$AG$7,1))</f>
        <v>0</v>
      </c>
    </row>
    <row r="80" customFormat="false" ht="15" hidden="false" customHeight="false" outlineLevel="0" collapsed="false">
      <c r="A80" s="101" t="s">
        <v>1158</v>
      </c>
      <c r="B80" s="18" t="s">
        <v>415</v>
      </c>
      <c r="C80" s="18" t="s">
        <v>354</v>
      </c>
      <c r="D80" s="18" t="s">
        <v>1118</v>
      </c>
      <c r="AI80" s="103" t="n">
        <f aca="false">INDEX($F80:$AG80,1,MATCH(AI$7,$F$7:$AG$7,1))</f>
        <v>0</v>
      </c>
      <c r="AJ80" s="103" t="n">
        <f aca="false">INDEX($F80:$AG80,1,MATCH(AJ$7,$F$7:$AG$7,1))</f>
        <v>0</v>
      </c>
      <c r="AK80" s="103" t="n">
        <f aca="false">INDEX($F80:$AG80,1,MATCH(AK$7,$F$7:$AG$7,1))</f>
        <v>0</v>
      </c>
      <c r="AL80" s="103" t="n">
        <f aca="false">INDEX($F80:$AG80,1,MATCH(AL$7,$F$7:$AG$7,1))</f>
        <v>0</v>
      </c>
      <c r="AM80" s="103" t="n">
        <f aca="false">INDEX($F80:$AG80,1,MATCH(AM$7,$F$7:$AG$7,1))</f>
        <v>0</v>
      </c>
      <c r="AN80" s="103" t="n">
        <f aca="false">INDEX($F80:$AG80,1,MATCH(AN$7,$F$7:$AG$7,1))</f>
        <v>0</v>
      </c>
      <c r="AO80" s="103" t="n">
        <f aca="false">INDEX($F80:$AG80,1,MATCH(AO$7,$F$7:$AG$7,1))</f>
        <v>0</v>
      </c>
    </row>
    <row r="81" customFormat="false" ht="15" hidden="false" customHeight="false" outlineLevel="0" collapsed="false">
      <c r="A81" s="101" t="s">
        <v>1159</v>
      </c>
      <c r="B81" s="18" t="s">
        <v>415</v>
      </c>
      <c r="C81" s="18" t="s">
        <v>354</v>
      </c>
      <c r="D81" s="18" t="s">
        <v>1118</v>
      </c>
      <c r="AI81" s="103" t="n">
        <f aca="false">INDEX($F81:$AG81,1,MATCH(AI$7,$F$7:$AG$7,1))</f>
        <v>0</v>
      </c>
      <c r="AJ81" s="103" t="n">
        <f aca="false">INDEX($F81:$AG81,1,MATCH(AJ$7,$F$7:$AG$7,1))</f>
        <v>0</v>
      </c>
      <c r="AK81" s="103" t="n">
        <f aca="false">INDEX($F81:$AG81,1,MATCH(AK$7,$F$7:$AG$7,1))</f>
        <v>0</v>
      </c>
      <c r="AL81" s="103" t="n">
        <f aca="false">INDEX($F81:$AG81,1,MATCH(AL$7,$F$7:$AG$7,1))</f>
        <v>0</v>
      </c>
      <c r="AM81" s="103" t="n">
        <f aca="false">INDEX($F81:$AG81,1,MATCH(AM$7,$F$7:$AG$7,1))</f>
        <v>0</v>
      </c>
      <c r="AN81" s="103" t="n">
        <f aca="false">INDEX($F81:$AG81,1,MATCH(AN$7,$F$7:$AG$7,1))</f>
        <v>0</v>
      </c>
      <c r="AO81" s="103" t="n">
        <f aca="false">INDEX($F81:$AG81,1,MATCH(AO$7,$F$7:$AG$7,1))</f>
        <v>0</v>
      </c>
    </row>
    <row r="82" customFormat="false" ht="15" hidden="false" customHeight="false" outlineLevel="0" collapsed="false">
      <c r="A82" s="101" t="s">
        <v>1160</v>
      </c>
      <c r="B82" s="18" t="s">
        <v>415</v>
      </c>
      <c r="C82" s="18" t="s">
        <v>354</v>
      </c>
      <c r="D82" s="18" t="s">
        <v>1118</v>
      </c>
      <c r="F82" s="102" t="n">
        <v>0</v>
      </c>
      <c r="G82" s="102" t="n">
        <v>0</v>
      </c>
      <c r="H82" s="102" t="n">
        <v>0</v>
      </c>
      <c r="I82" s="102" t="n">
        <v>0</v>
      </c>
      <c r="J82" s="102" t="n">
        <v>0</v>
      </c>
      <c r="K82" s="102" t="n">
        <v>0</v>
      </c>
      <c r="L82" s="102" t="n">
        <v>0</v>
      </c>
      <c r="M82" s="102" t="n">
        <v>8</v>
      </c>
      <c r="N82" s="102" t="n">
        <v>8</v>
      </c>
      <c r="O82" s="102" t="n">
        <v>8</v>
      </c>
      <c r="P82" s="102" t="n">
        <v>8</v>
      </c>
      <c r="Q82" s="102" t="n">
        <v>8</v>
      </c>
      <c r="R82" s="102" t="n">
        <v>8</v>
      </c>
      <c r="S82" s="102" t="n">
        <v>8</v>
      </c>
      <c r="T82" s="102" t="n">
        <v>8</v>
      </c>
      <c r="U82" s="102" t="n">
        <v>8</v>
      </c>
      <c r="V82" s="102" t="n">
        <v>8</v>
      </c>
      <c r="W82" s="102" t="n">
        <v>8</v>
      </c>
      <c r="X82" s="102" t="n">
        <v>8</v>
      </c>
      <c r="Y82" s="102" t="n">
        <v>8</v>
      </c>
      <c r="Z82" s="102" t="n">
        <v>8</v>
      </c>
      <c r="AA82" s="102" t="n">
        <v>8</v>
      </c>
      <c r="AB82" s="102" t="n">
        <v>8</v>
      </c>
      <c r="AC82" s="102" t="n">
        <v>8</v>
      </c>
      <c r="AD82" s="102" t="n">
        <v>8</v>
      </c>
      <c r="AE82" s="102" t="n">
        <v>8</v>
      </c>
      <c r="AF82" s="102" t="n">
        <v>8</v>
      </c>
      <c r="AG82" s="102" t="n">
        <v>8</v>
      </c>
      <c r="AI82" s="103" t="n">
        <f aca="false">INDEX($F82:$AG82,1,MATCH(AI$7,$F$7:$AG$7,1))</f>
        <v>0</v>
      </c>
      <c r="AJ82" s="103" t="n">
        <f aca="false">INDEX($F82:$AG82,1,MATCH(AJ$7,$F$7:$AG$7,1))</f>
        <v>8</v>
      </c>
      <c r="AK82" s="103" t="n">
        <f aca="false">INDEX($F82:$AG82,1,MATCH(AK$7,$F$7:$AG$7,1))</f>
        <v>8</v>
      </c>
      <c r="AL82" s="103" t="n">
        <f aca="false">INDEX($F82:$AG82,1,MATCH(AL$7,$F$7:$AG$7,1))</f>
        <v>8</v>
      </c>
      <c r="AM82" s="103" t="n">
        <f aca="false">INDEX($F82:$AG82,1,MATCH(AM$7,$F$7:$AG$7,1))</f>
        <v>8</v>
      </c>
      <c r="AN82" s="103" t="n">
        <f aca="false">INDEX($F82:$AG82,1,MATCH(AN$7,$F$7:$AG$7,1))</f>
        <v>8</v>
      </c>
      <c r="AO82" s="103" t="n">
        <f aca="false">INDEX($F82:$AG82,1,MATCH(AO$7,$F$7:$AG$7,1))</f>
        <v>8</v>
      </c>
    </row>
    <row r="83" customFormat="false" ht="15" hidden="false" customHeight="false" outlineLevel="0" collapsed="false">
      <c r="A83" s="101" t="s">
        <v>1161</v>
      </c>
      <c r="B83" s="18" t="s">
        <v>415</v>
      </c>
      <c r="C83" s="18" t="s">
        <v>354</v>
      </c>
      <c r="D83" s="18" t="s">
        <v>1118</v>
      </c>
      <c r="F83" s="102" t="n">
        <v>0</v>
      </c>
      <c r="G83" s="102" t="n">
        <v>0</v>
      </c>
      <c r="H83" s="102" t="n">
        <v>0</v>
      </c>
      <c r="I83" s="102" t="n">
        <v>0</v>
      </c>
      <c r="J83" s="102" t="n">
        <v>0</v>
      </c>
      <c r="K83" s="102" t="n">
        <v>0</v>
      </c>
      <c r="L83" s="102" t="n">
        <v>0</v>
      </c>
      <c r="M83" s="102" t="n">
        <v>8</v>
      </c>
      <c r="N83" s="102" t="n">
        <v>8</v>
      </c>
      <c r="O83" s="102" t="n">
        <v>8</v>
      </c>
      <c r="P83" s="102" t="n">
        <v>8</v>
      </c>
      <c r="Q83" s="102" t="n">
        <v>8</v>
      </c>
      <c r="R83" s="102" t="n">
        <v>8</v>
      </c>
      <c r="S83" s="102" t="n">
        <v>8</v>
      </c>
      <c r="T83" s="102" t="n">
        <v>8</v>
      </c>
      <c r="U83" s="102" t="n">
        <v>8</v>
      </c>
      <c r="V83" s="102" t="n">
        <v>8</v>
      </c>
      <c r="W83" s="102" t="n">
        <v>8</v>
      </c>
      <c r="X83" s="102" t="n">
        <v>8</v>
      </c>
      <c r="Y83" s="102" t="n">
        <v>8</v>
      </c>
      <c r="Z83" s="102" t="n">
        <v>8</v>
      </c>
      <c r="AA83" s="102" t="n">
        <v>8</v>
      </c>
      <c r="AB83" s="102" t="n">
        <v>8</v>
      </c>
      <c r="AC83" s="102" t="n">
        <v>8</v>
      </c>
      <c r="AD83" s="102" t="n">
        <v>8</v>
      </c>
      <c r="AE83" s="102" t="n">
        <v>8</v>
      </c>
      <c r="AF83" s="102" t="n">
        <v>8</v>
      </c>
      <c r="AG83" s="102" t="n">
        <v>8</v>
      </c>
      <c r="AI83" s="103" t="n">
        <f aca="false">INDEX($F83:$AG83,1,MATCH(AI$7,$F$7:$AG$7,1))</f>
        <v>0</v>
      </c>
      <c r="AJ83" s="103" t="n">
        <f aca="false">INDEX($F83:$AG83,1,MATCH(AJ$7,$F$7:$AG$7,1))</f>
        <v>8</v>
      </c>
      <c r="AK83" s="103" t="n">
        <f aca="false">INDEX($F83:$AG83,1,MATCH(AK$7,$F$7:$AG$7,1))</f>
        <v>8</v>
      </c>
      <c r="AL83" s="103" t="n">
        <f aca="false">INDEX($F83:$AG83,1,MATCH(AL$7,$F$7:$AG$7,1))</f>
        <v>8</v>
      </c>
      <c r="AM83" s="103" t="n">
        <f aca="false">INDEX($F83:$AG83,1,MATCH(AM$7,$F$7:$AG$7,1))</f>
        <v>8</v>
      </c>
      <c r="AN83" s="103" t="n">
        <f aca="false">INDEX($F83:$AG83,1,MATCH(AN$7,$F$7:$AG$7,1))</f>
        <v>8</v>
      </c>
      <c r="AO83" s="103" t="n">
        <f aca="false">INDEX($F83:$AG83,1,MATCH(AO$7,$F$7:$AG$7,1))</f>
        <v>8</v>
      </c>
    </row>
    <row r="84" customFormat="false" ht="15" hidden="false" customHeight="false" outlineLevel="0" collapsed="false">
      <c r="A84" s="101" t="s">
        <v>1162</v>
      </c>
      <c r="B84" s="18" t="s">
        <v>415</v>
      </c>
      <c r="C84" s="18" t="s">
        <v>354</v>
      </c>
      <c r="D84" s="18" t="s">
        <v>1118</v>
      </c>
      <c r="F84" s="102" t="n">
        <v>0</v>
      </c>
      <c r="G84" s="102" t="n">
        <v>0</v>
      </c>
      <c r="H84" s="102" t="n">
        <v>0</v>
      </c>
      <c r="I84" s="102" t="n">
        <v>0</v>
      </c>
      <c r="J84" s="102" t="n">
        <v>0</v>
      </c>
      <c r="K84" s="102" t="n">
        <v>0</v>
      </c>
      <c r="L84" s="102" t="n">
        <v>0</v>
      </c>
      <c r="M84" s="102" t="n">
        <v>8</v>
      </c>
      <c r="N84" s="102" t="n">
        <v>8</v>
      </c>
      <c r="O84" s="102" t="n">
        <v>8</v>
      </c>
      <c r="P84" s="102" t="n">
        <v>8</v>
      </c>
      <c r="Q84" s="102" t="n">
        <v>8</v>
      </c>
      <c r="R84" s="102" t="n">
        <v>8</v>
      </c>
      <c r="S84" s="102" t="n">
        <v>8</v>
      </c>
      <c r="T84" s="102" t="n">
        <v>8</v>
      </c>
      <c r="U84" s="102" t="n">
        <v>8</v>
      </c>
      <c r="V84" s="102" t="n">
        <v>8</v>
      </c>
      <c r="W84" s="102" t="n">
        <v>8</v>
      </c>
      <c r="X84" s="102" t="n">
        <v>8</v>
      </c>
      <c r="Y84" s="102" t="n">
        <v>8</v>
      </c>
      <c r="Z84" s="102" t="n">
        <v>8</v>
      </c>
      <c r="AA84" s="102" t="n">
        <v>8</v>
      </c>
      <c r="AB84" s="102" t="n">
        <v>8</v>
      </c>
      <c r="AC84" s="102" t="n">
        <v>8</v>
      </c>
      <c r="AD84" s="102" t="n">
        <v>8</v>
      </c>
      <c r="AE84" s="102" t="n">
        <v>8</v>
      </c>
      <c r="AF84" s="102" t="n">
        <v>8</v>
      </c>
      <c r="AG84" s="102" t="n">
        <v>8</v>
      </c>
      <c r="AI84" s="103" t="n">
        <f aca="false">INDEX($F84:$AG84,1,MATCH(AI$7,$F$7:$AG$7,1))</f>
        <v>0</v>
      </c>
      <c r="AJ84" s="103" t="n">
        <f aca="false">INDEX($F84:$AG84,1,MATCH(AJ$7,$F$7:$AG$7,1))</f>
        <v>8</v>
      </c>
      <c r="AK84" s="103" t="n">
        <f aca="false">INDEX($F84:$AG84,1,MATCH(AK$7,$F$7:$AG$7,1))</f>
        <v>8</v>
      </c>
      <c r="AL84" s="103" t="n">
        <f aca="false">INDEX($F84:$AG84,1,MATCH(AL$7,$F$7:$AG$7,1))</f>
        <v>8</v>
      </c>
      <c r="AM84" s="103" t="n">
        <f aca="false">INDEX($F84:$AG84,1,MATCH(AM$7,$F$7:$AG$7,1))</f>
        <v>8</v>
      </c>
      <c r="AN84" s="103" t="n">
        <f aca="false">INDEX($F84:$AG84,1,MATCH(AN$7,$F$7:$AG$7,1))</f>
        <v>8</v>
      </c>
      <c r="AO84" s="103" t="n">
        <f aca="false">INDEX($F84:$AG84,1,MATCH(AO$7,$F$7:$AG$7,1))</f>
        <v>8</v>
      </c>
    </row>
    <row r="85" customFormat="false" ht="15" hidden="false" customHeight="false" outlineLevel="0" collapsed="false">
      <c r="A85" s="101" t="s">
        <v>1163</v>
      </c>
      <c r="B85" s="18" t="s">
        <v>415</v>
      </c>
      <c r="C85" s="18" t="s">
        <v>354</v>
      </c>
      <c r="D85" s="18" t="s">
        <v>1118</v>
      </c>
      <c r="F85" s="102" t="n">
        <v>0</v>
      </c>
      <c r="G85" s="102" t="n">
        <v>0</v>
      </c>
      <c r="H85" s="102" t="n">
        <v>0</v>
      </c>
      <c r="I85" s="102" t="n">
        <v>0</v>
      </c>
      <c r="J85" s="102" t="n">
        <v>0</v>
      </c>
      <c r="K85" s="102" t="n">
        <v>0</v>
      </c>
      <c r="L85" s="102" t="n">
        <v>0</v>
      </c>
      <c r="M85" s="102" t="n">
        <v>0</v>
      </c>
      <c r="N85" s="102" t="n">
        <v>0</v>
      </c>
      <c r="O85" s="102" t="n">
        <v>0</v>
      </c>
      <c r="P85" s="102" t="n">
        <v>0</v>
      </c>
      <c r="Q85" s="102" t="n">
        <v>0</v>
      </c>
      <c r="R85" s="102" t="n">
        <v>11</v>
      </c>
      <c r="S85" s="102" t="n">
        <v>22</v>
      </c>
      <c r="T85" s="102" t="n">
        <v>22</v>
      </c>
      <c r="U85" s="102" t="n">
        <v>22</v>
      </c>
      <c r="V85" s="102" t="n">
        <v>22</v>
      </c>
      <c r="W85" s="102" t="n">
        <v>22</v>
      </c>
      <c r="X85" s="102" t="n">
        <v>22</v>
      </c>
      <c r="Y85" s="102" t="n">
        <v>22</v>
      </c>
      <c r="Z85" s="102" t="n">
        <v>22</v>
      </c>
      <c r="AA85" s="102" t="n">
        <v>22</v>
      </c>
      <c r="AB85" s="102" t="n">
        <v>22</v>
      </c>
      <c r="AC85" s="102" t="n">
        <v>22</v>
      </c>
      <c r="AD85" s="102" t="n">
        <v>22</v>
      </c>
      <c r="AE85" s="102" t="n">
        <v>22</v>
      </c>
      <c r="AF85" s="102" t="n">
        <v>22</v>
      </c>
      <c r="AG85" s="102" t="n">
        <v>22</v>
      </c>
      <c r="AI85" s="103" t="n">
        <f aca="false">INDEX($F85:$AG85,1,MATCH(AI$7,$F$7:$AG$7,1))</f>
        <v>0</v>
      </c>
      <c r="AJ85" s="103" t="n">
        <f aca="false">INDEX($F85:$AG85,1,MATCH(AJ$7,$F$7:$AG$7,1))</f>
        <v>0</v>
      </c>
      <c r="AK85" s="103" t="n">
        <f aca="false">INDEX($F85:$AG85,1,MATCH(AK$7,$F$7:$AG$7,1))</f>
        <v>0</v>
      </c>
      <c r="AL85" s="103" t="n">
        <f aca="false">INDEX($F85:$AG85,1,MATCH(AL$7,$F$7:$AG$7,1))</f>
        <v>22</v>
      </c>
      <c r="AM85" s="103" t="n">
        <f aca="false">INDEX($F85:$AG85,1,MATCH(AM$7,$F$7:$AG$7,1))</f>
        <v>22</v>
      </c>
      <c r="AN85" s="103" t="n">
        <f aca="false">INDEX($F85:$AG85,1,MATCH(AN$7,$F$7:$AG$7,1))</f>
        <v>22</v>
      </c>
      <c r="AO85" s="103" t="n">
        <f aca="false">INDEX($F85:$AG85,1,MATCH(AO$7,$F$7:$AG$7,1))</f>
        <v>22</v>
      </c>
    </row>
    <row r="86" customFormat="false" ht="15" hidden="false" customHeight="false" outlineLevel="0" collapsed="false">
      <c r="A86" s="101" t="s">
        <v>1164</v>
      </c>
      <c r="B86" s="18" t="s">
        <v>415</v>
      </c>
      <c r="C86" s="18" t="s">
        <v>354</v>
      </c>
      <c r="D86" s="18" t="s">
        <v>1118</v>
      </c>
      <c r="F86" s="102" t="n">
        <v>0</v>
      </c>
      <c r="G86" s="102" t="n">
        <v>0</v>
      </c>
      <c r="H86" s="102" t="n">
        <v>0</v>
      </c>
      <c r="I86" s="102" t="n">
        <v>0</v>
      </c>
      <c r="J86" s="102" t="n">
        <v>0</v>
      </c>
      <c r="K86" s="102" t="n">
        <v>0</v>
      </c>
      <c r="L86" s="102" t="n">
        <v>0</v>
      </c>
      <c r="M86" s="102" t="n">
        <v>0</v>
      </c>
      <c r="N86" s="102" t="n">
        <v>0</v>
      </c>
      <c r="O86" s="102" t="n">
        <v>0</v>
      </c>
      <c r="P86" s="102" t="n">
        <v>0</v>
      </c>
      <c r="Q86" s="102" t="n">
        <v>11</v>
      </c>
      <c r="R86" s="102" t="n">
        <v>16.5</v>
      </c>
      <c r="S86" s="102" t="n">
        <v>22</v>
      </c>
      <c r="T86" s="102" t="n">
        <v>22</v>
      </c>
      <c r="U86" s="102" t="n">
        <v>22</v>
      </c>
      <c r="V86" s="102" t="n">
        <v>22</v>
      </c>
      <c r="W86" s="102" t="n">
        <v>22</v>
      </c>
      <c r="X86" s="102" t="n">
        <v>22</v>
      </c>
      <c r="Y86" s="102" t="n">
        <v>22</v>
      </c>
      <c r="Z86" s="102" t="n">
        <v>22</v>
      </c>
      <c r="AA86" s="102" t="n">
        <v>22</v>
      </c>
      <c r="AB86" s="102" t="n">
        <v>22</v>
      </c>
      <c r="AC86" s="102" t="n">
        <v>22</v>
      </c>
      <c r="AD86" s="102" t="n">
        <v>22</v>
      </c>
      <c r="AE86" s="102" t="n">
        <v>22</v>
      </c>
      <c r="AF86" s="102" t="n">
        <v>22</v>
      </c>
      <c r="AG86" s="102" t="n">
        <v>22</v>
      </c>
      <c r="AI86" s="103" t="n">
        <f aca="false">INDEX($F86:$AG86,1,MATCH(AI$7,$F$7:$AG$7,1))</f>
        <v>0</v>
      </c>
      <c r="AJ86" s="103" t="n">
        <f aca="false">INDEX($F86:$AG86,1,MATCH(AJ$7,$F$7:$AG$7,1))</f>
        <v>0</v>
      </c>
      <c r="AK86" s="103" t="n">
        <f aca="false">INDEX($F86:$AG86,1,MATCH(AK$7,$F$7:$AG$7,1))</f>
        <v>11</v>
      </c>
      <c r="AL86" s="103" t="n">
        <f aca="false">INDEX($F86:$AG86,1,MATCH(AL$7,$F$7:$AG$7,1))</f>
        <v>22</v>
      </c>
      <c r="AM86" s="103" t="n">
        <f aca="false">INDEX($F86:$AG86,1,MATCH(AM$7,$F$7:$AG$7,1))</f>
        <v>22</v>
      </c>
      <c r="AN86" s="103" t="n">
        <f aca="false">INDEX($F86:$AG86,1,MATCH(AN$7,$F$7:$AG$7,1))</f>
        <v>22</v>
      </c>
      <c r="AO86" s="103" t="n">
        <f aca="false">INDEX($F86:$AG86,1,MATCH(AO$7,$F$7:$AG$7,1))</f>
        <v>22</v>
      </c>
    </row>
    <row r="87" customFormat="false" ht="15" hidden="false" customHeight="false" outlineLevel="0" collapsed="false">
      <c r="A87" s="101" t="s">
        <v>1165</v>
      </c>
      <c r="B87" s="18" t="s">
        <v>415</v>
      </c>
      <c r="C87" s="18" t="s">
        <v>354</v>
      </c>
      <c r="D87" s="18" t="s">
        <v>1118</v>
      </c>
      <c r="F87" s="102" t="n">
        <v>0</v>
      </c>
      <c r="G87" s="102" t="n">
        <v>0</v>
      </c>
      <c r="H87" s="102" t="n">
        <v>0</v>
      </c>
      <c r="I87" s="102" t="n">
        <v>0</v>
      </c>
      <c r="J87" s="102" t="n">
        <v>0</v>
      </c>
      <c r="K87" s="102" t="n">
        <v>0</v>
      </c>
      <c r="L87" s="102" t="n">
        <v>0</v>
      </c>
      <c r="M87" s="102" t="n">
        <v>0</v>
      </c>
      <c r="N87" s="102" t="n">
        <v>0</v>
      </c>
      <c r="O87" s="102" t="n">
        <v>0</v>
      </c>
      <c r="P87" s="102" t="n">
        <v>0</v>
      </c>
      <c r="Q87" s="102" t="n">
        <v>22</v>
      </c>
      <c r="R87" s="102" t="n">
        <v>22</v>
      </c>
      <c r="S87" s="102" t="n">
        <v>22</v>
      </c>
      <c r="T87" s="102" t="n">
        <v>22</v>
      </c>
      <c r="U87" s="102" t="n">
        <v>22</v>
      </c>
      <c r="V87" s="102" t="n">
        <v>22</v>
      </c>
      <c r="W87" s="102" t="n">
        <v>22</v>
      </c>
      <c r="X87" s="102" t="n">
        <v>22</v>
      </c>
      <c r="Y87" s="102" t="n">
        <v>22</v>
      </c>
      <c r="Z87" s="102" t="n">
        <v>22</v>
      </c>
      <c r="AA87" s="102" t="n">
        <v>22</v>
      </c>
      <c r="AB87" s="102" t="n">
        <v>22</v>
      </c>
      <c r="AC87" s="102" t="n">
        <v>22</v>
      </c>
      <c r="AD87" s="102" t="n">
        <v>22</v>
      </c>
      <c r="AE87" s="102" t="n">
        <v>22</v>
      </c>
      <c r="AF87" s="102" t="n">
        <v>22</v>
      </c>
      <c r="AG87" s="102" t="n">
        <v>22</v>
      </c>
      <c r="AI87" s="103" t="n">
        <f aca="false">INDEX($F87:$AG87,1,MATCH(AI$7,$F$7:$AG$7,1))</f>
        <v>0</v>
      </c>
      <c r="AJ87" s="103" t="n">
        <f aca="false">INDEX($F87:$AG87,1,MATCH(AJ$7,$F$7:$AG$7,1))</f>
        <v>0</v>
      </c>
      <c r="AK87" s="103" t="n">
        <f aca="false">INDEX($F87:$AG87,1,MATCH(AK$7,$F$7:$AG$7,1))</f>
        <v>22</v>
      </c>
      <c r="AL87" s="103" t="n">
        <f aca="false">INDEX($F87:$AG87,1,MATCH(AL$7,$F$7:$AG$7,1))</f>
        <v>22</v>
      </c>
      <c r="AM87" s="103" t="n">
        <f aca="false">INDEX($F87:$AG87,1,MATCH(AM$7,$F$7:$AG$7,1))</f>
        <v>22</v>
      </c>
      <c r="AN87" s="103" t="n">
        <f aca="false">INDEX($F87:$AG87,1,MATCH(AN$7,$F$7:$AG$7,1))</f>
        <v>22</v>
      </c>
      <c r="AO87" s="103" t="n">
        <f aca="false">INDEX($F87:$AG87,1,MATCH(AO$7,$F$7:$AG$7,1))</f>
        <v>22</v>
      </c>
    </row>
    <row r="88" customFormat="false" ht="15" hidden="false" customHeight="false" outlineLevel="0" collapsed="false">
      <c r="A88" s="101" t="s">
        <v>1166</v>
      </c>
      <c r="B88" s="18" t="s">
        <v>415</v>
      </c>
      <c r="C88" s="18" t="s">
        <v>354</v>
      </c>
      <c r="D88" s="18" t="s">
        <v>1118</v>
      </c>
      <c r="F88" s="102" t="n">
        <v>0</v>
      </c>
      <c r="G88" s="102" t="n">
        <v>0</v>
      </c>
      <c r="H88" s="102" t="n">
        <v>0</v>
      </c>
      <c r="I88" s="102" t="n">
        <v>0</v>
      </c>
      <c r="J88" s="102" t="n">
        <v>0</v>
      </c>
      <c r="K88" s="102" t="n">
        <v>0</v>
      </c>
      <c r="L88" s="102" t="n">
        <v>0</v>
      </c>
      <c r="M88" s="102" t="n">
        <v>0</v>
      </c>
      <c r="N88" s="102" t="n">
        <v>0</v>
      </c>
      <c r="O88" s="102" t="n">
        <v>0</v>
      </c>
      <c r="P88" s="102" t="n">
        <v>0</v>
      </c>
      <c r="Q88" s="102" t="n">
        <v>0</v>
      </c>
      <c r="R88" s="102" t="n">
        <v>20</v>
      </c>
      <c r="S88" s="102" t="n">
        <v>39</v>
      </c>
      <c r="T88" s="102" t="n">
        <v>58</v>
      </c>
      <c r="U88" s="102" t="n">
        <v>58</v>
      </c>
      <c r="V88" s="102" t="n">
        <v>58</v>
      </c>
      <c r="W88" s="102" t="n">
        <v>58</v>
      </c>
      <c r="X88" s="102" t="n">
        <v>58</v>
      </c>
      <c r="Y88" s="102" t="n">
        <v>58</v>
      </c>
      <c r="Z88" s="102" t="n">
        <v>58</v>
      </c>
      <c r="AA88" s="102" t="n">
        <v>58</v>
      </c>
      <c r="AB88" s="102" t="n">
        <v>58</v>
      </c>
      <c r="AC88" s="102" t="n">
        <v>58</v>
      </c>
      <c r="AD88" s="102" t="n">
        <v>58</v>
      </c>
      <c r="AE88" s="102" t="n">
        <v>58</v>
      </c>
      <c r="AF88" s="102" t="n">
        <v>58</v>
      </c>
      <c r="AG88" s="102" t="n">
        <v>58</v>
      </c>
      <c r="AI88" s="103" t="n">
        <f aca="false">INDEX($F88:$AG88,1,MATCH(AI$7,$F$7:$AG$7,1))</f>
        <v>0</v>
      </c>
      <c r="AJ88" s="103" t="n">
        <f aca="false">INDEX($F88:$AG88,1,MATCH(AJ$7,$F$7:$AG$7,1))</f>
        <v>0</v>
      </c>
      <c r="AK88" s="103" t="n">
        <f aca="false">INDEX($F88:$AG88,1,MATCH(AK$7,$F$7:$AG$7,1))</f>
        <v>0</v>
      </c>
      <c r="AL88" s="103" t="n">
        <f aca="false">INDEX($F88:$AG88,1,MATCH(AL$7,$F$7:$AG$7,1))</f>
        <v>58</v>
      </c>
      <c r="AM88" s="103" t="n">
        <f aca="false">INDEX($F88:$AG88,1,MATCH(AM$7,$F$7:$AG$7,1))</f>
        <v>58</v>
      </c>
      <c r="AN88" s="103" t="n">
        <f aca="false">INDEX($F88:$AG88,1,MATCH(AN$7,$F$7:$AG$7,1))</f>
        <v>58</v>
      </c>
      <c r="AO88" s="103" t="n">
        <f aca="false">INDEX($F88:$AG88,1,MATCH(AO$7,$F$7:$AG$7,1))</f>
        <v>58</v>
      </c>
    </row>
    <row r="89" customFormat="false" ht="15" hidden="false" customHeight="false" outlineLevel="0" collapsed="false">
      <c r="A89" s="101" t="s">
        <v>1167</v>
      </c>
      <c r="B89" s="18" t="s">
        <v>415</v>
      </c>
      <c r="C89" s="18" t="s">
        <v>354</v>
      </c>
      <c r="D89" s="18" t="s">
        <v>1118</v>
      </c>
      <c r="F89" s="102" t="n">
        <v>0</v>
      </c>
      <c r="G89" s="102" t="n">
        <v>0</v>
      </c>
      <c r="H89" s="102" t="n">
        <v>0</v>
      </c>
      <c r="I89" s="102" t="n">
        <v>0</v>
      </c>
      <c r="J89" s="102" t="n">
        <v>0</v>
      </c>
      <c r="K89" s="102" t="n">
        <v>0</v>
      </c>
      <c r="L89" s="102" t="n">
        <v>0</v>
      </c>
      <c r="M89" s="102" t="n">
        <v>0</v>
      </c>
      <c r="N89" s="102" t="n">
        <v>0</v>
      </c>
      <c r="O89" s="102" t="n">
        <v>0</v>
      </c>
      <c r="P89" s="102" t="n">
        <v>0</v>
      </c>
      <c r="Q89" s="102" t="n">
        <v>19.5</v>
      </c>
      <c r="R89" s="102" t="n">
        <v>39</v>
      </c>
      <c r="S89" s="102" t="n">
        <v>48.5</v>
      </c>
      <c r="T89" s="102" t="n">
        <v>58</v>
      </c>
      <c r="U89" s="102" t="n">
        <v>58</v>
      </c>
      <c r="V89" s="102" t="n">
        <v>58</v>
      </c>
      <c r="W89" s="102" t="n">
        <v>58</v>
      </c>
      <c r="X89" s="102" t="n">
        <v>58</v>
      </c>
      <c r="Y89" s="102" t="n">
        <v>58</v>
      </c>
      <c r="Z89" s="102" t="n">
        <v>58</v>
      </c>
      <c r="AA89" s="102" t="n">
        <v>58</v>
      </c>
      <c r="AB89" s="102" t="n">
        <v>58</v>
      </c>
      <c r="AC89" s="102" t="n">
        <v>58</v>
      </c>
      <c r="AD89" s="102" t="n">
        <v>58</v>
      </c>
      <c r="AE89" s="102" t="n">
        <v>58</v>
      </c>
      <c r="AF89" s="102" t="n">
        <v>58</v>
      </c>
      <c r="AG89" s="102" t="n">
        <v>58</v>
      </c>
      <c r="AI89" s="103" t="n">
        <f aca="false">INDEX($F89:$AG89,1,MATCH(AI$7,$F$7:$AG$7,1))</f>
        <v>0</v>
      </c>
      <c r="AJ89" s="103" t="n">
        <f aca="false">INDEX($F89:$AG89,1,MATCH(AJ$7,$F$7:$AG$7,1))</f>
        <v>0</v>
      </c>
      <c r="AK89" s="103" t="n">
        <f aca="false">INDEX($F89:$AG89,1,MATCH(AK$7,$F$7:$AG$7,1))</f>
        <v>19.5</v>
      </c>
      <c r="AL89" s="103" t="n">
        <f aca="false">INDEX($F89:$AG89,1,MATCH(AL$7,$F$7:$AG$7,1))</f>
        <v>58</v>
      </c>
      <c r="AM89" s="103" t="n">
        <f aca="false">INDEX($F89:$AG89,1,MATCH(AM$7,$F$7:$AG$7,1))</f>
        <v>58</v>
      </c>
      <c r="AN89" s="103" t="n">
        <f aca="false">INDEX($F89:$AG89,1,MATCH(AN$7,$F$7:$AG$7,1))</f>
        <v>58</v>
      </c>
      <c r="AO89" s="103" t="n">
        <f aca="false">INDEX($F89:$AG89,1,MATCH(AO$7,$F$7:$AG$7,1))</f>
        <v>58</v>
      </c>
    </row>
    <row r="90" customFormat="false" ht="15" hidden="false" customHeight="false" outlineLevel="0" collapsed="false">
      <c r="A90" s="101" t="s">
        <v>1168</v>
      </c>
      <c r="B90" s="18" t="s">
        <v>415</v>
      </c>
      <c r="C90" s="18" t="s">
        <v>354</v>
      </c>
      <c r="D90" s="18" t="s">
        <v>1118</v>
      </c>
      <c r="F90" s="102" t="n">
        <v>0</v>
      </c>
      <c r="G90" s="102" t="n">
        <v>0</v>
      </c>
      <c r="H90" s="102" t="n">
        <v>0</v>
      </c>
      <c r="I90" s="102" t="n">
        <v>0</v>
      </c>
      <c r="J90" s="102" t="n">
        <v>0</v>
      </c>
      <c r="K90" s="102" t="n">
        <v>0</v>
      </c>
      <c r="L90" s="102" t="n">
        <v>0</v>
      </c>
      <c r="M90" s="102" t="n">
        <v>0</v>
      </c>
      <c r="N90" s="102" t="n">
        <v>0</v>
      </c>
      <c r="O90" s="102" t="n">
        <v>0</v>
      </c>
      <c r="P90" s="102" t="n">
        <v>0</v>
      </c>
      <c r="Q90" s="102" t="n">
        <v>39</v>
      </c>
      <c r="R90" s="102" t="n">
        <v>58</v>
      </c>
      <c r="S90" s="102" t="n">
        <v>58</v>
      </c>
      <c r="T90" s="102" t="n">
        <v>58</v>
      </c>
      <c r="U90" s="102" t="n">
        <v>58</v>
      </c>
      <c r="V90" s="102" t="n">
        <v>58</v>
      </c>
      <c r="W90" s="102" t="n">
        <v>58</v>
      </c>
      <c r="X90" s="102" t="n">
        <v>58</v>
      </c>
      <c r="Y90" s="102" t="n">
        <v>58</v>
      </c>
      <c r="Z90" s="102" t="n">
        <v>58</v>
      </c>
      <c r="AA90" s="102" t="n">
        <v>58</v>
      </c>
      <c r="AB90" s="102" t="n">
        <v>58</v>
      </c>
      <c r="AC90" s="102" t="n">
        <v>58</v>
      </c>
      <c r="AD90" s="102" t="n">
        <v>58</v>
      </c>
      <c r="AE90" s="102" t="n">
        <v>58</v>
      </c>
      <c r="AF90" s="102" t="n">
        <v>58</v>
      </c>
      <c r="AG90" s="102" t="n">
        <v>58</v>
      </c>
      <c r="AI90" s="103" t="n">
        <f aca="false">INDEX($F90:$AG90,1,MATCH(AI$7,$F$7:$AG$7,1))</f>
        <v>0</v>
      </c>
      <c r="AJ90" s="103" t="n">
        <f aca="false">INDEX($F90:$AG90,1,MATCH(AJ$7,$F$7:$AG$7,1))</f>
        <v>0</v>
      </c>
      <c r="AK90" s="103" t="n">
        <f aca="false">INDEX($F90:$AG90,1,MATCH(AK$7,$F$7:$AG$7,1))</f>
        <v>39</v>
      </c>
      <c r="AL90" s="103" t="n">
        <f aca="false">INDEX($F90:$AG90,1,MATCH(AL$7,$F$7:$AG$7,1))</f>
        <v>58</v>
      </c>
      <c r="AM90" s="103" t="n">
        <f aca="false">INDEX($F90:$AG90,1,MATCH(AM$7,$F$7:$AG$7,1))</f>
        <v>58</v>
      </c>
      <c r="AN90" s="103" t="n">
        <f aca="false">INDEX($F90:$AG90,1,MATCH(AN$7,$F$7:$AG$7,1))</f>
        <v>58</v>
      </c>
      <c r="AO90" s="103" t="n">
        <f aca="false">INDEX($F90:$AG90,1,MATCH(AO$7,$F$7:$AG$7,1))</f>
        <v>58</v>
      </c>
    </row>
    <row r="91" customFormat="false" ht="15" hidden="false" customHeight="false" outlineLevel="0" collapsed="false">
      <c r="A91" s="101" t="s">
        <v>1169</v>
      </c>
      <c r="B91" s="18" t="s">
        <v>415</v>
      </c>
      <c r="C91" s="18" t="s">
        <v>354</v>
      </c>
      <c r="D91" s="18" t="s">
        <v>1118</v>
      </c>
      <c r="F91" s="102" t="n">
        <v>0</v>
      </c>
      <c r="G91" s="102" t="n">
        <v>0</v>
      </c>
      <c r="H91" s="102" t="n">
        <v>0</v>
      </c>
      <c r="I91" s="102" t="n">
        <v>0</v>
      </c>
      <c r="J91" s="102" t="n">
        <v>0</v>
      </c>
      <c r="K91" s="102" t="n">
        <v>0</v>
      </c>
      <c r="L91" s="102" t="n">
        <v>0</v>
      </c>
      <c r="M91" s="102" t="n">
        <v>0</v>
      </c>
      <c r="N91" s="102" t="n">
        <v>0</v>
      </c>
      <c r="O91" s="102" t="n">
        <v>0</v>
      </c>
      <c r="P91" s="102" t="n">
        <v>6</v>
      </c>
      <c r="Q91" s="102" t="n">
        <v>9</v>
      </c>
      <c r="R91" s="102" t="n">
        <v>18</v>
      </c>
      <c r="S91" s="102" t="n">
        <v>18</v>
      </c>
      <c r="T91" s="102" t="n">
        <v>18</v>
      </c>
      <c r="U91" s="102" t="n">
        <v>18</v>
      </c>
      <c r="V91" s="102" t="n">
        <v>18</v>
      </c>
      <c r="W91" s="102" t="n">
        <v>18</v>
      </c>
      <c r="X91" s="102" t="n">
        <v>18</v>
      </c>
      <c r="Y91" s="102" t="n">
        <v>18</v>
      </c>
      <c r="Z91" s="102" t="n">
        <v>18</v>
      </c>
      <c r="AA91" s="102" t="n">
        <v>18</v>
      </c>
      <c r="AB91" s="102" t="n">
        <v>18</v>
      </c>
      <c r="AC91" s="102" t="n">
        <v>18</v>
      </c>
      <c r="AD91" s="102" t="n">
        <v>18</v>
      </c>
      <c r="AE91" s="102" t="n">
        <v>18</v>
      </c>
      <c r="AF91" s="102" t="n">
        <v>18</v>
      </c>
      <c r="AG91" s="102" t="n">
        <v>18</v>
      </c>
      <c r="AI91" s="103" t="n">
        <f aca="false">INDEX($F91:$AG91,1,MATCH(AI$7,$F$7:$AG$7,1))</f>
        <v>0</v>
      </c>
      <c r="AJ91" s="103" t="n">
        <f aca="false">INDEX($F91:$AG91,1,MATCH(AJ$7,$F$7:$AG$7,1))</f>
        <v>0</v>
      </c>
      <c r="AK91" s="103" t="n">
        <f aca="false">INDEX($F91:$AG91,1,MATCH(AK$7,$F$7:$AG$7,1))</f>
        <v>9</v>
      </c>
      <c r="AL91" s="103" t="n">
        <f aca="false">INDEX($F91:$AG91,1,MATCH(AL$7,$F$7:$AG$7,1))</f>
        <v>18</v>
      </c>
      <c r="AM91" s="103" t="n">
        <f aca="false">INDEX($F91:$AG91,1,MATCH(AM$7,$F$7:$AG$7,1))</f>
        <v>18</v>
      </c>
      <c r="AN91" s="103" t="n">
        <f aca="false">INDEX($F91:$AG91,1,MATCH(AN$7,$F$7:$AG$7,1))</f>
        <v>18</v>
      </c>
      <c r="AO91" s="103" t="n">
        <f aca="false">INDEX($F91:$AG91,1,MATCH(AO$7,$F$7:$AG$7,1))</f>
        <v>18</v>
      </c>
    </row>
    <row r="92" customFormat="false" ht="15" hidden="false" customHeight="false" outlineLevel="0" collapsed="false">
      <c r="A92" s="101" t="s">
        <v>1170</v>
      </c>
      <c r="B92" s="18" t="s">
        <v>415</v>
      </c>
      <c r="C92" s="18" t="s">
        <v>354</v>
      </c>
      <c r="D92" s="18" t="s">
        <v>1118</v>
      </c>
      <c r="F92" s="102" t="n">
        <v>0</v>
      </c>
      <c r="G92" s="102" t="n">
        <v>0</v>
      </c>
      <c r="H92" s="102" t="n">
        <v>0</v>
      </c>
      <c r="I92" s="102" t="n">
        <v>0</v>
      </c>
      <c r="J92" s="102" t="n">
        <v>0</v>
      </c>
      <c r="K92" s="102" t="n">
        <v>0</v>
      </c>
      <c r="L92" s="102" t="n">
        <v>0</v>
      </c>
      <c r="M92" s="102" t="n">
        <v>0</v>
      </c>
      <c r="N92" s="102" t="n">
        <v>0</v>
      </c>
      <c r="O92" s="102" t="n">
        <v>0</v>
      </c>
      <c r="P92" s="102" t="n">
        <v>7.5</v>
      </c>
      <c r="Q92" s="102" t="n">
        <v>13.5</v>
      </c>
      <c r="R92" s="102" t="n">
        <v>18</v>
      </c>
      <c r="S92" s="102" t="n">
        <v>18</v>
      </c>
      <c r="T92" s="102" t="n">
        <v>18</v>
      </c>
      <c r="U92" s="102" t="n">
        <v>18</v>
      </c>
      <c r="V92" s="102" t="n">
        <v>18</v>
      </c>
      <c r="W92" s="102" t="n">
        <v>18</v>
      </c>
      <c r="X92" s="102" t="n">
        <v>18</v>
      </c>
      <c r="Y92" s="102" t="n">
        <v>18</v>
      </c>
      <c r="Z92" s="102" t="n">
        <v>18</v>
      </c>
      <c r="AA92" s="102" t="n">
        <v>18</v>
      </c>
      <c r="AB92" s="102" t="n">
        <v>18</v>
      </c>
      <c r="AC92" s="102" t="n">
        <v>18</v>
      </c>
      <c r="AD92" s="102" t="n">
        <v>18</v>
      </c>
      <c r="AE92" s="102" t="n">
        <v>18</v>
      </c>
      <c r="AF92" s="102" t="n">
        <v>18</v>
      </c>
      <c r="AG92" s="102" t="n">
        <v>18</v>
      </c>
      <c r="AI92" s="103" t="n">
        <f aca="false">INDEX($F92:$AG92,1,MATCH(AI$7,$F$7:$AG$7,1))</f>
        <v>0</v>
      </c>
      <c r="AJ92" s="103" t="n">
        <f aca="false">INDEX($F92:$AG92,1,MATCH(AJ$7,$F$7:$AG$7,1))</f>
        <v>0</v>
      </c>
      <c r="AK92" s="103" t="n">
        <f aca="false">INDEX($F92:$AG92,1,MATCH(AK$7,$F$7:$AG$7,1))</f>
        <v>13.5</v>
      </c>
      <c r="AL92" s="103" t="n">
        <f aca="false">INDEX($F92:$AG92,1,MATCH(AL$7,$F$7:$AG$7,1))</f>
        <v>18</v>
      </c>
      <c r="AM92" s="103" t="n">
        <f aca="false">INDEX($F92:$AG92,1,MATCH(AM$7,$F$7:$AG$7,1))</f>
        <v>18</v>
      </c>
      <c r="AN92" s="103" t="n">
        <f aca="false">INDEX($F92:$AG92,1,MATCH(AN$7,$F$7:$AG$7,1))</f>
        <v>18</v>
      </c>
      <c r="AO92" s="103" t="n">
        <f aca="false">INDEX($F92:$AG92,1,MATCH(AO$7,$F$7:$AG$7,1))</f>
        <v>18</v>
      </c>
    </row>
    <row r="93" customFormat="false" ht="15" hidden="false" customHeight="false" outlineLevel="0" collapsed="false">
      <c r="A93" s="101" t="s">
        <v>1171</v>
      </c>
      <c r="B93" s="18" t="s">
        <v>415</v>
      </c>
      <c r="C93" s="18" t="s">
        <v>354</v>
      </c>
      <c r="D93" s="18" t="s">
        <v>1118</v>
      </c>
      <c r="F93" s="102" t="n">
        <v>0</v>
      </c>
      <c r="G93" s="102" t="n">
        <v>0</v>
      </c>
      <c r="H93" s="102" t="n">
        <v>0</v>
      </c>
      <c r="I93" s="102" t="n">
        <v>0</v>
      </c>
      <c r="J93" s="102" t="n">
        <v>0</v>
      </c>
      <c r="K93" s="102" t="n">
        <v>0</v>
      </c>
      <c r="L93" s="102" t="n">
        <v>0</v>
      </c>
      <c r="M93" s="102" t="n">
        <v>0</v>
      </c>
      <c r="N93" s="102" t="n">
        <v>0</v>
      </c>
      <c r="O93" s="102" t="n">
        <v>0</v>
      </c>
      <c r="P93" s="102" t="n">
        <v>9</v>
      </c>
      <c r="Q93" s="102" t="n">
        <v>18</v>
      </c>
      <c r="R93" s="102" t="n">
        <v>18</v>
      </c>
      <c r="S93" s="102" t="n">
        <v>18</v>
      </c>
      <c r="T93" s="102" t="n">
        <v>18</v>
      </c>
      <c r="U93" s="102" t="n">
        <v>18</v>
      </c>
      <c r="V93" s="102" t="n">
        <v>18</v>
      </c>
      <c r="W93" s="102" t="n">
        <v>18</v>
      </c>
      <c r="X93" s="102" t="n">
        <v>18</v>
      </c>
      <c r="Y93" s="102" t="n">
        <v>18</v>
      </c>
      <c r="Z93" s="102" t="n">
        <v>18</v>
      </c>
      <c r="AA93" s="102" t="n">
        <v>18</v>
      </c>
      <c r="AB93" s="102" t="n">
        <v>18</v>
      </c>
      <c r="AC93" s="102" t="n">
        <v>18</v>
      </c>
      <c r="AD93" s="102" t="n">
        <v>18</v>
      </c>
      <c r="AE93" s="102" t="n">
        <v>18</v>
      </c>
      <c r="AF93" s="102" t="n">
        <v>18</v>
      </c>
      <c r="AG93" s="102" t="n">
        <v>18</v>
      </c>
      <c r="AI93" s="103" t="n">
        <f aca="false">INDEX($F93:$AG93,1,MATCH(AI$7,$F$7:$AG$7,1))</f>
        <v>0</v>
      </c>
      <c r="AJ93" s="103" t="n">
        <f aca="false">INDEX($F93:$AG93,1,MATCH(AJ$7,$F$7:$AG$7,1))</f>
        <v>0</v>
      </c>
      <c r="AK93" s="103" t="n">
        <f aca="false">INDEX($F93:$AG93,1,MATCH(AK$7,$F$7:$AG$7,1))</f>
        <v>18</v>
      </c>
      <c r="AL93" s="103" t="n">
        <f aca="false">INDEX($F93:$AG93,1,MATCH(AL$7,$F$7:$AG$7,1))</f>
        <v>18</v>
      </c>
      <c r="AM93" s="103" t="n">
        <f aca="false">INDEX($F93:$AG93,1,MATCH(AM$7,$F$7:$AG$7,1))</f>
        <v>18</v>
      </c>
      <c r="AN93" s="103" t="n">
        <f aca="false">INDEX($F93:$AG93,1,MATCH(AN$7,$F$7:$AG$7,1))</f>
        <v>18</v>
      </c>
      <c r="AO93" s="103" t="n">
        <f aca="false">INDEX($F93:$AG93,1,MATCH(AO$7,$F$7:$AG$7,1))</f>
        <v>18</v>
      </c>
    </row>
    <row r="94" customFormat="false" ht="15" hidden="false" customHeight="false" outlineLevel="0" collapsed="false">
      <c r="A94" s="101" t="s">
        <v>1172</v>
      </c>
      <c r="B94" s="18" t="s">
        <v>415</v>
      </c>
      <c r="C94" s="18" t="s">
        <v>354</v>
      </c>
      <c r="D94" s="18" t="s">
        <v>1118</v>
      </c>
      <c r="F94" s="102" t="n">
        <v>0</v>
      </c>
      <c r="G94" s="102" t="n">
        <v>0</v>
      </c>
      <c r="H94" s="102" t="n">
        <v>0</v>
      </c>
      <c r="I94" s="102" t="n">
        <v>0</v>
      </c>
      <c r="J94" s="102" t="n">
        <v>0</v>
      </c>
      <c r="K94" s="102" t="n">
        <v>0</v>
      </c>
      <c r="L94" s="102" t="n">
        <v>0</v>
      </c>
      <c r="M94" s="102" t="n">
        <v>0</v>
      </c>
      <c r="N94" s="102" t="n">
        <v>0</v>
      </c>
      <c r="O94" s="102" t="n">
        <v>0</v>
      </c>
      <c r="P94" s="102" t="n">
        <v>0</v>
      </c>
      <c r="Q94" s="102" t="n">
        <v>0</v>
      </c>
      <c r="R94" s="102" t="n">
        <v>11</v>
      </c>
      <c r="S94" s="102" t="n">
        <v>22</v>
      </c>
      <c r="T94" s="102" t="n">
        <v>22</v>
      </c>
      <c r="U94" s="102" t="n">
        <v>22</v>
      </c>
      <c r="V94" s="102" t="n">
        <v>22</v>
      </c>
      <c r="W94" s="102" t="n">
        <v>22</v>
      </c>
      <c r="X94" s="102" t="n">
        <v>22</v>
      </c>
      <c r="Y94" s="102" t="n">
        <v>22</v>
      </c>
      <c r="Z94" s="102" t="n">
        <v>22</v>
      </c>
      <c r="AA94" s="102" t="n">
        <v>22</v>
      </c>
      <c r="AB94" s="102" t="n">
        <v>22</v>
      </c>
      <c r="AC94" s="102" t="n">
        <v>22</v>
      </c>
      <c r="AD94" s="102" t="n">
        <v>22</v>
      </c>
      <c r="AE94" s="102" t="n">
        <v>22</v>
      </c>
      <c r="AF94" s="102" t="n">
        <v>22</v>
      </c>
      <c r="AG94" s="102" t="n">
        <v>22</v>
      </c>
      <c r="AI94" s="103" t="n">
        <f aca="false">INDEX($F94:$AG94,1,MATCH(AI$7,$F$7:$AG$7,1))</f>
        <v>0</v>
      </c>
      <c r="AJ94" s="103" t="n">
        <f aca="false">INDEX($F94:$AG94,1,MATCH(AJ$7,$F$7:$AG$7,1))</f>
        <v>0</v>
      </c>
      <c r="AK94" s="103" t="n">
        <f aca="false">INDEX($F94:$AG94,1,MATCH(AK$7,$F$7:$AG$7,1))</f>
        <v>0</v>
      </c>
      <c r="AL94" s="103" t="n">
        <f aca="false">INDEX($F94:$AG94,1,MATCH(AL$7,$F$7:$AG$7,1))</f>
        <v>22</v>
      </c>
      <c r="AM94" s="103" t="n">
        <f aca="false">INDEX($F94:$AG94,1,MATCH(AM$7,$F$7:$AG$7,1))</f>
        <v>22</v>
      </c>
      <c r="AN94" s="103" t="n">
        <f aca="false">INDEX($F94:$AG94,1,MATCH(AN$7,$F$7:$AG$7,1))</f>
        <v>22</v>
      </c>
      <c r="AO94" s="103" t="n">
        <f aca="false">INDEX($F94:$AG94,1,MATCH(AO$7,$F$7:$AG$7,1))</f>
        <v>22</v>
      </c>
    </row>
    <row r="95" customFormat="false" ht="15" hidden="false" customHeight="false" outlineLevel="0" collapsed="false">
      <c r="A95" s="101" t="s">
        <v>1173</v>
      </c>
      <c r="B95" s="18" t="s">
        <v>415</v>
      </c>
      <c r="C95" s="18" t="s">
        <v>354</v>
      </c>
      <c r="D95" s="18" t="s">
        <v>1118</v>
      </c>
      <c r="F95" s="102" t="n">
        <v>0</v>
      </c>
      <c r="G95" s="102" t="n">
        <v>0</v>
      </c>
      <c r="H95" s="102" t="n">
        <v>0</v>
      </c>
      <c r="I95" s="102" t="n">
        <v>0</v>
      </c>
      <c r="J95" s="102" t="n">
        <v>0</v>
      </c>
      <c r="K95" s="102" t="n">
        <v>0</v>
      </c>
      <c r="L95" s="102" t="n">
        <v>0</v>
      </c>
      <c r="M95" s="102" t="n">
        <v>0</v>
      </c>
      <c r="N95" s="102" t="n">
        <v>0</v>
      </c>
      <c r="O95" s="102" t="n">
        <v>0</v>
      </c>
      <c r="P95" s="102" t="n">
        <v>0</v>
      </c>
      <c r="Q95" s="102" t="n">
        <v>11</v>
      </c>
      <c r="R95" s="102" t="n">
        <v>16.5</v>
      </c>
      <c r="S95" s="102" t="n">
        <v>22</v>
      </c>
      <c r="T95" s="102" t="n">
        <v>22</v>
      </c>
      <c r="U95" s="102" t="n">
        <v>22</v>
      </c>
      <c r="V95" s="102" t="n">
        <v>22</v>
      </c>
      <c r="W95" s="102" t="n">
        <v>22</v>
      </c>
      <c r="X95" s="102" t="n">
        <v>22</v>
      </c>
      <c r="Y95" s="102" t="n">
        <v>22</v>
      </c>
      <c r="Z95" s="102" t="n">
        <v>22</v>
      </c>
      <c r="AA95" s="102" t="n">
        <v>22</v>
      </c>
      <c r="AB95" s="102" t="n">
        <v>22</v>
      </c>
      <c r="AC95" s="102" t="n">
        <v>22</v>
      </c>
      <c r="AD95" s="102" t="n">
        <v>22</v>
      </c>
      <c r="AE95" s="102" t="n">
        <v>22</v>
      </c>
      <c r="AF95" s="102" t="n">
        <v>22</v>
      </c>
      <c r="AG95" s="102" t="n">
        <v>22</v>
      </c>
      <c r="AI95" s="103" t="n">
        <f aca="false">INDEX($F95:$AG95,1,MATCH(AI$7,$F$7:$AG$7,1))</f>
        <v>0</v>
      </c>
      <c r="AJ95" s="103" t="n">
        <f aca="false">INDEX($F95:$AG95,1,MATCH(AJ$7,$F$7:$AG$7,1))</f>
        <v>0</v>
      </c>
      <c r="AK95" s="103" t="n">
        <f aca="false">INDEX($F95:$AG95,1,MATCH(AK$7,$F$7:$AG$7,1))</f>
        <v>11</v>
      </c>
      <c r="AL95" s="103" t="n">
        <f aca="false">INDEX($F95:$AG95,1,MATCH(AL$7,$F$7:$AG$7,1))</f>
        <v>22</v>
      </c>
      <c r="AM95" s="103" t="n">
        <f aca="false">INDEX($F95:$AG95,1,MATCH(AM$7,$F$7:$AG$7,1))</f>
        <v>22</v>
      </c>
      <c r="AN95" s="103" t="n">
        <f aca="false">INDEX($F95:$AG95,1,MATCH(AN$7,$F$7:$AG$7,1))</f>
        <v>22</v>
      </c>
      <c r="AO95" s="103" t="n">
        <f aca="false">INDEX($F95:$AG95,1,MATCH(AO$7,$F$7:$AG$7,1))</f>
        <v>22</v>
      </c>
    </row>
    <row r="96" customFormat="false" ht="15" hidden="false" customHeight="false" outlineLevel="0" collapsed="false">
      <c r="A96" s="101" t="s">
        <v>1174</v>
      </c>
      <c r="B96" s="18" t="s">
        <v>415</v>
      </c>
      <c r="C96" s="18" t="s">
        <v>354</v>
      </c>
      <c r="D96" s="18" t="s">
        <v>1118</v>
      </c>
      <c r="F96" s="102" t="n">
        <v>0</v>
      </c>
      <c r="G96" s="102" t="n">
        <v>0</v>
      </c>
      <c r="H96" s="102" t="n">
        <v>0</v>
      </c>
      <c r="I96" s="102" t="n">
        <v>0</v>
      </c>
      <c r="J96" s="102" t="n">
        <v>0</v>
      </c>
      <c r="K96" s="102" t="n">
        <v>0</v>
      </c>
      <c r="L96" s="102" t="n">
        <v>0</v>
      </c>
      <c r="M96" s="102" t="n">
        <v>0</v>
      </c>
      <c r="N96" s="102" t="n">
        <v>0</v>
      </c>
      <c r="O96" s="102" t="n">
        <v>0</v>
      </c>
      <c r="P96" s="102" t="n">
        <v>0</v>
      </c>
      <c r="Q96" s="102" t="n">
        <v>22</v>
      </c>
      <c r="R96" s="102" t="n">
        <v>22</v>
      </c>
      <c r="S96" s="102" t="n">
        <v>22</v>
      </c>
      <c r="T96" s="102" t="n">
        <v>22</v>
      </c>
      <c r="U96" s="102" t="n">
        <v>22</v>
      </c>
      <c r="V96" s="102" t="n">
        <v>22</v>
      </c>
      <c r="W96" s="102" t="n">
        <v>22</v>
      </c>
      <c r="X96" s="102" t="n">
        <v>22</v>
      </c>
      <c r="Y96" s="102" t="n">
        <v>22</v>
      </c>
      <c r="Z96" s="102" t="n">
        <v>22</v>
      </c>
      <c r="AA96" s="102" t="n">
        <v>22</v>
      </c>
      <c r="AB96" s="102" t="n">
        <v>22</v>
      </c>
      <c r="AC96" s="102" t="n">
        <v>22</v>
      </c>
      <c r="AD96" s="102" t="n">
        <v>22</v>
      </c>
      <c r="AE96" s="102" t="n">
        <v>22</v>
      </c>
      <c r="AF96" s="102" t="n">
        <v>22</v>
      </c>
      <c r="AG96" s="102" t="n">
        <v>22</v>
      </c>
      <c r="AI96" s="103" t="n">
        <f aca="false">INDEX($F96:$AG96,1,MATCH(AI$7,$F$7:$AG$7,1))</f>
        <v>0</v>
      </c>
      <c r="AJ96" s="103" t="n">
        <f aca="false">INDEX($F96:$AG96,1,MATCH(AJ$7,$F$7:$AG$7,1))</f>
        <v>0</v>
      </c>
      <c r="AK96" s="103" t="n">
        <f aca="false">INDEX($F96:$AG96,1,MATCH(AK$7,$F$7:$AG$7,1))</f>
        <v>22</v>
      </c>
      <c r="AL96" s="103" t="n">
        <f aca="false">INDEX($F96:$AG96,1,MATCH(AL$7,$F$7:$AG$7,1))</f>
        <v>22</v>
      </c>
      <c r="AM96" s="103" t="n">
        <f aca="false">INDEX($F96:$AG96,1,MATCH(AM$7,$F$7:$AG$7,1))</f>
        <v>22</v>
      </c>
      <c r="AN96" s="103" t="n">
        <f aca="false">INDEX($F96:$AG96,1,MATCH(AN$7,$F$7:$AG$7,1))</f>
        <v>22</v>
      </c>
      <c r="AO96" s="103" t="n">
        <f aca="false">INDEX($F96:$AG96,1,MATCH(AO$7,$F$7:$AG$7,1))</f>
        <v>22</v>
      </c>
    </row>
    <row r="97" customFormat="false" ht="15" hidden="false" customHeight="false" outlineLevel="0" collapsed="false">
      <c r="A97" s="101" t="s">
        <v>1175</v>
      </c>
      <c r="B97" s="18" t="s">
        <v>415</v>
      </c>
      <c r="C97" s="18" t="s">
        <v>354</v>
      </c>
      <c r="D97" s="18" t="s">
        <v>1176</v>
      </c>
      <c r="F97" s="104" t="n">
        <f aca="false">IF(F$5&gt;=12,Inputs!$E$137,0)</f>
        <v>0</v>
      </c>
      <c r="G97" s="104" t="n">
        <f aca="false">IF(G$5&gt;=12,Inputs!$E$137,0)</f>
        <v>0</v>
      </c>
      <c r="H97" s="104" t="n">
        <f aca="false">IF(H$5&gt;=12,Inputs!$E$137,0)</f>
        <v>0</v>
      </c>
      <c r="I97" s="104" t="n">
        <f aca="false">IF(I$5&gt;=12,Inputs!$E$137,0)</f>
        <v>0</v>
      </c>
      <c r="J97" s="104" t="n">
        <f aca="false">IF(J$5&gt;=12,Inputs!$E$137,0)</f>
        <v>0</v>
      </c>
      <c r="K97" s="104" t="n">
        <f aca="false">IF(K$5&gt;=12,Inputs!$E$137,0)</f>
        <v>0</v>
      </c>
      <c r="L97" s="104" t="n">
        <f aca="false">IF(L$5&gt;=12,Inputs!$E$137,0)</f>
        <v>0</v>
      </c>
      <c r="M97" s="104" t="n">
        <f aca="false">IF(M$5&gt;=12,Inputs!$E$137,0)</f>
        <v>0</v>
      </c>
      <c r="N97" s="104" t="n">
        <f aca="false">IF(N$5&gt;=12,Inputs!$E$137,0)</f>
        <v>0</v>
      </c>
      <c r="O97" s="104" t="n">
        <f aca="false">IF(O$5&gt;=12,Inputs!$E$137,0)</f>
        <v>0</v>
      </c>
      <c r="P97" s="104" t="n">
        <f aca="false">IF(P$5&gt;=12,Inputs!$E$137,0)</f>
        <v>0</v>
      </c>
      <c r="Q97" s="104" t="n">
        <f aca="false">IF(Q$5&gt;=12,Inputs!$E$137,0)</f>
        <v>0</v>
      </c>
      <c r="R97" s="104" t="n">
        <f aca="false">IF(R$5&gt;=12,Inputs!$E$137,0)</f>
        <v>0</v>
      </c>
      <c r="S97" s="104" t="n">
        <f aca="false">IF(S$5&gt;=12,Inputs!$E$137,0)</f>
        <v>0</v>
      </c>
      <c r="T97" s="104" t="n">
        <f aca="false">IF(T$5&gt;=12,Inputs!$E$137,0)</f>
        <v>0</v>
      </c>
      <c r="U97" s="104" t="n">
        <f aca="false">IF(U$5&gt;=12,Inputs!$E$137,0)</f>
        <v>0</v>
      </c>
      <c r="V97" s="104" t="n">
        <f aca="false">IF(V$5&gt;=12,Inputs!$E$137,0)</f>
        <v>0</v>
      </c>
      <c r="W97" s="104" t="n">
        <f aca="false">IF(W$5&gt;=12,Inputs!$E$137,0)</f>
        <v>0</v>
      </c>
      <c r="X97" s="104" t="n">
        <f aca="false">IF(X$5&gt;=12,Inputs!$E$137,0)</f>
        <v>0</v>
      </c>
      <c r="Y97" s="104" t="n">
        <f aca="false">IF(Y$5&gt;=12,Inputs!$E$137,0)</f>
        <v>0</v>
      </c>
      <c r="Z97" s="104" t="n">
        <f aca="false">IF(Z$5&gt;=12,Inputs!$E$137,0)</f>
        <v>0</v>
      </c>
      <c r="AA97" s="104" t="n">
        <f aca="false">IF(AA$5&gt;=12,Inputs!$E$137,0)</f>
        <v>0</v>
      </c>
      <c r="AB97" s="104" t="n">
        <f aca="false">IF(AB$5&gt;=12,Inputs!$E$137,0)</f>
        <v>0</v>
      </c>
      <c r="AC97" s="104" t="n">
        <f aca="false">IF(AC$5&gt;=12,Inputs!$E$137,0)</f>
        <v>0</v>
      </c>
      <c r="AD97" s="104" t="n">
        <f aca="false">IF(AD$5&gt;=12,Inputs!$E$137,0)</f>
        <v>0</v>
      </c>
      <c r="AE97" s="104" t="n">
        <f aca="false">IF(AE$5&gt;=12,Inputs!$E$137,0)</f>
        <v>0</v>
      </c>
      <c r="AF97" s="104" t="n">
        <f aca="false">IF(AF$5&gt;=12,Inputs!$E$137,0)</f>
        <v>0</v>
      </c>
      <c r="AG97" s="104" t="n">
        <f aca="false">IF(AG$5&gt;=12,Inputs!$E$137,0)</f>
        <v>0</v>
      </c>
      <c r="AI97" s="103" t="n">
        <f aca="false">INDEX($F97:$AG97,1,MATCH(AI$7,$F$7:$AG$7,1))</f>
        <v>0</v>
      </c>
      <c r="AJ97" s="103" t="n">
        <f aca="false">INDEX($F97:$AG97,1,MATCH(AJ$7,$F$7:$AG$7,1))</f>
        <v>0</v>
      </c>
      <c r="AK97" s="103" t="n">
        <f aca="false">INDEX($F97:$AG97,1,MATCH(AK$7,$F$7:$AG$7,1))</f>
        <v>0</v>
      </c>
      <c r="AL97" s="103" t="n">
        <f aca="false">INDEX($F97:$AG97,1,MATCH(AL$7,$F$7:$AG$7,1))</f>
        <v>0</v>
      </c>
      <c r="AM97" s="103" t="n">
        <f aca="false">INDEX($F97:$AG97,1,MATCH(AM$7,$F$7:$AG$7,1))</f>
        <v>0</v>
      </c>
      <c r="AN97" s="103" t="n">
        <f aca="false">INDEX($F97:$AG97,1,MATCH(AN$7,$F$7:$AG$7,1))</f>
        <v>0</v>
      </c>
      <c r="AO97" s="103" t="n">
        <f aca="false">INDEX($F97:$AG97,1,MATCH(AO$7,$F$7:$AG$7,1))</f>
        <v>0</v>
      </c>
    </row>
    <row r="98" customFormat="false" ht="15" hidden="false" customHeight="false" outlineLevel="0" collapsed="false">
      <c r="A98" s="101" t="s">
        <v>1177</v>
      </c>
      <c r="B98" s="18" t="s">
        <v>415</v>
      </c>
      <c r="C98" s="18" t="s">
        <v>354</v>
      </c>
      <c r="D98" s="18" t="s">
        <v>1176</v>
      </c>
      <c r="F98" s="104" t="n">
        <f aca="false">IF(F$5&gt;=12,Inputs!$D$137,0)</f>
        <v>0</v>
      </c>
      <c r="G98" s="104" t="n">
        <f aca="false">IF(G$5&gt;=12,Inputs!$D$137,0)</f>
        <v>0</v>
      </c>
      <c r="H98" s="104" t="n">
        <f aca="false">IF(H$5&gt;=12,Inputs!$D$137,0)</f>
        <v>0</v>
      </c>
      <c r="I98" s="104" t="n">
        <f aca="false">IF(I$5&gt;=12,Inputs!$D$137,0)</f>
        <v>0</v>
      </c>
      <c r="J98" s="104" t="n">
        <f aca="false">IF(J$5&gt;=12,Inputs!$D$137,0)</f>
        <v>0</v>
      </c>
      <c r="K98" s="104" t="n">
        <f aca="false">IF(K$5&gt;=12,Inputs!$D$137,0)</f>
        <v>0</v>
      </c>
      <c r="L98" s="104" t="n">
        <f aca="false">IF(L$5&gt;=12,Inputs!$D$137,0)</f>
        <v>0</v>
      </c>
      <c r="M98" s="104" t="n">
        <f aca="false">IF(M$5&gt;=12,Inputs!$D$137,0)</f>
        <v>0</v>
      </c>
      <c r="N98" s="104" t="n">
        <f aca="false">IF(N$5&gt;=12,Inputs!$D$137,0)</f>
        <v>0</v>
      </c>
      <c r="O98" s="104" t="n">
        <f aca="false">IF(O$5&gt;=12,Inputs!$D$137,0)</f>
        <v>0</v>
      </c>
      <c r="P98" s="104" t="n">
        <f aca="false">IF(P$5&gt;=12,Inputs!$D$137,0)</f>
        <v>0</v>
      </c>
      <c r="Q98" s="104" t="n">
        <f aca="false">IF(Q$5&gt;=12,Inputs!$D$137,0)</f>
        <v>0</v>
      </c>
      <c r="R98" s="104" t="n">
        <f aca="false">IF(R$5&gt;=12,Inputs!$D$137,0)</f>
        <v>0</v>
      </c>
      <c r="S98" s="104" t="n">
        <f aca="false">IF(S$5&gt;=12,Inputs!$D$137,0)</f>
        <v>0</v>
      </c>
      <c r="T98" s="104" t="n">
        <f aca="false">IF(T$5&gt;=12,Inputs!$D$137,0)</f>
        <v>0</v>
      </c>
      <c r="U98" s="104" t="n">
        <f aca="false">IF(U$5&gt;=12,Inputs!$D$137,0)</f>
        <v>0</v>
      </c>
      <c r="V98" s="104" t="n">
        <f aca="false">IF(V$5&gt;=12,Inputs!$D$137,0)</f>
        <v>0</v>
      </c>
      <c r="W98" s="104" t="n">
        <f aca="false">IF(W$5&gt;=12,Inputs!$D$137,0)</f>
        <v>0</v>
      </c>
      <c r="X98" s="104" t="n">
        <f aca="false">IF(X$5&gt;=12,Inputs!$D$137,0)</f>
        <v>0</v>
      </c>
      <c r="Y98" s="104" t="n">
        <f aca="false">IF(Y$5&gt;=12,Inputs!$D$137,0)</f>
        <v>0</v>
      </c>
      <c r="Z98" s="104" t="n">
        <f aca="false">IF(Z$5&gt;=12,Inputs!$D$137,0)</f>
        <v>0</v>
      </c>
      <c r="AA98" s="104" t="n">
        <f aca="false">IF(AA$5&gt;=12,Inputs!$D$137,0)</f>
        <v>0</v>
      </c>
      <c r="AB98" s="104" t="n">
        <f aca="false">IF(AB$5&gt;=12,Inputs!$D$137,0)</f>
        <v>0</v>
      </c>
      <c r="AC98" s="104" t="n">
        <f aca="false">IF(AC$5&gt;=12,Inputs!$D$137,0)</f>
        <v>0</v>
      </c>
      <c r="AD98" s="104" t="n">
        <f aca="false">IF(AD$5&gt;=12,Inputs!$D$137,0)</f>
        <v>0</v>
      </c>
      <c r="AE98" s="104" t="n">
        <f aca="false">IF(AE$5&gt;=12,Inputs!$D$137,0)</f>
        <v>0</v>
      </c>
      <c r="AF98" s="104" t="n">
        <f aca="false">IF(AF$5&gt;=12,Inputs!$D$137,0)</f>
        <v>0</v>
      </c>
      <c r="AG98" s="104" t="n">
        <f aca="false">IF(AG$5&gt;=12,Inputs!$D$137,0)</f>
        <v>0</v>
      </c>
      <c r="AI98" s="103" t="n">
        <f aca="false">INDEX($F98:$AG98,1,MATCH(AI$7,$F$7:$AG$7,1))</f>
        <v>0</v>
      </c>
      <c r="AJ98" s="103" t="n">
        <f aca="false">INDEX($F98:$AG98,1,MATCH(AJ$7,$F$7:$AG$7,1))</f>
        <v>0</v>
      </c>
      <c r="AK98" s="103" t="n">
        <f aca="false">INDEX($F98:$AG98,1,MATCH(AK$7,$F$7:$AG$7,1))</f>
        <v>0</v>
      </c>
      <c r="AL98" s="103" t="n">
        <f aca="false">INDEX($F98:$AG98,1,MATCH(AL$7,$F$7:$AG$7,1))</f>
        <v>0</v>
      </c>
      <c r="AM98" s="103" t="n">
        <f aca="false">INDEX($F98:$AG98,1,MATCH(AM$7,$F$7:$AG$7,1))</f>
        <v>0</v>
      </c>
      <c r="AN98" s="103" t="n">
        <f aca="false">INDEX($F98:$AG98,1,MATCH(AN$7,$F$7:$AG$7,1))</f>
        <v>0</v>
      </c>
      <c r="AO98" s="103" t="n">
        <f aca="false">INDEX($F98:$AG98,1,MATCH(AO$7,$F$7:$AG$7,1))</f>
        <v>0</v>
      </c>
    </row>
    <row r="99" customFormat="false" ht="15" hidden="false" customHeight="false" outlineLevel="0" collapsed="false">
      <c r="A99" s="101" t="s">
        <v>1178</v>
      </c>
      <c r="B99" s="18" t="s">
        <v>415</v>
      </c>
      <c r="C99" s="18" t="s">
        <v>354</v>
      </c>
      <c r="D99" s="18" t="s">
        <v>1176</v>
      </c>
      <c r="F99" s="104" t="n">
        <f aca="false">IF(F$5&gt;=12,Inputs!$C$137,0)</f>
        <v>0</v>
      </c>
      <c r="G99" s="104" t="n">
        <f aca="false">IF(G$5&gt;=12,Inputs!$C$137,0)</f>
        <v>0</v>
      </c>
      <c r="H99" s="104" t="n">
        <f aca="false">IF(H$5&gt;=12,Inputs!$C$137,0)</f>
        <v>0</v>
      </c>
      <c r="I99" s="104" t="n">
        <f aca="false">IF(I$5&gt;=12,Inputs!$C$137,0)</f>
        <v>0</v>
      </c>
      <c r="J99" s="104" t="n">
        <f aca="false">IF(J$5&gt;=12,Inputs!$C$137,0)</f>
        <v>0</v>
      </c>
      <c r="K99" s="104" t="n">
        <f aca="false">IF(K$5&gt;=12,Inputs!$C$137,0)</f>
        <v>0</v>
      </c>
      <c r="L99" s="104" t="n">
        <f aca="false">IF(L$5&gt;=12,Inputs!$C$137,0)</f>
        <v>0</v>
      </c>
      <c r="M99" s="104" t="n">
        <f aca="false">IF(M$5&gt;=12,Inputs!$C$137,0)</f>
        <v>0</v>
      </c>
      <c r="N99" s="104" t="n">
        <f aca="false">IF(N$5&gt;=12,Inputs!$C$137,0)</f>
        <v>0</v>
      </c>
      <c r="O99" s="104" t="n">
        <f aca="false">IF(O$5&gt;=12,Inputs!$C$137,0)</f>
        <v>0</v>
      </c>
      <c r="P99" s="104" t="n">
        <f aca="false">IF(P$5&gt;=12,Inputs!$C$137,0)</f>
        <v>0</v>
      </c>
      <c r="Q99" s="104" t="n">
        <f aca="false">IF(Q$5&gt;=12,Inputs!$C$137,0)</f>
        <v>0</v>
      </c>
      <c r="R99" s="104" t="n">
        <f aca="false">IF(R$5&gt;=12,Inputs!$C$137,0)</f>
        <v>0</v>
      </c>
      <c r="S99" s="104" t="n">
        <f aca="false">IF(S$5&gt;=12,Inputs!$C$137,0)</f>
        <v>0</v>
      </c>
      <c r="T99" s="104" t="n">
        <f aca="false">IF(T$5&gt;=12,Inputs!$C$137,0)</f>
        <v>0</v>
      </c>
      <c r="U99" s="104" t="n">
        <f aca="false">IF(U$5&gt;=12,Inputs!$C$137,0)</f>
        <v>0</v>
      </c>
      <c r="V99" s="104" t="n">
        <f aca="false">IF(V$5&gt;=12,Inputs!$C$137,0)</f>
        <v>0</v>
      </c>
      <c r="W99" s="104" t="n">
        <f aca="false">IF(W$5&gt;=12,Inputs!$C$137,0)</f>
        <v>0</v>
      </c>
      <c r="X99" s="104" t="n">
        <f aca="false">IF(X$5&gt;=12,Inputs!$C$137,0)</f>
        <v>0</v>
      </c>
      <c r="Y99" s="104" t="n">
        <f aca="false">IF(Y$5&gt;=12,Inputs!$C$137,0)</f>
        <v>0</v>
      </c>
      <c r="Z99" s="104" t="n">
        <f aca="false">IF(Z$5&gt;=12,Inputs!$C$137,0)</f>
        <v>0</v>
      </c>
      <c r="AA99" s="104" t="n">
        <f aca="false">IF(AA$5&gt;=12,Inputs!$C$137,0)</f>
        <v>0</v>
      </c>
      <c r="AB99" s="104" t="n">
        <f aca="false">IF(AB$5&gt;=12,Inputs!$C$137,0)</f>
        <v>0</v>
      </c>
      <c r="AC99" s="104" t="n">
        <f aca="false">IF(AC$5&gt;=12,Inputs!$C$137,0)</f>
        <v>0</v>
      </c>
      <c r="AD99" s="104" t="n">
        <f aca="false">IF(AD$5&gt;=12,Inputs!$C$137,0)</f>
        <v>0</v>
      </c>
      <c r="AE99" s="104" t="n">
        <f aca="false">IF(AE$5&gt;=12,Inputs!$C$137,0)</f>
        <v>0</v>
      </c>
      <c r="AF99" s="104" t="n">
        <f aca="false">IF(AF$5&gt;=12,Inputs!$C$137,0)</f>
        <v>0</v>
      </c>
      <c r="AG99" s="104" t="n">
        <f aca="false">IF(AG$5&gt;=12,Inputs!$C$137,0)</f>
        <v>0</v>
      </c>
      <c r="AI99" s="103" t="n">
        <f aca="false">INDEX($F99:$AG99,1,MATCH(AI$7,$F$7:$AG$7,1))</f>
        <v>0</v>
      </c>
      <c r="AJ99" s="103" t="n">
        <f aca="false">INDEX($F99:$AG99,1,MATCH(AJ$7,$F$7:$AG$7,1))</f>
        <v>0</v>
      </c>
      <c r="AK99" s="103" t="n">
        <f aca="false">INDEX($F99:$AG99,1,MATCH(AK$7,$F$7:$AG$7,1))</f>
        <v>0</v>
      </c>
      <c r="AL99" s="103" t="n">
        <f aca="false">INDEX($F99:$AG99,1,MATCH(AL$7,$F$7:$AG$7,1))</f>
        <v>0</v>
      </c>
      <c r="AM99" s="103" t="n">
        <f aca="false">INDEX($F99:$AG99,1,MATCH(AM$7,$F$7:$AG$7,1))</f>
        <v>0</v>
      </c>
      <c r="AN99" s="103" t="n">
        <f aca="false">INDEX($F99:$AG99,1,MATCH(AN$7,$F$7:$AG$7,1))</f>
        <v>0</v>
      </c>
      <c r="AO99" s="103" t="n">
        <f aca="false">INDEX($F99:$AG99,1,MATCH(AO$7,$F$7:$AG$7,1))</f>
        <v>0</v>
      </c>
    </row>
    <row r="100" customFormat="false" ht="15" hidden="false" customHeight="false" outlineLevel="0" collapsed="false">
      <c r="A100" s="101" t="s">
        <v>1179</v>
      </c>
      <c r="B100" s="18" t="s">
        <v>415</v>
      </c>
      <c r="C100" s="18" t="s">
        <v>354</v>
      </c>
      <c r="D100" s="18" t="s">
        <v>1176</v>
      </c>
      <c r="F100" s="104" t="n">
        <f aca="false">IF(F$5&gt;=12,Inputs!$E$136,0)</f>
        <v>0</v>
      </c>
      <c r="G100" s="104" t="n">
        <f aca="false">IF(G$5&gt;=12,Inputs!$E$136,0)</f>
        <v>0</v>
      </c>
      <c r="H100" s="104" t="n">
        <f aca="false">IF(H$5&gt;=12,Inputs!$E$136,0)</f>
        <v>0</v>
      </c>
      <c r="I100" s="104" t="n">
        <f aca="false">IF(I$5&gt;=12,Inputs!$E$136,0)</f>
        <v>0</v>
      </c>
      <c r="J100" s="104" t="n">
        <f aca="false">IF(J$5&gt;=12,Inputs!$E$136,0)</f>
        <v>0</v>
      </c>
      <c r="K100" s="104" t="n">
        <f aca="false">IF(K$5&gt;=12,Inputs!$E$136,0)</f>
        <v>0</v>
      </c>
      <c r="L100" s="104" t="n">
        <f aca="false">IF(L$5&gt;=12,Inputs!$E$136,0)</f>
        <v>0</v>
      </c>
      <c r="M100" s="104" t="n">
        <f aca="false">IF(M$5&gt;=12,Inputs!$E$136,0)</f>
        <v>0</v>
      </c>
      <c r="N100" s="104" t="n">
        <f aca="false">IF(N$5&gt;=12,Inputs!$E$136,0)</f>
        <v>0</v>
      </c>
      <c r="O100" s="104" t="n">
        <f aca="false">IF(O$5&gt;=12,Inputs!$E$136,0)</f>
        <v>0</v>
      </c>
      <c r="P100" s="104" t="n">
        <f aca="false">IF(P$5&gt;=12,Inputs!$E$136,0)</f>
        <v>0</v>
      </c>
      <c r="Q100" s="104" t="n">
        <f aca="false">IF(Q$5&gt;=12,Inputs!$E$136,0)</f>
        <v>0</v>
      </c>
      <c r="R100" s="104" t="n">
        <f aca="false">IF(R$5&gt;=12,Inputs!$E$136,0)</f>
        <v>0</v>
      </c>
      <c r="S100" s="104" t="n">
        <f aca="false">IF(S$5&gt;=12,Inputs!$E$136,0)</f>
        <v>0</v>
      </c>
      <c r="T100" s="104" t="n">
        <f aca="false">IF(T$5&gt;=12,Inputs!$E$136,0)</f>
        <v>0</v>
      </c>
      <c r="U100" s="104" t="n">
        <f aca="false">IF(U$5&gt;=12,Inputs!$E$136,0)</f>
        <v>0</v>
      </c>
      <c r="V100" s="104" t="n">
        <f aca="false">IF(V$5&gt;=12,Inputs!$E$136,0)</f>
        <v>0</v>
      </c>
      <c r="W100" s="104" t="n">
        <f aca="false">IF(W$5&gt;=12,Inputs!$E$136,0)</f>
        <v>0</v>
      </c>
      <c r="X100" s="104" t="n">
        <f aca="false">IF(X$5&gt;=12,Inputs!$E$136,0)</f>
        <v>0</v>
      </c>
      <c r="Y100" s="104" t="n">
        <f aca="false">IF(Y$5&gt;=12,Inputs!$E$136,0)</f>
        <v>0</v>
      </c>
      <c r="Z100" s="104" t="n">
        <f aca="false">IF(Z$5&gt;=12,Inputs!$E$136,0)</f>
        <v>0</v>
      </c>
      <c r="AA100" s="104" t="n">
        <f aca="false">IF(AA$5&gt;=12,Inputs!$E$136,0)</f>
        <v>0</v>
      </c>
      <c r="AB100" s="104" t="n">
        <f aca="false">IF(AB$5&gt;=12,Inputs!$E$136,0)</f>
        <v>0</v>
      </c>
      <c r="AC100" s="104" t="n">
        <f aca="false">IF(AC$5&gt;=12,Inputs!$E$136,0)</f>
        <v>0</v>
      </c>
      <c r="AD100" s="104" t="n">
        <f aca="false">IF(AD$5&gt;=12,Inputs!$E$136,0)</f>
        <v>0</v>
      </c>
      <c r="AE100" s="104" t="n">
        <f aca="false">IF(AE$5&gt;=12,Inputs!$E$136,0)</f>
        <v>0</v>
      </c>
      <c r="AF100" s="104" t="n">
        <f aca="false">IF(AF$5&gt;=12,Inputs!$E$136,0)</f>
        <v>0</v>
      </c>
      <c r="AG100" s="104" t="n">
        <f aca="false">IF(AG$5&gt;=12,Inputs!$E$136,0)</f>
        <v>0</v>
      </c>
      <c r="AI100" s="103" t="n">
        <f aca="false">INDEX($F100:$AG100,1,MATCH(AI$7,$F$7:$AG$7,1))</f>
        <v>0</v>
      </c>
      <c r="AJ100" s="103" t="n">
        <f aca="false">INDEX($F100:$AG100,1,MATCH(AJ$7,$F$7:$AG$7,1))</f>
        <v>0</v>
      </c>
      <c r="AK100" s="103" t="n">
        <f aca="false">INDEX($F100:$AG100,1,MATCH(AK$7,$F$7:$AG$7,1))</f>
        <v>0</v>
      </c>
      <c r="AL100" s="103" t="n">
        <f aca="false">INDEX($F100:$AG100,1,MATCH(AL$7,$F$7:$AG$7,1))</f>
        <v>0</v>
      </c>
      <c r="AM100" s="103" t="n">
        <f aca="false">INDEX($F100:$AG100,1,MATCH(AM$7,$F$7:$AG$7,1))</f>
        <v>0</v>
      </c>
      <c r="AN100" s="103" t="n">
        <f aca="false">INDEX($F100:$AG100,1,MATCH(AN$7,$F$7:$AG$7,1))</f>
        <v>0</v>
      </c>
      <c r="AO100" s="103" t="n">
        <f aca="false">INDEX($F100:$AG100,1,MATCH(AO$7,$F$7:$AG$7,1))</f>
        <v>0</v>
      </c>
    </row>
    <row r="101" customFormat="false" ht="15" hidden="false" customHeight="false" outlineLevel="0" collapsed="false">
      <c r="A101" s="101" t="s">
        <v>1180</v>
      </c>
      <c r="B101" s="18" t="s">
        <v>415</v>
      </c>
      <c r="C101" s="18" t="s">
        <v>354</v>
      </c>
      <c r="D101" s="18" t="s">
        <v>1176</v>
      </c>
      <c r="F101" s="104" t="n">
        <f aca="false">IF(F$5&gt;=12,Inputs!$D$136,0)</f>
        <v>0</v>
      </c>
      <c r="G101" s="104" t="n">
        <f aca="false">IF(G$5&gt;=12,Inputs!$D$136,0)</f>
        <v>0</v>
      </c>
      <c r="H101" s="104" t="n">
        <f aca="false">IF(H$5&gt;=12,Inputs!$D$136,0)</f>
        <v>0</v>
      </c>
      <c r="I101" s="104" t="n">
        <f aca="false">IF(I$5&gt;=12,Inputs!$D$136,0)</f>
        <v>0</v>
      </c>
      <c r="J101" s="104" t="n">
        <f aca="false">IF(J$5&gt;=12,Inputs!$D$136,0)</f>
        <v>0</v>
      </c>
      <c r="K101" s="104" t="n">
        <f aca="false">IF(K$5&gt;=12,Inputs!$D$136,0)</f>
        <v>0</v>
      </c>
      <c r="L101" s="104" t="n">
        <f aca="false">IF(L$5&gt;=12,Inputs!$D$136,0)</f>
        <v>0</v>
      </c>
      <c r="M101" s="104" t="n">
        <f aca="false">IF(M$5&gt;=12,Inputs!$D$136,0)</f>
        <v>0</v>
      </c>
      <c r="N101" s="104" t="n">
        <f aca="false">IF(N$5&gt;=12,Inputs!$D$136,0)</f>
        <v>0</v>
      </c>
      <c r="O101" s="104" t="n">
        <f aca="false">IF(O$5&gt;=12,Inputs!$D$136,0)</f>
        <v>0</v>
      </c>
      <c r="P101" s="104" t="n">
        <f aca="false">IF(P$5&gt;=12,Inputs!$D$136,0)</f>
        <v>0</v>
      </c>
      <c r="Q101" s="104" t="n">
        <f aca="false">IF(Q$5&gt;=12,Inputs!$D$136,0)</f>
        <v>0</v>
      </c>
      <c r="R101" s="104" t="n">
        <f aca="false">IF(R$5&gt;=12,Inputs!$D$136,0)</f>
        <v>0</v>
      </c>
      <c r="S101" s="104" t="n">
        <f aca="false">IF(S$5&gt;=12,Inputs!$D$136,0)</f>
        <v>0</v>
      </c>
      <c r="T101" s="104" t="n">
        <f aca="false">IF(T$5&gt;=12,Inputs!$D$136,0)</f>
        <v>0</v>
      </c>
      <c r="U101" s="104" t="n">
        <f aca="false">IF(U$5&gt;=12,Inputs!$D$136,0)</f>
        <v>0</v>
      </c>
      <c r="V101" s="104" t="n">
        <f aca="false">IF(V$5&gt;=12,Inputs!$D$136,0)</f>
        <v>0</v>
      </c>
      <c r="W101" s="104" t="n">
        <f aca="false">IF(W$5&gt;=12,Inputs!$D$136,0)</f>
        <v>0</v>
      </c>
      <c r="X101" s="104" t="n">
        <f aca="false">IF(X$5&gt;=12,Inputs!$D$136,0)</f>
        <v>0</v>
      </c>
      <c r="Y101" s="104" t="n">
        <f aca="false">IF(Y$5&gt;=12,Inputs!$D$136,0)</f>
        <v>0</v>
      </c>
      <c r="Z101" s="104" t="n">
        <f aca="false">IF(Z$5&gt;=12,Inputs!$D$136,0)</f>
        <v>0</v>
      </c>
      <c r="AA101" s="104" t="n">
        <f aca="false">IF(AA$5&gt;=12,Inputs!$D$136,0)</f>
        <v>0</v>
      </c>
      <c r="AB101" s="104" t="n">
        <f aca="false">IF(AB$5&gt;=12,Inputs!$D$136,0)</f>
        <v>0</v>
      </c>
      <c r="AC101" s="104" t="n">
        <f aca="false">IF(AC$5&gt;=12,Inputs!$D$136,0)</f>
        <v>0</v>
      </c>
      <c r="AD101" s="104" t="n">
        <f aca="false">IF(AD$5&gt;=12,Inputs!$D$136,0)</f>
        <v>0</v>
      </c>
      <c r="AE101" s="104" t="n">
        <f aca="false">IF(AE$5&gt;=12,Inputs!$D$136,0)</f>
        <v>0</v>
      </c>
      <c r="AF101" s="104" t="n">
        <f aca="false">IF(AF$5&gt;=12,Inputs!$D$136,0)</f>
        <v>0</v>
      </c>
      <c r="AG101" s="104" t="n">
        <f aca="false">IF(AG$5&gt;=12,Inputs!$D$136,0)</f>
        <v>0</v>
      </c>
      <c r="AI101" s="103" t="n">
        <f aca="false">INDEX($F101:$AG101,1,MATCH(AI$7,$F$7:$AG$7,1))</f>
        <v>0</v>
      </c>
      <c r="AJ101" s="103" t="n">
        <f aca="false">INDEX($F101:$AG101,1,MATCH(AJ$7,$F$7:$AG$7,1))</f>
        <v>0</v>
      </c>
      <c r="AK101" s="103" t="n">
        <f aca="false">INDEX($F101:$AG101,1,MATCH(AK$7,$F$7:$AG$7,1))</f>
        <v>0</v>
      </c>
      <c r="AL101" s="103" t="n">
        <f aca="false">INDEX($F101:$AG101,1,MATCH(AL$7,$F$7:$AG$7,1))</f>
        <v>0</v>
      </c>
      <c r="AM101" s="103" t="n">
        <f aca="false">INDEX($F101:$AG101,1,MATCH(AM$7,$F$7:$AG$7,1))</f>
        <v>0</v>
      </c>
      <c r="AN101" s="103" t="n">
        <f aca="false">INDEX($F101:$AG101,1,MATCH(AN$7,$F$7:$AG$7,1))</f>
        <v>0</v>
      </c>
      <c r="AO101" s="103" t="n">
        <f aca="false">INDEX($F101:$AG101,1,MATCH(AO$7,$F$7:$AG$7,1))</f>
        <v>0</v>
      </c>
    </row>
    <row r="102" customFormat="false" ht="15" hidden="false" customHeight="false" outlineLevel="0" collapsed="false">
      <c r="A102" s="101" t="s">
        <v>1181</v>
      </c>
      <c r="B102" s="18" t="s">
        <v>415</v>
      </c>
      <c r="C102" s="18" t="s">
        <v>354</v>
      </c>
      <c r="D102" s="18" t="s">
        <v>1176</v>
      </c>
      <c r="F102" s="104" t="n">
        <f aca="false">IF(F$5&gt;=12,Inputs!$C$136,0)</f>
        <v>0</v>
      </c>
      <c r="G102" s="104" t="n">
        <f aca="false">IF(G$5&gt;=12,Inputs!$C$136,0)</f>
        <v>0</v>
      </c>
      <c r="H102" s="104" t="n">
        <f aca="false">IF(H$5&gt;=12,Inputs!$C$136,0)</f>
        <v>0</v>
      </c>
      <c r="I102" s="104" t="n">
        <f aca="false">IF(I$5&gt;=12,Inputs!$C$136,0)</f>
        <v>0</v>
      </c>
      <c r="J102" s="104" t="n">
        <f aca="false">IF(J$5&gt;=12,Inputs!$C$136,0)</f>
        <v>0</v>
      </c>
      <c r="K102" s="104" t="n">
        <f aca="false">IF(K$5&gt;=12,Inputs!$C$136,0)</f>
        <v>0</v>
      </c>
      <c r="L102" s="104" t="n">
        <f aca="false">IF(L$5&gt;=12,Inputs!$C$136,0)</f>
        <v>0</v>
      </c>
      <c r="M102" s="104" t="n">
        <f aca="false">IF(M$5&gt;=12,Inputs!$C$136,0)</f>
        <v>0</v>
      </c>
      <c r="N102" s="104" t="n">
        <f aca="false">IF(N$5&gt;=12,Inputs!$C$136,0)</f>
        <v>0</v>
      </c>
      <c r="O102" s="104" t="n">
        <f aca="false">IF(O$5&gt;=12,Inputs!$C$136,0)</f>
        <v>0</v>
      </c>
      <c r="P102" s="104" t="n">
        <f aca="false">IF(P$5&gt;=12,Inputs!$C$136,0)</f>
        <v>0</v>
      </c>
      <c r="Q102" s="104" t="n">
        <f aca="false">IF(Q$5&gt;=12,Inputs!$C$136,0)</f>
        <v>0</v>
      </c>
      <c r="R102" s="104" t="n">
        <f aca="false">IF(R$5&gt;=12,Inputs!$C$136,0)</f>
        <v>0</v>
      </c>
      <c r="S102" s="104" t="n">
        <f aca="false">IF(S$5&gt;=12,Inputs!$C$136,0)</f>
        <v>0</v>
      </c>
      <c r="T102" s="104" t="n">
        <f aca="false">IF(T$5&gt;=12,Inputs!$C$136,0)</f>
        <v>0</v>
      </c>
      <c r="U102" s="104" t="n">
        <f aca="false">IF(U$5&gt;=12,Inputs!$C$136,0)</f>
        <v>0</v>
      </c>
      <c r="V102" s="104" t="n">
        <f aca="false">IF(V$5&gt;=12,Inputs!$C$136,0)</f>
        <v>0</v>
      </c>
      <c r="W102" s="104" t="n">
        <f aca="false">IF(W$5&gt;=12,Inputs!$C$136,0)</f>
        <v>0</v>
      </c>
      <c r="X102" s="104" t="n">
        <f aca="false">IF(X$5&gt;=12,Inputs!$C$136,0)</f>
        <v>0</v>
      </c>
      <c r="Y102" s="104" t="n">
        <f aca="false">IF(Y$5&gt;=12,Inputs!$C$136,0)</f>
        <v>0</v>
      </c>
      <c r="Z102" s="104" t="n">
        <f aca="false">IF(Z$5&gt;=12,Inputs!$C$136,0)</f>
        <v>0</v>
      </c>
      <c r="AA102" s="104" t="n">
        <f aca="false">IF(AA$5&gt;=12,Inputs!$C$136,0)</f>
        <v>0</v>
      </c>
      <c r="AB102" s="104" t="n">
        <f aca="false">IF(AB$5&gt;=12,Inputs!$C$136,0)</f>
        <v>0</v>
      </c>
      <c r="AC102" s="104" t="n">
        <f aca="false">IF(AC$5&gt;=12,Inputs!$C$136,0)</f>
        <v>0</v>
      </c>
      <c r="AD102" s="104" t="n">
        <f aca="false">IF(AD$5&gt;=12,Inputs!$C$136,0)</f>
        <v>0</v>
      </c>
      <c r="AE102" s="104" t="n">
        <f aca="false">IF(AE$5&gt;=12,Inputs!$C$136,0)</f>
        <v>0</v>
      </c>
      <c r="AF102" s="104" t="n">
        <f aca="false">IF(AF$5&gt;=12,Inputs!$C$136,0)</f>
        <v>0</v>
      </c>
      <c r="AG102" s="104" t="n">
        <f aca="false">IF(AG$5&gt;=12,Inputs!$C$136,0)</f>
        <v>0</v>
      </c>
      <c r="AI102" s="103" t="n">
        <f aca="false">INDEX($F102:$AG102,1,MATCH(AI$7,$F$7:$AG$7,1))</f>
        <v>0</v>
      </c>
      <c r="AJ102" s="103" t="n">
        <f aca="false">INDEX($F102:$AG102,1,MATCH(AJ$7,$F$7:$AG$7,1))</f>
        <v>0</v>
      </c>
      <c r="AK102" s="103" t="n">
        <f aca="false">INDEX($F102:$AG102,1,MATCH(AK$7,$F$7:$AG$7,1))</f>
        <v>0</v>
      </c>
      <c r="AL102" s="103" t="n">
        <f aca="false">INDEX($F102:$AG102,1,MATCH(AL$7,$F$7:$AG$7,1))</f>
        <v>0</v>
      </c>
      <c r="AM102" s="103" t="n">
        <f aca="false">INDEX($F102:$AG102,1,MATCH(AM$7,$F$7:$AG$7,1))</f>
        <v>0</v>
      </c>
      <c r="AN102" s="103" t="n">
        <f aca="false">INDEX($F102:$AG102,1,MATCH(AN$7,$F$7:$AG$7,1))</f>
        <v>0</v>
      </c>
      <c r="AO102" s="103" t="n">
        <f aca="false">INDEX($F102:$AG102,1,MATCH(AO$7,$F$7:$AG$7,1))</f>
        <v>0</v>
      </c>
    </row>
    <row r="103" customFormat="false" ht="15" hidden="false" customHeight="false" outlineLevel="0" collapsed="false">
      <c r="A103" s="101" t="s">
        <v>1182</v>
      </c>
      <c r="B103" s="18" t="s">
        <v>415</v>
      </c>
      <c r="C103" s="18" t="s">
        <v>354</v>
      </c>
      <c r="D103" s="18" t="s">
        <v>1118</v>
      </c>
      <c r="AI103" s="103" t="n">
        <f aca="false">INDEX($F103:$AG103,1,MATCH(AI$7,$F$7:$AG$7,1))</f>
        <v>0</v>
      </c>
      <c r="AJ103" s="103" t="n">
        <f aca="false">INDEX($F103:$AG103,1,MATCH(AJ$7,$F$7:$AG$7,1))</f>
        <v>0</v>
      </c>
      <c r="AK103" s="103" t="n">
        <f aca="false">INDEX($F103:$AG103,1,MATCH(AK$7,$F$7:$AG$7,1))</f>
        <v>0</v>
      </c>
      <c r="AL103" s="103" t="n">
        <f aca="false">INDEX($F103:$AG103,1,MATCH(AL$7,$F$7:$AG$7,1))</f>
        <v>0</v>
      </c>
      <c r="AM103" s="103" t="n">
        <f aca="false">INDEX($F103:$AG103,1,MATCH(AM$7,$F$7:$AG$7,1))</f>
        <v>0</v>
      </c>
      <c r="AN103" s="103" t="n">
        <f aca="false">INDEX($F103:$AG103,1,MATCH(AN$7,$F$7:$AG$7,1))</f>
        <v>0</v>
      </c>
      <c r="AO103" s="103" t="n">
        <f aca="false">INDEX($F103:$AG103,1,MATCH(AO$7,$F$7:$AG$7,1))</f>
        <v>0</v>
      </c>
    </row>
    <row r="104" customFormat="false" ht="15" hidden="false" customHeight="false" outlineLevel="0" collapsed="false">
      <c r="A104" s="101" t="s">
        <v>1183</v>
      </c>
      <c r="B104" s="18" t="s">
        <v>415</v>
      </c>
      <c r="C104" s="18" t="s">
        <v>354</v>
      </c>
      <c r="D104" s="18" t="s">
        <v>1118</v>
      </c>
      <c r="AI104" s="103" t="n">
        <f aca="false">INDEX($F104:$AG104,1,MATCH(AI$7,$F$7:$AG$7,1))</f>
        <v>0</v>
      </c>
      <c r="AJ104" s="103" t="n">
        <f aca="false">INDEX($F104:$AG104,1,MATCH(AJ$7,$F$7:$AG$7,1))</f>
        <v>0</v>
      </c>
      <c r="AK104" s="103" t="n">
        <f aca="false">INDEX($F104:$AG104,1,MATCH(AK$7,$F$7:$AG$7,1))</f>
        <v>0</v>
      </c>
      <c r="AL104" s="103" t="n">
        <f aca="false">INDEX($F104:$AG104,1,MATCH(AL$7,$F$7:$AG$7,1))</f>
        <v>0</v>
      </c>
      <c r="AM104" s="103" t="n">
        <f aca="false">INDEX($F104:$AG104,1,MATCH(AM$7,$F$7:$AG$7,1))</f>
        <v>0</v>
      </c>
      <c r="AN104" s="103" t="n">
        <f aca="false">INDEX($F104:$AG104,1,MATCH(AN$7,$F$7:$AG$7,1))</f>
        <v>0</v>
      </c>
      <c r="AO104" s="103" t="n">
        <f aca="false">INDEX($F104:$AG104,1,MATCH(AO$7,$F$7:$AG$7,1))</f>
        <v>0</v>
      </c>
    </row>
    <row r="105" customFormat="false" ht="15" hidden="false" customHeight="false" outlineLevel="0" collapsed="false">
      <c r="A105" s="101" t="s">
        <v>1184</v>
      </c>
      <c r="B105" s="18" t="s">
        <v>415</v>
      </c>
      <c r="C105" s="18" t="s">
        <v>354</v>
      </c>
      <c r="D105" s="18" t="s">
        <v>1118</v>
      </c>
      <c r="AI105" s="103" t="n">
        <f aca="false">INDEX($F105:$AG105,1,MATCH(AI$7,$F$7:$AG$7,1))</f>
        <v>0</v>
      </c>
      <c r="AJ105" s="103" t="n">
        <f aca="false">INDEX($F105:$AG105,1,MATCH(AJ$7,$F$7:$AG$7,1))</f>
        <v>0</v>
      </c>
      <c r="AK105" s="103" t="n">
        <f aca="false">INDEX($F105:$AG105,1,MATCH(AK$7,$F$7:$AG$7,1))</f>
        <v>0</v>
      </c>
      <c r="AL105" s="103" t="n">
        <f aca="false">INDEX($F105:$AG105,1,MATCH(AL$7,$F$7:$AG$7,1))</f>
        <v>0</v>
      </c>
      <c r="AM105" s="103" t="n">
        <f aca="false">INDEX($F105:$AG105,1,MATCH(AM$7,$F$7:$AG$7,1))</f>
        <v>0</v>
      </c>
      <c r="AN105" s="103" t="n">
        <f aca="false">INDEX($F105:$AG105,1,MATCH(AN$7,$F$7:$AG$7,1))</f>
        <v>0</v>
      </c>
      <c r="AO105" s="103" t="n">
        <f aca="false">INDEX($F105:$AG105,1,MATCH(AO$7,$F$7:$AG$7,1))</f>
        <v>0</v>
      </c>
    </row>
    <row r="106" customFormat="false" ht="15" hidden="false" customHeight="false" outlineLevel="0" collapsed="false">
      <c r="A106" s="101" t="s">
        <v>1185</v>
      </c>
      <c r="B106" s="18" t="s">
        <v>415</v>
      </c>
      <c r="C106" s="18" t="s">
        <v>354</v>
      </c>
      <c r="D106" s="18" t="s">
        <v>1118</v>
      </c>
      <c r="F106" s="102" t="n">
        <v>0</v>
      </c>
      <c r="G106" s="102" t="n">
        <v>0</v>
      </c>
      <c r="H106" s="102" t="n">
        <v>0</v>
      </c>
      <c r="I106" s="102" t="n">
        <v>0</v>
      </c>
      <c r="J106" s="102" t="n">
        <v>0</v>
      </c>
      <c r="K106" s="102" t="n">
        <v>0</v>
      </c>
      <c r="L106" s="102" t="n">
        <v>0</v>
      </c>
      <c r="M106" s="102" t="n">
        <v>0</v>
      </c>
      <c r="N106" s="102" t="n">
        <v>0</v>
      </c>
      <c r="O106" s="102" t="n">
        <v>0</v>
      </c>
      <c r="P106" s="102" t="n">
        <v>0</v>
      </c>
      <c r="Q106" s="102" t="n">
        <v>0</v>
      </c>
      <c r="R106" s="102" t="n">
        <v>0</v>
      </c>
      <c r="S106" s="102" t="n">
        <v>0</v>
      </c>
      <c r="T106" s="102" t="n">
        <v>0</v>
      </c>
      <c r="U106" s="102" t="n">
        <v>0</v>
      </c>
      <c r="V106" s="102" t="n">
        <v>25</v>
      </c>
      <c r="W106" s="102" t="n">
        <v>25</v>
      </c>
      <c r="X106" s="102" t="n">
        <v>50</v>
      </c>
      <c r="Y106" s="102" t="n">
        <v>50</v>
      </c>
      <c r="Z106" s="102" t="n">
        <v>50</v>
      </c>
      <c r="AA106" s="102" t="n">
        <v>50</v>
      </c>
      <c r="AB106" s="102" t="n">
        <v>50</v>
      </c>
      <c r="AC106" s="102" t="n">
        <v>50</v>
      </c>
      <c r="AD106" s="102" t="n">
        <v>50</v>
      </c>
      <c r="AE106" s="102" t="n">
        <v>50</v>
      </c>
      <c r="AF106" s="102" t="n">
        <v>50</v>
      </c>
      <c r="AG106" s="102" t="n">
        <v>50</v>
      </c>
      <c r="AI106" s="103" t="n">
        <f aca="false">INDEX($F106:$AG106,1,MATCH(AI$7,$F$7:$AG$7,1))</f>
        <v>0</v>
      </c>
      <c r="AJ106" s="103" t="n">
        <f aca="false">INDEX($F106:$AG106,1,MATCH(AJ$7,$F$7:$AG$7,1))</f>
        <v>0</v>
      </c>
      <c r="AK106" s="103" t="n">
        <f aca="false">INDEX($F106:$AG106,1,MATCH(AK$7,$F$7:$AG$7,1))</f>
        <v>0</v>
      </c>
      <c r="AL106" s="103" t="n">
        <f aca="false">INDEX($F106:$AG106,1,MATCH(AL$7,$F$7:$AG$7,1))</f>
        <v>0</v>
      </c>
      <c r="AM106" s="103" t="n">
        <f aca="false">INDEX($F106:$AG106,1,MATCH(AM$7,$F$7:$AG$7,1))</f>
        <v>50</v>
      </c>
      <c r="AN106" s="103" t="n">
        <f aca="false">INDEX($F106:$AG106,1,MATCH(AN$7,$F$7:$AG$7,1))</f>
        <v>50</v>
      </c>
      <c r="AO106" s="103" t="n">
        <f aca="false">INDEX($F106:$AG106,1,MATCH(AO$7,$F$7:$AG$7,1))</f>
        <v>50</v>
      </c>
    </row>
    <row r="107" customFormat="false" ht="15" hidden="false" customHeight="false" outlineLevel="0" collapsed="false">
      <c r="A107" s="101" t="s">
        <v>1186</v>
      </c>
      <c r="B107" s="18" t="s">
        <v>415</v>
      </c>
      <c r="C107" s="18" t="s">
        <v>354</v>
      </c>
      <c r="D107" s="18" t="s">
        <v>1118</v>
      </c>
      <c r="F107" s="102" t="n">
        <v>0</v>
      </c>
      <c r="G107" s="102" t="n">
        <v>0</v>
      </c>
      <c r="H107" s="102" t="n">
        <v>0</v>
      </c>
      <c r="I107" s="102" t="n">
        <v>0</v>
      </c>
      <c r="J107" s="102" t="n">
        <v>0</v>
      </c>
      <c r="K107" s="102" t="n">
        <v>0</v>
      </c>
      <c r="L107" s="102" t="n">
        <v>0</v>
      </c>
      <c r="M107" s="102" t="n">
        <v>0</v>
      </c>
      <c r="N107" s="102" t="n">
        <v>0</v>
      </c>
      <c r="O107" s="102" t="n">
        <v>0</v>
      </c>
      <c r="P107" s="102" t="n">
        <v>0</v>
      </c>
      <c r="Q107" s="102" t="n">
        <v>0</v>
      </c>
      <c r="R107" s="102" t="n">
        <v>0</v>
      </c>
      <c r="S107" s="102" t="n">
        <v>0</v>
      </c>
      <c r="T107" s="102" t="n">
        <v>12.5</v>
      </c>
      <c r="U107" s="102" t="n">
        <v>25</v>
      </c>
      <c r="V107" s="102" t="n">
        <v>37.5</v>
      </c>
      <c r="W107" s="102" t="n">
        <v>37.5</v>
      </c>
      <c r="X107" s="102" t="n">
        <v>50</v>
      </c>
      <c r="Y107" s="102" t="n">
        <v>50</v>
      </c>
      <c r="Z107" s="102" t="n">
        <v>50</v>
      </c>
      <c r="AA107" s="102" t="n">
        <v>50</v>
      </c>
      <c r="AB107" s="102" t="n">
        <v>50</v>
      </c>
      <c r="AC107" s="102" t="n">
        <v>50</v>
      </c>
      <c r="AD107" s="102" t="n">
        <v>50</v>
      </c>
      <c r="AE107" s="102" t="n">
        <v>50</v>
      </c>
      <c r="AF107" s="102" t="n">
        <v>50</v>
      </c>
      <c r="AG107" s="102" t="n">
        <v>50</v>
      </c>
      <c r="AI107" s="103" t="n">
        <f aca="false">INDEX($F107:$AG107,1,MATCH(AI$7,$F$7:$AG$7,1))</f>
        <v>0</v>
      </c>
      <c r="AJ107" s="103" t="n">
        <f aca="false">INDEX($F107:$AG107,1,MATCH(AJ$7,$F$7:$AG$7,1))</f>
        <v>0</v>
      </c>
      <c r="AK107" s="103" t="n">
        <f aca="false">INDEX($F107:$AG107,1,MATCH(AK$7,$F$7:$AG$7,1))</f>
        <v>0</v>
      </c>
      <c r="AL107" s="103" t="n">
        <f aca="false">INDEX($F107:$AG107,1,MATCH(AL$7,$F$7:$AG$7,1))</f>
        <v>25</v>
      </c>
      <c r="AM107" s="103" t="n">
        <f aca="false">INDEX($F107:$AG107,1,MATCH(AM$7,$F$7:$AG$7,1))</f>
        <v>50</v>
      </c>
      <c r="AN107" s="103" t="n">
        <f aca="false">INDEX($F107:$AG107,1,MATCH(AN$7,$F$7:$AG$7,1))</f>
        <v>50</v>
      </c>
      <c r="AO107" s="103" t="n">
        <f aca="false">INDEX($F107:$AG107,1,MATCH(AO$7,$F$7:$AG$7,1))</f>
        <v>50</v>
      </c>
    </row>
    <row r="108" customFormat="false" ht="15" hidden="false" customHeight="false" outlineLevel="0" collapsed="false">
      <c r="A108" s="101" t="s">
        <v>1187</v>
      </c>
      <c r="B108" s="18" t="s">
        <v>415</v>
      </c>
      <c r="C108" s="18" t="s">
        <v>354</v>
      </c>
      <c r="D108" s="18" t="s">
        <v>1118</v>
      </c>
      <c r="F108" s="102" t="n">
        <v>0</v>
      </c>
      <c r="G108" s="102" t="n">
        <v>0</v>
      </c>
      <c r="H108" s="102" t="n">
        <v>0</v>
      </c>
      <c r="I108" s="102" t="n">
        <v>0</v>
      </c>
      <c r="J108" s="102" t="n">
        <v>0</v>
      </c>
      <c r="K108" s="102" t="n">
        <v>0</v>
      </c>
      <c r="L108" s="102" t="n">
        <v>0</v>
      </c>
      <c r="M108" s="102" t="n">
        <v>0</v>
      </c>
      <c r="N108" s="102" t="n">
        <v>0</v>
      </c>
      <c r="O108" s="102" t="n">
        <v>0</v>
      </c>
      <c r="P108" s="102" t="n">
        <v>0</v>
      </c>
      <c r="Q108" s="102" t="n">
        <v>0</v>
      </c>
      <c r="R108" s="102" t="n">
        <v>0</v>
      </c>
      <c r="S108" s="102" t="n">
        <v>0</v>
      </c>
      <c r="T108" s="102" t="n">
        <v>25</v>
      </c>
      <c r="U108" s="102" t="n">
        <v>50</v>
      </c>
      <c r="V108" s="102" t="n">
        <v>50</v>
      </c>
      <c r="W108" s="102" t="n">
        <v>50</v>
      </c>
      <c r="X108" s="102" t="n">
        <v>50</v>
      </c>
      <c r="Y108" s="102" t="n">
        <v>50</v>
      </c>
      <c r="Z108" s="102" t="n">
        <v>50</v>
      </c>
      <c r="AA108" s="102" t="n">
        <v>50</v>
      </c>
      <c r="AB108" s="102" t="n">
        <v>50</v>
      </c>
      <c r="AC108" s="102" t="n">
        <v>50</v>
      </c>
      <c r="AD108" s="102" t="n">
        <v>50</v>
      </c>
      <c r="AE108" s="102" t="n">
        <v>50</v>
      </c>
      <c r="AF108" s="102" t="n">
        <v>50</v>
      </c>
      <c r="AG108" s="102" t="n">
        <v>50</v>
      </c>
      <c r="AI108" s="103" t="n">
        <f aca="false">INDEX($F108:$AG108,1,MATCH(AI$7,$F$7:$AG$7,1))</f>
        <v>0</v>
      </c>
      <c r="AJ108" s="103" t="n">
        <f aca="false">INDEX($F108:$AG108,1,MATCH(AJ$7,$F$7:$AG$7,1))</f>
        <v>0</v>
      </c>
      <c r="AK108" s="103" t="n">
        <f aca="false">INDEX($F108:$AG108,1,MATCH(AK$7,$F$7:$AG$7,1))</f>
        <v>0</v>
      </c>
      <c r="AL108" s="103" t="n">
        <f aca="false">INDEX($F108:$AG108,1,MATCH(AL$7,$F$7:$AG$7,1))</f>
        <v>50</v>
      </c>
      <c r="AM108" s="103" t="n">
        <f aca="false">INDEX($F108:$AG108,1,MATCH(AM$7,$F$7:$AG$7,1))</f>
        <v>50</v>
      </c>
      <c r="AN108" s="103" t="n">
        <f aca="false">INDEX($F108:$AG108,1,MATCH(AN$7,$F$7:$AG$7,1))</f>
        <v>50</v>
      </c>
      <c r="AO108" s="103" t="n">
        <f aca="false">INDEX($F108:$AG108,1,MATCH(AO$7,$F$7:$AG$7,1))</f>
        <v>50</v>
      </c>
    </row>
    <row r="109" customFormat="false" ht="15" hidden="false" customHeight="false" outlineLevel="0" collapsed="false">
      <c r="A109" s="101" t="s">
        <v>1188</v>
      </c>
      <c r="B109" s="18" t="s">
        <v>415</v>
      </c>
      <c r="C109" s="18" t="s">
        <v>354</v>
      </c>
      <c r="D109" s="18" t="s">
        <v>1176</v>
      </c>
      <c r="F109" s="104" t="n">
        <f aca="false">IF(F$5&gt;=12,Inputs!$E$138,0)</f>
        <v>0</v>
      </c>
      <c r="G109" s="104" t="n">
        <f aca="false">IF(G$5&gt;=12,Inputs!$E$138,0)</f>
        <v>0</v>
      </c>
      <c r="H109" s="104" t="n">
        <f aca="false">IF(H$5&gt;=12,Inputs!$E$138,0)</f>
        <v>0</v>
      </c>
      <c r="I109" s="104" t="n">
        <f aca="false">IF(I$5&gt;=12,Inputs!$E$138,0)</f>
        <v>0</v>
      </c>
      <c r="J109" s="104" t="n">
        <f aca="false">IF(J$5&gt;=12,Inputs!$E$138,0)</f>
        <v>0</v>
      </c>
      <c r="K109" s="104" t="n">
        <f aca="false">IF(K$5&gt;=12,Inputs!$E$138,0)</f>
        <v>0</v>
      </c>
      <c r="L109" s="104" t="n">
        <f aca="false">IF(L$5&gt;=12,Inputs!$E$138,0)</f>
        <v>0</v>
      </c>
      <c r="M109" s="104" t="n">
        <f aca="false">IF(M$5&gt;=12,Inputs!$E$138,0)</f>
        <v>0</v>
      </c>
      <c r="N109" s="104" t="n">
        <f aca="false">IF(N$5&gt;=12,Inputs!$E$138,0)</f>
        <v>0</v>
      </c>
      <c r="O109" s="104" t="n">
        <f aca="false">IF(O$5&gt;=12,Inputs!$E$138,0)</f>
        <v>0</v>
      </c>
      <c r="P109" s="104" t="n">
        <f aca="false">IF(P$5&gt;=12,Inputs!$E$138,0)</f>
        <v>0</v>
      </c>
      <c r="Q109" s="104" t="n">
        <f aca="false">IF(Q$5&gt;=12,Inputs!$E$138,0)</f>
        <v>0</v>
      </c>
      <c r="R109" s="104" t="n">
        <f aca="false">IF(R$5&gt;=12,Inputs!$E$138,0)</f>
        <v>0</v>
      </c>
      <c r="S109" s="104" t="n">
        <f aca="false">IF(S$5&gt;=12,Inputs!$E$138,0)</f>
        <v>0</v>
      </c>
      <c r="T109" s="104" t="n">
        <f aca="false">IF(T$5&gt;=12,Inputs!$E$138,0)</f>
        <v>0</v>
      </c>
      <c r="U109" s="104" t="n">
        <f aca="false">IF(U$5&gt;=12,Inputs!$E$138,0)</f>
        <v>0</v>
      </c>
      <c r="V109" s="104" t="n">
        <f aca="false">IF(V$5&gt;=12,Inputs!$E$138,0)</f>
        <v>0</v>
      </c>
      <c r="W109" s="104" t="n">
        <f aca="false">IF(W$5&gt;=12,Inputs!$E$138,0)</f>
        <v>0</v>
      </c>
      <c r="X109" s="104" t="n">
        <f aca="false">IF(X$5&gt;=12,Inputs!$E$138,0)</f>
        <v>0</v>
      </c>
      <c r="Y109" s="104" t="n">
        <f aca="false">IF(Y$5&gt;=12,Inputs!$E$138,0)</f>
        <v>0</v>
      </c>
      <c r="Z109" s="104" t="n">
        <f aca="false">IF(Z$5&gt;=12,Inputs!$E$138,0)</f>
        <v>0</v>
      </c>
      <c r="AA109" s="104" t="n">
        <f aca="false">IF(AA$5&gt;=12,Inputs!$E$138,0)</f>
        <v>0</v>
      </c>
      <c r="AB109" s="104" t="n">
        <f aca="false">IF(AB$5&gt;=12,Inputs!$E$138,0)</f>
        <v>0</v>
      </c>
      <c r="AC109" s="104" t="n">
        <f aca="false">IF(AC$5&gt;=12,Inputs!$E$138,0)</f>
        <v>0</v>
      </c>
      <c r="AD109" s="104" t="n">
        <f aca="false">IF(AD$5&gt;=12,Inputs!$E$138,0)</f>
        <v>0</v>
      </c>
      <c r="AE109" s="104" t="n">
        <f aca="false">IF(AE$5&gt;=12,Inputs!$E$138,0)</f>
        <v>0</v>
      </c>
      <c r="AF109" s="104" t="n">
        <f aca="false">IF(AF$5&gt;=12,Inputs!$E$138,0)</f>
        <v>0</v>
      </c>
      <c r="AG109" s="104" t="n">
        <f aca="false">IF(AG$5&gt;=12,Inputs!$E$138,0)</f>
        <v>0</v>
      </c>
      <c r="AI109" s="103" t="n">
        <f aca="false">INDEX($F109:$AG109,1,MATCH(AI$7,$F$7:$AG$7,1))</f>
        <v>0</v>
      </c>
      <c r="AJ109" s="103" t="n">
        <f aca="false">INDEX($F109:$AG109,1,MATCH(AJ$7,$F$7:$AG$7,1))</f>
        <v>0</v>
      </c>
      <c r="AK109" s="103" t="n">
        <f aca="false">INDEX($F109:$AG109,1,MATCH(AK$7,$F$7:$AG$7,1))</f>
        <v>0</v>
      </c>
      <c r="AL109" s="103" t="n">
        <f aca="false">INDEX($F109:$AG109,1,MATCH(AL$7,$F$7:$AG$7,1))</f>
        <v>0</v>
      </c>
      <c r="AM109" s="103" t="n">
        <f aca="false">INDEX($F109:$AG109,1,MATCH(AM$7,$F$7:$AG$7,1))</f>
        <v>0</v>
      </c>
      <c r="AN109" s="103" t="n">
        <f aca="false">INDEX($F109:$AG109,1,MATCH(AN$7,$F$7:$AG$7,1))</f>
        <v>0</v>
      </c>
      <c r="AO109" s="103" t="n">
        <f aca="false">INDEX($F109:$AG109,1,MATCH(AO$7,$F$7:$AG$7,1))</f>
        <v>0</v>
      </c>
    </row>
    <row r="110" customFormat="false" ht="15" hidden="false" customHeight="false" outlineLevel="0" collapsed="false">
      <c r="A110" s="101" t="s">
        <v>1189</v>
      </c>
      <c r="B110" s="18" t="s">
        <v>415</v>
      </c>
      <c r="C110" s="18" t="s">
        <v>354</v>
      </c>
      <c r="D110" s="18" t="s">
        <v>1176</v>
      </c>
      <c r="F110" s="104" t="n">
        <f aca="false">IF(F$5&gt;=12,Inputs!$D$138,0)</f>
        <v>0</v>
      </c>
      <c r="G110" s="104" t="n">
        <f aca="false">IF(G$5&gt;=12,Inputs!$D$138,0)</f>
        <v>0</v>
      </c>
      <c r="H110" s="104" t="n">
        <f aca="false">IF(H$5&gt;=12,Inputs!$D$138,0)</f>
        <v>0</v>
      </c>
      <c r="I110" s="104" t="n">
        <f aca="false">IF(I$5&gt;=12,Inputs!$D$138,0)</f>
        <v>0</v>
      </c>
      <c r="J110" s="104" t="n">
        <f aca="false">IF(J$5&gt;=12,Inputs!$D$138,0)</f>
        <v>0</v>
      </c>
      <c r="K110" s="104" t="n">
        <f aca="false">IF(K$5&gt;=12,Inputs!$D$138,0)</f>
        <v>0</v>
      </c>
      <c r="L110" s="104" t="n">
        <f aca="false">IF(L$5&gt;=12,Inputs!$D$138,0)</f>
        <v>0</v>
      </c>
      <c r="M110" s="104" t="n">
        <f aca="false">IF(M$5&gt;=12,Inputs!$D$138,0)</f>
        <v>0</v>
      </c>
      <c r="N110" s="104" t="n">
        <f aca="false">IF(N$5&gt;=12,Inputs!$D$138,0)</f>
        <v>0</v>
      </c>
      <c r="O110" s="104" t="n">
        <f aca="false">IF(O$5&gt;=12,Inputs!$D$138,0)</f>
        <v>0</v>
      </c>
      <c r="P110" s="104" t="n">
        <f aca="false">IF(P$5&gt;=12,Inputs!$D$138,0)</f>
        <v>0</v>
      </c>
      <c r="Q110" s="104" t="n">
        <f aca="false">IF(Q$5&gt;=12,Inputs!$D$138,0)</f>
        <v>0</v>
      </c>
      <c r="R110" s="104" t="n">
        <f aca="false">IF(R$5&gt;=12,Inputs!$D$138,0)</f>
        <v>0</v>
      </c>
      <c r="S110" s="104" t="n">
        <f aca="false">IF(S$5&gt;=12,Inputs!$D$138,0)</f>
        <v>0</v>
      </c>
      <c r="T110" s="104" t="n">
        <f aca="false">IF(T$5&gt;=12,Inputs!$D$138,0)</f>
        <v>0</v>
      </c>
      <c r="U110" s="104" t="n">
        <f aca="false">IF(U$5&gt;=12,Inputs!$D$138,0)</f>
        <v>0</v>
      </c>
      <c r="V110" s="104" t="n">
        <f aca="false">IF(V$5&gt;=12,Inputs!$D$138,0)</f>
        <v>0</v>
      </c>
      <c r="W110" s="104" t="n">
        <f aca="false">IF(W$5&gt;=12,Inputs!$D$138,0)</f>
        <v>0</v>
      </c>
      <c r="X110" s="104" t="n">
        <f aca="false">IF(X$5&gt;=12,Inputs!$D$138,0)</f>
        <v>0</v>
      </c>
      <c r="Y110" s="104" t="n">
        <f aca="false">IF(Y$5&gt;=12,Inputs!$D$138,0)</f>
        <v>0</v>
      </c>
      <c r="Z110" s="104" t="n">
        <f aca="false">IF(Z$5&gt;=12,Inputs!$D$138,0)</f>
        <v>0</v>
      </c>
      <c r="AA110" s="104" t="n">
        <f aca="false">IF(AA$5&gt;=12,Inputs!$D$138,0)</f>
        <v>0</v>
      </c>
      <c r="AB110" s="104" t="n">
        <f aca="false">IF(AB$5&gt;=12,Inputs!$D$138,0)</f>
        <v>0</v>
      </c>
      <c r="AC110" s="104" t="n">
        <f aca="false">IF(AC$5&gt;=12,Inputs!$D$138,0)</f>
        <v>0</v>
      </c>
      <c r="AD110" s="104" t="n">
        <f aca="false">IF(AD$5&gt;=12,Inputs!$D$138,0)</f>
        <v>0</v>
      </c>
      <c r="AE110" s="104" t="n">
        <f aca="false">IF(AE$5&gt;=12,Inputs!$D$138,0)</f>
        <v>0</v>
      </c>
      <c r="AF110" s="104" t="n">
        <f aca="false">IF(AF$5&gt;=12,Inputs!$D$138,0)</f>
        <v>0</v>
      </c>
      <c r="AG110" s="104" t="n">
        <f aca="false">IF(AG$5&gt;=12,Inputs!$D$138,0)</f>
        <v>0</v>
      </c>
      <c r="AI110" s="103" t="n">
        <f aca="false">INDEX($F110:$AG110,1,MATCH(AI$7,$F$7:$AG$7,1))</f>
        <v>0</v>
      </c>
      <c r="AJ110" s="103" t="n">
        <f aca="false">INDEX($F110:$AG110,1,MATCH(AJ$7,$F$7:$AG$7,1))</f>
        <v>0</v>
      </c>
      <c r="AK110" s="103" t="n">
        <f aca="false">INDEX($F110:$AG110,1,MATCH(AK$7,$F$7:$AG$7,1))</f>
        <v>0</v>
      </c>
      <c r="AL110" s="103" t="n">
        <f aca="false">INDEX($F110:$AG110,1,MATCH(AL$7,$F$7:$AG$7,1))</f>
        <v>0</v>
      </c>
      <c r="AM110" s="103" t="n">
        <f aca="false">INDEX($F110:$AG110,1,MATCH(AM$7,$F$7:$AG$7,1))</f>
        <v>0</v>
      </c>
      <c r="AN110" s="103" t="n">
        <f aca="false">INDEX($F110:$AG110,1,MATCH(AN$7,$F$7:$AG$7,1))</f>
        <v>0</v>
      </c>
      <c r="AO110" s="103" t="n">
        <f aca="false">INDEX($F110:$AG110,1,MATCH(AO$7,$F$7:$AG$7,1))</f>
        <v>0</v>
      </c>
    </row>
    <row r="111" customFormat="false" ht="15" hidden="false" customHeight="false" outlineLevel="0" collapsed="false">
      <c r="A111" s="101" t="s">
        <v>1190</v>
      </c>
      <c r="B111" s="18" t="s">
        <v>415</v>
      </c>
      <c r="C111" s="18" t="s">
        <v>354</v>
      </c>
      <c r="D111" s="18" t="s">
        <v>1176</v>
      </c>
      <c r="F111" s="104" t="n">
        <f aca="false">IF(F$5&gt;=12,Inputs!$C$138,0)</f>
        <v>0</v>
      </c>
      <c r="G111" s="104" t="n">
        <f aca="false">IF(G$5&gt;=12,Inputs!$C$138,0)</f>
        <v>0</v>
      </c>
      <c r="H111" s="104" t="n">
        <f aca="false">IF(H$5&gt;=12,Inputs!$C$138,0)</f>
        <v>0</v>
      </c>
      <c r="I111" s="104" t="n">
        <f aca="false">IF(I$5&gt;=12,Inputs!$C$138,0)</f>
        <v>0</v>
      </c>
      <c r="J111" s="104" t="n">
        <f aca="false">IF(J$5&gt;=12,Inputs!$C$138,0)</f>
        <v>0</v>
      </c>
      <c r="K111" s="104" t="n">
        <f aca="false">IF(K$5&gt;=12,Inputs!$C$138,0)</f>
        <v>0</v>
      </c>
      <c r="L111" s="104" t="n">
        <f aca="false">IF(L$5&gt;=12,Inputs!$C$138,0)</f>
        <v>0</v>
      </c>
      <c r="M111" s="104" t="n">
        <f aca="false">IF(M$5&gt;=12,Inputs!$C$138,0)</f>
        <v>0</v>
      </c>
      <c r="N111" s="104" t="n">
        <f aca="false">IF(N$5&gt;=12,Inputs!$C$138,0)</f>
        <v>0</v>
      </c>
      <c r="O111" s="104" t="n">
        <f aca="false">IF(O$5&gt;=12,Inputs!$C$138,0)</f>
        <v>0</v>
      </c>
      <c r="P111" s="104" t="n">
        <f aca="false">IF(P$5&gt;=12,Inputs!$C$138,0)</f>
        <v>0</v>
      </c>
      <c r="Q111" s="104" t="n">
        <f aca="false">IF(Q$5&gt;=12,Inputs!$C$138,0)</f>
        <v>0</v>
      </c>
      <c r="R111" s="104" t="n">
        <f aca="false">IF(R$5&gt;=12,Inputs!$C$138,0)</f>
        <v>0</v>
      </c>
      <c r="S111" s="104" t="n">
        <f aca="false">IF(S$5&gt;=12,Inputs!$C$138,0)</f>
        <v>0</v>
      </c>
      <c r="T111" s="104" t="n">
        <f aca="false">IF(T$5&gt;=12,Inputs!$C$138,0)</f>
        <v>0</v>
      </c>
      <c r="U111" s="104" t="n">
        <f aca="false">IF(U$5&gt;=12,Inputs!$C$138,0)</f>
        <v>0</v>
      </c>
      <c r="V111" s="104" t="n">
        <f aca="false">IF(V$5&gt;=12,Inputs!$C$138,0)</f>
        <v>0</v>
      </c>
      <c r="W111" s="104" t="n">
        <f aca="false">IF(W$5&gt;=12,Inputs!$C$138,0)</f>
        <v>0</v>
      </c>
      <c r="X111" s="104" t="n">
        <f aca="false">IF(X$5&gt;=12,Inputs!$C$138,0)</f>
        <v>0</v>
      </c>
      <c r="Y111" s="104" t="n">
        <f aca="false">IF(Y$5&gt;=12,Inputs!$C$138,0)</f>
        <v>0</v>
      </c>
      <c r="Z111" s="104" t="n">
        <f aca="false">IF(Z$5&gt;=12,Inputs!$C$138,0)</f>
        <v>0</v>
      </c>
      <c r="AA111" s="104" t="n">
        <f aca="false">IF(AA$5&gt;=12,Inputs!$C$138,0)</f>
        <v>0</v>
      </c>
      <c r="AB111" s="104" t="n">
        <f aca="false">IF(AB$5&gt;=12,Inputs!$C$138,0)</f>
        <v>0</v>
      </c>
      <c r="AC111" s="104" t="n">
        <f aca="false">IF(AC$5&gt;=12,Inputs!$C$138,0)</f>
        <v>0</v>
      </c>
      <c r="AD111" s="104" t="n">
        <f aca="false">IF(AD$5&gt;=12,Inputs!$C$138,0)</f>
        <v>0</v>
      </c>
      <c r="AE111" s="104" t="n">
        <f aca="false">IF(AE$5&gt;=12,Inputs!$C$138,0)</f>
        <v>0</v>
      </c>
      <c r="AF111" s="104" t="n">
        <f aca="false">IF(AF$5&gt;=12,Inputs!$C$138,0)</f>
        <v>0</v>
      </c>
      <c r="AG111" s="104" t="n">
        <f aca="false">IF(AG$5&gt;=12,Inputs!$C$138,0)</f>
        <v>0</v>
      </c>
      <c r="AI111" s="103" t="n">
        <f aca="false">INDEX($F111:$AG111,1,MATCH(AI$7,$F$7:$AG$7,1))</f>
        <v>0</v>
      </c>
      <c r="AJ111" s="103" t="n">
        <f aca="false">INDEX($F111:$AG111,1,MATCH(AJ$7,$F$7:$AG$7,1))</f>
        <v>0</v>
      </c>
      <c r="AK111" s="103" t="n">
        <f aca="false">INDEX($F111:$AG111,1,MATCH(AK$7,$F$7:$AG$7,1))</f>
        <v>0</v>
      </c>
      <c r="AL111" s="103" t="n">
        <f aca="false">INDEX($F111:$AG111,1,MATCH(AL$7,$F$7:$AG$7,1))</f>
        <v>0</v>
      </c>
      <c r="AM111" s="103" t="n">
        <f aca="false">INDEX($F111:$AG111,1,MATCH(AM$7,$F$7:$AG$7,1))</f>
        <v>0</v>
      </c>
      <c r="AN111" s="103" t="n">
        <f aca="false">INDEX($F111:$AG111,1,MATCH(AN$7,$F$7:$AG$7,1))</f>
        <v>0</v>
      </c>
      <c r="AO111" s="103" t="n">
        <f aca="false">INDEX($F111:$AG111,1,MATCH(AO$7,$F$7:$AG$7,1))</f>
        <v>0</v>
      </c>
    </row>
    <row r="112" customFormat="false" ht="15" hidden="false" customHeight="false" outlineLevel="0" collapsed="false">
      <c r="A112" s="101" t="s">
        <v>1191</v>
      </c>
      <c r="B112" s="18" t="s">
        <v>415</v>
      </c>
      <c r="C112" s="18" t="s">
        <v>354</v>
      </c>
      <c r="D112" s="18" t="s">
        <v>1192</v>
      </c>
      <c r="F112" s="60" t="n">
        <v>25</v>
      </c>
      <c r="G112" s="60" t="n">
        <v>25</v>
      </c>
      <c r="H112" s="60" t="n">
        <v>25</v>
      </c>
      <c r="I112" s="60" t="n">
        <v>30</v>
      </c>
      <c r="J112" s="60" t="n">
        <v>40</v>
      </c>
      <c r="K112" s="60" t="n">
        <v>45</v>
      </c>
      <c r="L112" s="60" t="n">
        <v>62.5</v>
      </c>
      <c r="M112" s="60" t="n">
        <v>147.7</v>
      </c>
      <c r="N112" s="60" t="n">
        <v>171.5</v>
      </c>
      <c r="O112" s="60" t="n">
        <v>173</v>
      </c>
      <c r="P112" s="60" t="n">
        <v>207.5</v>
      </c>
      <c r="Q112" s="60" t="n">
        <v>304.5</v>
      </c>
      <c r="R112" s="60" t="n">
        <v>444.7</v>
      </c>
      <c r="S112" s="60" t="n">
        <v>591.7</v>
      </c>
      <c r="T112" s="60" t="n">
        <v>751.5</v>
      </c>
      <c r="U112" s="60" t="n">
        <v>1069</v>
      </c>
      <c r="V112" s="60" t="n">
        <v>1181.5</v>
      </c>
      <c r="W112" s="60" t="n">
        <v>1376.5</v>
      </c>
      <c r="X112" s="60" t="n">
        <v>1389</v>
      </c>
      <c r="Y112" s="60" t="n">
        <v>1799</v>
      </c>
      <c r="Z112" s="60" t="n">
        <v>1799</v>
      </c>
      <c r="AA112" s="60" t="n">
        <v>2219</v>
      </c>
      <c r="AB112" s="60" t="n">
        <v>2219</v>
      </c>
      <c r="AC112" s="60" t="n">
        <v>2804</v>
      </c>
      <c r="AD112" s="60" t="n">
        <v>2804</v>
      </c>
      <c r="AE112" s="60" t="n">
        <v>2804</v>
      </c>
      <c r="AF112" s="60" t="n">
        <v>2804</v>
      </c>
      <c r="AG112" s="60" t="n">
        <v>3379</v>
      </c>
      <c r="AI112" s="25" t="n">
        <f aca="false">INDEX($F112:$AG112,1,MATCH(AI$7,$F$7:$AG$7,1))</f>
        <v>30</v>
      </c>
      <c r="AJ112" s="25" t="n">
        <f aca="false">INDEX($F112:$AG112,1,MATCH(AJ$7,$F$7:$AG$7,1))</f>
        <v>147.7</v>
      </c>
      <c r="AK112" s="25" t="n">
        <f aca="false">INDEX($F112:$AG112,1,MATCH(AK$7,$F$7:$AG$7,1))</f>
        <v>304.5</v>
      </c>
      <c r="AL112" s="25" t="n">
        <f aca="false">INDEX($F112:$AG112,1,MATCH(AL$7,$F$7:$AG$7,1))</f>
        <v>1069</v>
      </c>
      <c r="AM112" s="25" t="n">
        <f aca="false">INDEX($F112:$AG112,1,MATCH(AM$7,$F$7:$AG$7,1))</f>
        <v>1799</v>
      </c>
      <c r="AN112" s="25" t="n">
        <f aca="false">INDEX($F112:$AG112,1,MATCH(AN$7,$F$7:$AG$7,1))</f>
        <v>2804</v>
      </c>
      <c r="AO112" s="25" t="n">
        <f aca="false">INDEX($F112:$AG112,1,MATCH(AO$7,$F$7:$AG$7,1))</f>
        <v>3379</v>
      </c>
    </row>
    <row r="113" customFormat="false" ht="15" hidden="false" customHeight="false" outlineLevel="0" collapsed="false">
      <c r="A113" s="101" t="s">
        <v>1193</v>
      </c>
      <c r="B113" s="18" t="s">
        <v>415</v>
      </c>
      <c r="C113" s="18" t="s">
        <v>336</v>
      </c>
      <c r="D113" s="18"/>
      <c r="F113" s="105" t="n">
        <f aca="false">N(F41)+N(F44)+N(F47)+N(F50)+N(F53)+N(F56)+N(F59)+N(F62)+N(F65)+N(F68)+N(F71)+N(F74)+N(F77)+N(F80)+N(F83)+N(F86)+N(F89)+N(F92)+N(F95)+N(F104)+N(F107)</f>
        <v>25</v>
      </c>
      <c r="G113" s="105" t="n">
        <f aca="false">N(G41)+N(G44)+N(G47)+N(G50)+N(G53)+N(G56)+N(G59)+N(G62)+N(G65)+N(G68)+N(G71)+N(G74)+N(G77)+N(G80)+N(G83)+N(G86)+N(G89)+N(G92)+N(G95)+N(G104)+N(G107)</f>
        <v>25</v>
      </c>
      <c r="H113" s="105" t="n">
        <f aca="false">N(H41)+N(H44)+N(H47)+N(H50)+N(H53)+N(H56)+N(H59)+N(H62)+N(H65)+N(H68)+N(H71)+N(H74)+N(H77)+N(H80)+N(H83)+N(H86)+N(H89)+N(H92)+N(H95)+N(H104)+N(H107)</f>
        <v>25</v>
      </c>
      <c r="I113" s="105" t="n">
        <f aca="false">N(I41)+N(I44)+N(I47)+N(I50)+N(I53)+N(I56)+N(I59)+N(I62)+N(I65)+N(I68)+N(I71)+N(I74)+N(I77)+N(I80)+N(I83)+N(I86)+N(I89)+N(I92)+N(I95)+N(I104)+N(I107)</f>
        <v>30</v>
      </c>
      <c r="J113" s="105" t="n">
        <f aca="false">N(J41)+N(J44)+N(J47)+N(J50)+N(J53)+N(J56)+N(J59)+N(J62)+N(J65)+N(J68)+N(J71)+N(J74)+N(J77)+N(J80)+N(J83)+N(J86)+N(J89)+N(J92)+N(J95)+N(J104)+N(J107)</f>
        <v>40</v>
      </c>
      <c r="K113" s="105" t="n">
        <f aca="false">N(K41)+N(K44)+N(K47)+N(K50)+N(K53)+N(K56)+N(K59)+N(K62)+N(K65)+N(K68)+N(K71)+N(K74)+N(K77)+N(K80)+N(K83)+N(K86)+N(K89)+N(K92)+N(K95)+N(K104)+N(K107)</f>
        <v>45</v>
      </c>
      <c r="L113" s="105" t="n">
        <f aca="false">N(L41)+N(L44)+N(L47)+N(L50)+N(L53)+N(L56)+N(L59)+N(L62)+N(L65)+N(L68)+N(L71)+N(L74)+N(L77)+N(L80)+N(L83)+N(L86)+N(L89)+N(L92)+N(L95)+N(L104)+N(L107)</f>
        <v>62.5</v>
      </c>
      <c r="M113" s="105" t="n">
        <f aca="false">N(M41)+N(M44)+N(M47)+N(M50)+N(M53)+N(M56)+N(M59)+N(M62)+N(M65)+N(M68)+N(M71)+N(M74)+N(M77)+N(M80)+N(M83)+N(M86)+N(M89)+N(M92)+N(M95)+N(M104)+N(M107)</f>
        <v>147.7</v>
      </c>
      <c r="N113" s="105" t="n">
        <f aca="false">N(N41)+N(N44)+N(N47)+N(N50)+N(N53)+N(N56)+N(N59)+N(N62)+N(N65)+N(N68)+N(N71)+N(N74)+N(N77)+N(N80)+N(N83)+N(N86)+N(N89)+N(N92)+N(N95)+N(N104)+N(N107)</f>
        <v>171.5</v>
      </c>
      <c r="O113" s="105" t="n">
        <f aca="false">N(O41)+N(O44)+N(O47)+N(O50)+N(O53)+N(O56)+N(O59)+N(O62)+N(O65)+N(O68)+N(O71)+N(O74)+N(O77)+N(O80)+N(O83)+N(O86)+N(O89)+N(O92)+N(O95)+N(O104)+N(O107)</f>
        <v>173</v>
      </c>
      <c r="P113" s="25" t="n">
        <f aca="false">N(P41)+N(P44)+N(P47)+N(P50)+N(P53)+N(P56)+N(P59)+N(P62)+N(P65)+N(P68)+N(P71)+N(P74)+N(P77)+N(P80)+N(P83)+N(P86)+N(P89)+N(P92)+N(P95)+N(P104)+N(P107)</f>
        <v>207.5</v>
      </c>
      <c r="Q113" s="25" t="n">
        <f aca="false">N(Q41)+N(Q44)+N(Q47)+N(Q50)+N(Q53)+N(Q56)+N(Q59)+N(Q62)+N(Q65)+N(Q68)+N(Q71)+N(Q74)+N(Q77)+N(Q80)+N(Q83)+N(Q86)+N(Q89)+N(Q92)+N(Q95)+N(Q104)+N(Q107)</f>
        <v>304.5</v>
      </c>
      <c r="R113" s="25" t="n">
        <f aca="false">N(R41)+N(R44)+N(R47)+N(R50)+N(R53)+N(R56)+N(R59)+N(R62)+N(R65)+N(R68)+N(R71)+N(R74)+N(R77)+N(R80)+N(R83)+N(R86)+N(R89)+N(R92)+N(R95)+N(R104)+N(R107)</f>
        <v>444.7</v>
      </c>
      <c r="S113" s="25" t="n">
        <f aca="false">N(S41)+N(S44)+N(S47)+N(S50)+N(S53)+N(S56)+N(S59)+N(S62)+N(S65)+N(S68)+N(S71)+N(S74)+N(S77)+N(S80)+N(S83)+N(S86)+N(S89)+N(S92)+N(S95)+N(S104)+N(S107)</f>
        <v>591.7</v>
      </c>
      <c r="T113" s="25" t="n">
        <f aca="false">N(T41)+N(T44)+N(T47)+N(T50)+N(T53)+N(T56)+N(T59)+N(T62)+N(T65)+N(T68)+N(T71)+N(T74)+N(T77)+N(T80)+N(T83)+N(T86)+N(T89)+N(T92)+N(T95)+N(T104)+N(T107)</f>
        <v>751.5</v>
      </c>
      <c r="U113" s="25" t="n">
        <f aca="false">N(U41)+N(U44)+N(U47)+N(U50)+N(U53)+N(U56)+N(U59)+N(U62)+N(U65)+N(U68)+N(U71)+N(U74)+N(U77)+N(U80)+N(U83)+N(U86)+N(U89)+N(U92)+N(U95)+N(U104)+N(U107)</f>
        <v>1069</v>
      </c>
      <c r="V113" s="25" t="n">
        <f aca="false">N(V41)+N(V44)+N(V47)+N(V50)+N(V53)+N(V56)+N(V59)+N(V62)+N(V65)+N(V68)+N(V71)+N(V74)+N(V77)+N(V80)+N(V83)+N(V86)+N(V89)+N(V92)+N(V95)+N(V104)+N(V107)</f>
        <v>1181.5</v>
      </c>
      <c r="W113" s="25" t="n">
        <f aca="false">N(W41)+N(W44)+N(W47)+N(W50)+N(W53)+N(W56)+N(W59)+N(W62)+N(W65)+N(W68)+N(W71)+N(W74)+N(W77)+N(W80)+N(W83)+N(W86)+N(W89)+N(W92)+N(W95)+N(W104)+N(W107)</f>
        <v>1376.5</v>
      </c>
      <c r="X113" s="25" t="n">
        <f aca="false">N(X41)+N(X44)+N(X47)+N(X50)+N(X53)+N(X56)+N(X59)+N(X62)+N(X65)+N(X68)+N(X71)+N(X74)+N(X77)+N(X80)+N(X83)+N(X86)+N(X89)+N(X92)+N(X95)+N(X104)+N(X107)</f>
        <v>1389</v>
      </c>
      <c r="Y113" s="25" t="n">
        <f aca="false">N(Y41)+N(Y44)+N(Y47)+N(Y50)+N(Y53)+N(Y56)+N(Y59)+N(Y62)+N(Y65)+N(Y68)+N(Y71)+N(Y74)+N(Y77)+N(Y80)+N(Y83)+N(Y86)+N(Y89)+N(Y92)+N(Y95)+N(Y104)+N(Y107)</f>
        <v>1799</v>
      </c>
      <c r="Z113" s="25" t="n">
        <f aca="false">N(Z41)+N(Z44)+N(Z47)+N(Z50)+N(Z53)+N(Z56)+N(Z59)+N(Z62)+N(Z65)+N(Z68)+N(Z71)+N(Z74)+N(Z77)+N(Z80)+N(Z83)+N(Z86)+N(Z89)+N(Z92)+N(Z95)+N(Z104)+N(Z107)</f>
        <v>1799</v>
      </c>
      <c r="AA113" s="25" t="n">
        <f aca="false">N(AA41)+N(AA44)+N(AA47)+N(AA50)+N(AA53)+N(AA56)+N(AA59)+N(AA62)+N(AA65)+N(AA68)+N(AA71)+N(AA74)+N(AA77)+N(AA80)+N(AA83)+N(AA86)+N(AA89)+N(AA92)+N(AA95)+N(AA104)+N(AA107)</f>
        <v>2219</v>
      </c>
      <c r="AB113" s="25" t="n">
        <f aca="false">N(AB41)+N(AB44)+N(AB47)+N(AB50)+N(AB53)+N(AB56)+N(AB59)+N(AB62)+N(AB65)+N(AB68)+N(AB71)+N(AB74)+N(AB77)+N(AB80)+N(AB83)+N(AB86)+N(AB89)+N(AB92)+N(AB95)+N(AB104)+N(AB107)</f>
        <v>2219</v>
      </c>
      <c r="AC113" s="25" t="n">
        <f aca="false">N(AC41)+N(AC44)+N(AC47)+N(AC50)+N(AC53)+N(AC56)+N(AC59)+N(AC62)+N(AC65)+N(AC68)+N(AC71)+N(AC74)+N(AC77)+N(AC80)+N(AC83)+N(AC86)+N(AC89)+N(AC92)+N(AC95)+N(AC104)+N(AC107)</f>
        <v>2804</v>
      </c>
      <c r="AD113" s="25" t="n">
        <f aca="false">N(AD41)+N(AD44)+N(AD47)+N(AD50)+N(AD53)+N(AD56)+N(AD59)+N(AD62)+N(AD65)+N(AD68)+N(AD71)+N(AD74)+N(AD77)+N(AD80)+N(AD83)+N(AD86)+N(AD89)+N(AD92)+N(AD95)+N(AD104)+N(AD107)</f>
        <v>2804</v>
      </c>
      <c r="AE113" s="25" t="n">
        <f aca="false">N(AE41)+N(AE44)+N(AE47)+N(AE50)+N(AE53)+N(AE56)+N(AE59)+N(AE62)+N(AE65)+N(AE68)+N(AE71)+N(AE74)+N(AE77)+N(AE80)+N(AE83)+N(AE86)+N(AE89)+N(AE92)+N(AE95)+N(AE104)+N(AE107)</f>
        <v>2804</v>
      </c>
      <c r="AF113" s="25" t="n">
        <f aca="false">N(AF41)+N(AF44)+N(AF47)+N(AF50)+N(AF53)+N(AF56)+N(AF59)+N(AF62)+N(AF65)+N(AF68)+N(AF71)+N(AF74)+N(AF77)+N(AF80)+N(AF83)+N(AF86)+N(AF89)+N(AF92)+N(AF95)+N(AF104)+N(AF107)</f>
        <v>2804</v>
      </c>
      <c r="AG113" s="25" t="n">
        <f aca="false">N(AG41)+N(AG44)+N(AG47)+N(AG50)+N(AG53)+N(AG56)+N(AG59)+N(AG62)+N(AG65)+N(AG68)+N(AG71)+N(AG74)+N(AG77)+N(AG80)+N(AG83)+N(AG86)+N(AG89)+N(AG92)+N(AG95)+N(AG104)+N(AG107)</f>
        <v>3379</v>
      </c>
      <c r="AI113" s="25" t="n">
        <f aca="false">INDEX($F113:$AG113,1,MATCH(AI$7,$F$7:$AG$7,1))</f>
        <v>30</v>
      </c>
      <c r="AJ113" s="25" t="n">
        <f aca="false">INDEX($F113:$AG113,1,MATCH(AJ$7,$F$7:$AG$7,1))</f>
        <v>147.7</v>
      </c>
      <c r="AK113" s="25" t="n">
        <f aca="false">INDEX($F113:$AG113,1,MATCH(AK$7,$F$7:$AG$7,1))</f>
        <v>304.5</v>
      </c>
      <c r="AL113" s="25" t="n">
        <f aca="false">INDEX($F113:$AG113,1,MATCH(AL$7,$F$7:$AG$7,1))</f>
        <v>1069</v>
      </c>
      <c r="AM113" s="25" t="n">
        <f aca="false">INDEX($F113:$AG113,1,MATCH(AM$7,$F$7:$AG$7,1))</f>
        <v>1799</v>
      </c>
      <c r="AN113" s="25" t="n">
        <f aca="false">INDEX($F113:$AG113,1,MATCH(AN$7,$F$7:$AG$7,1))</f>
        <v>2804</v>
      </c>
      <c r="AO113" s="25" t="n">
        <f aca="false">INDEX($F113:$AG113,1,MATCH(AO$7,$F$7:$AG$7,1))</f>
        <v>3379</v>
      </c>
    </row>
    <row r="114" customFormat="false" ht="15" hidden="false" customHeight="false" outlineLevel="0" collapsed="false">
      <c r="A114" s="101" t="s">
        <v>1194</v>
      </c>
      <c r="B114" s="18" t="s">
        <v>415</v>
      </c>
      <c r="C114" s="18" t="s">
        <v>336</v>
      </c>
      <c r="D114" s="18"/>
      <c r="F114" s="106" t="n">
        <f aca="false">F113-F112</f>
        <v>0</v>
      </c>
      <c r="G114" s="106" t="n">
        <f aca="false">G113-G112</f>
        <v>0</v>
      </c>
      <c r="H114" s="106" t="n">
        <f aca="false">H113-H112</f>
        <v>0</v>
      </c>
      <c r="I114" s="106" t="n">
        <f aca="false">I113-I112</f>
        <v>0</v>
      </c>
      <c r="J114" s="106" t="n">
        <f aca="false">J113-J112</f>
        <v>0</v>
      </c>
      <c r="K114" s="106" t="n">
        <f aca="false">K113-K112</f>
        <v>0</v>
      </c>
      <c r="L114" s="106" t="n">
        <f aca="false">L113-L112</f>
        <v>0</v>
      </c>
      <c r="M114" s="106" t="n">
        <f aca="false">M113-M112</f>
        <v>0</v>
      </c>
      <c r="N114" s="106" t="n">
        <f aca="false">N113-N112</f>
        <v>0</v>
      </c>
      <c r="O114" s="106" t="n">
        <f aca="false">O113-O112</f>
        <v>0</v>
      </c>
      <c r="P114" s="103" t="n">
        <f aca="false">P113-P112</f>
        <v>0</v>
      </c>
      <c r="Q114" s="103" t="n">
        <f aca="false">Q113-Q112</f>
        <v>0</v>
      </c>
      <c r="R114" s="103" t="n">
        <f aca="false">R113-R112</f>
        <v>0</v>
      </c>
      <c r="S114" s="103" t="n">
        <f aca="false">S113-S112</f>
        <v>0</v>
      </c>
      <c r="T114" s="103" t="n">
        <f aca="false">T113-T112</f>
        <v>0</v>
      </c>
      <c r="U114" s="103" t="n">
        <f aca="false">U113-U112</f>
        <v>0</v>
      </c>
      <c r="V114" s="103" t="n">
        <f aca="false">V113-V112</f>
        <v>0</v>
      </c>
      <c r="W114" s="103" t="n">
        <f aca="false">W113-W112</f>
        <v>0</v>
      </c>
      <c r="X114" s="103" t="n">
        <f aca="false">X113-X112</f>
        <v>0</v>
      </c>
      <c r="Y114" s="103" t="n">
        <f aca="false">Y113-Y112</f>
        <v>0</v>
      </c>
      <c r="Z114" s="103" t="n">
        <f aca="false">Z113-Z112</f>
        <v>0</v>
      </c>
      <c r="AA114" s="103" t="n">
        <f aca="false">AA113-AA112</f>
        <v>0</v>
      </c>
      <c r="AB114" s="103" t="n">
        <f aca="false">AB113-AB112</f>
        <v>0</v>
      </c>
      <c r="AC114" s="103" t="n">
        <f aca="false">AC113-AC112</f>
        <v>0</v>
      </c>
      <c r="AD114" s="103" t="n">
        <f aca="false">AD113-AD112</f>
        <v>0</v>
      </c>
      <c r="AE114" s="103" t="n">
        <f aca="false">AE113-AE112</f>
        <v>0</v>
      </c>
      <c r="AF114" s="103" t="n">
        <f aca="false">AF113-AF112</f>
        <v>0</v>
      </c>
      <c r="AG114" s="103" t="n">
        <f aca="false">AG113-AG112</f>
        <v>0</v>
      </c>
      <c r="AI114" s="103" t="n">
        <f aca="false">INDEX($F114:$AG114,1,MATCH(AI$7,$F$7:$AG$7,1))</f>
        <v>0</v>
      </c>
      <c r="AJ114" s="103" t="n">
        <f aca="false">INDEX($F114:$AG114,1,MATCH(AJ$7,$F$7:$AG$7,1))</f>
        <v>0</v>
      </c>
      <c r="AK114" s="103" t="n">
        <f aca="false">INDEX($F114:$AG114,1,MATCH(AK$7,$F$7:$AG$7,1))</f>
        <v>0</v>
      </c>
      <c r="AL114" s="103" t="n">
        <f aca="false">INDEX($F114:$AG114,1,MATCH(AL$7,$F$7:$AG$7,1))</f>
        <v>0</v>
      </c>
      <c r="AM114" s="103" t="n">
        <f aca="false">INDEX($F114:$AG114,1,MATCH(AM$7,$F$7:$AG$7,1))</f>
        <v>0</v>
      </c>
      <c r="AN114" s="103" t="n">
        <f aca="false">INDEX($F114:$AG114,1,MATCH(AN$7,$F$7:$AG$7,1))</f>
        <v>0</v>
      </c>
      <c r="AO114" s="103" t="n">
        <f aca="false">INDEX($F114:$AG114,1,MATCH(AO$7,$F$7:$AG$7,1))</f>
        <v>0</v>
      </c>
    </row>
    <row r="116" customFormat="false" ht="15" hidden="false" customHeight="false" outlineLevel="0" collapsed="false">
      <c r="A116" s="48" t="s">
        <v>1195</v>
      </c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</row>
    <row r="117" customFormat="false" ht="15" hidden="false" customHeight="false" outlineLevel="0" collapsed="false">
      <c r="A117" s="101" t="s">
        <v>1068</v>
      </c>
      <c r="B117" s="18" t="s">
        <v>415</v>
      </c>
      <c r="C117" s="18" t="s">
        <v>354</v>
      </c>
      <c r="D117" s="18"/>
      <c r="J117" s="102" t="n">
        <v>300</v>
      </c>
      <c r="K117" s="102" t="n">
        <v>300</v>
      </c>
      <c r="L117" s="102" t="n">
        <v>300</v>
      </c>
      <c r="M117" s="102" t="n">
        <v>300</v>
      </c>
      <c r="N117" s="102" t="n">
        <v>300</v>
      </c>
      <c r="O117" s="102" t="n">
        <v>300</v>
      </c>
      <c r="P117" s="102" t="n">
        <v>300</v>
      </c>
      <c r="Q117" s="102" t="n">
        <v>300</v>
      </c>
      <c r="R117" s="102" t="n">
        <v>300</v>
      </c>
      <c r="S117" s="102" t="n">
        <v>300</v>
      </c>
      <c r="T117" s="102" t="n">
        <v>300</v>
      </c>
      <c r="U117" s="102" t="n">
        <v>300</v>
      </c>
      <c r="V117" s="102" t="n">
        <v>300</v>
      </c>
      <c r="W117" s="102" t="n">
        <v>300</v>
      </c>
      <c r="X117" s="102" t="n">
        <v>300</v>
      </c>
      <c r="Y117" s="102" t="n">
        <v>300</v>
      </c>
      <c r="Z117" s="102" t="n">
        <v>300</v>
      </c>
      <c r="AA117" s="102" t="n">
        <v>300</v>
      </c>
      <c r="AB117" s="102" t="n">
        <v>300</v>
      </c>
      <c r="AC117" s="102" t="n">
        <v>300</v>
      </c>
      <c r="AD117" s="102" t="n">
        <v>300</v>
      </c>
      <c r="AE117" s="102" t="n">
        <v>300</v>
      </c>
      <c r="AF117" s="102" t="n">
        <v>300</v>
      </c>
      <c r="AG117" s="102" t="n">
        <v>300</v>
      </c>
      <c r="AI117" s="103" t="n">
        <f aca="false">INDEX($F117:$AG117,1,MATCH(AI$7,$F$7:$AG$7,1))</f>
        <v>0</v>
      </c>
      <c r="AJ117" s="103" t="n">
        <f aca="false">INDEX($F117:$AG117,1,MATCH(AJ$7,$F$7:$AG$7,1))</f>
        <v>300</v>
      </c>
      <c r="AK117" s="103" t="n">
        <f aca="false">INDEX($F117:$AG117,1,MATCH(AK$7,$F$7:$AG$7,1))</f>
        <v>300</v>
      </c>
      <c r="AL117" s="103" t="n">
        <f aca="false">INDEX($F117:$AG117,1,MATCH(AL$7,$F$7:$AG$7,1))</f>
        <v>300</v>
      </c>
      <c r="AM117" s="103" t="n">
        <f aca="false">INDEX($F117:$AG117,1,MATCH(AM$7,$F$7:$AG$7,1))</f>
        <v>300</v>
      </c>
      <c r="AN117" s="103" t="n">
        <f aca="false">INDEX($F117:$AG117,1,MATCH(AN$7,$F$7:$AG$7,1))</f>
        <v>300</v>
      </c>
      <c r="AO117" s="103" t="n">
        <f aca="false">INDEX($F117:$AG117,1,MATCH(AO$7,$F$7:$AG$7,1))</f>
        <v>300</v>
      </c>
    </row>
    <row r="118" customFormat="false" ht="15" hidden="false" customHeight="false" outlineLevel="0" collapsed="false">
      <c r="A118" s="101" t="s">
        <v>1075</v>
      </c>
      <c r="B118" s="18" t="s">
        <v>415</v>
      </c>
      <c r="C118" s="18" t="s">
        <v>354</v>
      </c>
      <c r="D118" s="18"/>
      <c r="M118" s="102" t="n">
        <v>1200</v>
      </c>
      <c r="N118" s="102" t="n">
        <v>1200</v>
      </c>
      <c r="O118" s="102" t="n">
        <v>1200</v>
      </c>
      <c r="P118" s="102" t="n">
        <v>1200</v>
      </c>
      <c r="Q118" s="102" t="n">
        <v>1200</v>
      </c>
      <c r="R118" s="102" t="n">
        <v>1200</v>
      </c>
      <c r="S118" s="102" t="n">
        <v>1200</v>
      </c>
      <c r="T118" s="102" t="n">
        <v>1200</v>
      </c>
      <c r="U118" s="102" t="n">
        <v>1200</v>
      </c>
      <c r="V118" s="102" t="n">
        <v>1200</v>
      </c>
      <c r="W118" s="102" t="n">
        <v>1200</v>
      </c>
      <c r="X118" s="102" t="n">
        <v>1200</v>
      </c>
      <c r="Y118" s="102" t="n">
        <v>1200</v>
      </c>
      <c r="Z118" s="102" t="n">
        <v>1200</v>
      </c>
      <c r="AA118" s="102" t="n">
        <v>1200</v>
      </c>
      <c r="AB118" s="102" t="n">
        <v>1200</v>
      </c>
      <c r="AC118" s="102" t="n">
        <v>1200</v>
      </c>
      <c r="AD118" s="102" t="n">
        <v>1200</v>
      </c>
      <c r="AE118" s="102" t="n">
        <v>1200</v>
      </c>
      <c r="AF118" s="102" t="n">
        <v>1200</v>
      </c>
      <c r="AG118" s="102" t="n">
        <v>1200</v>
      </c>
      <c r="AI118" s="103" t="n">
        <f aca="false">INDEX($F118:$AG118,1,MATCH(AI$7,$F$7:$AG$7,1))</f>
        <v>0</v>
      </c>
      <c r="AJ118" s="103" t="n">
        <f aca="false">INDEX($F118:$AG118,1,MATCH(AJ$7,$F$7:$AG$7,1))</f>
        <v>1200</v>
      </c>
      <c r="AK118" s="103" t="n">
        <f aca="false">INDEX($F118:$AG118,1,MATCH(AK$7,$F$7:$AG$7,1))</f>
        <v>1200</v>
      </c>
      <c r="AL118" s="103" t="n">
        <f aca="false">INDEX($F118:$AG118,1,MATCH(AL$7,$F$7:$AG$7,1))</f>
        <v>1200</v>
      </c>
      <c r="AM118" s="103" t="n">
        <f aca="false">INDEX($F118:$AG118,1,MATCH(AM$7,$F$7:$AG$7,1))</f>
        <v>1200</v>
      </c>
      <c r="AN118" s="103" t="n">
        <f aca="false">INDEX($F118:$AG118,1,MATCH(AN$7,$F$7:$AG$7,1))</f>
        <v>1200</v>
      </c>
      <c r="AO118" s="103" t="n">
        <f aca="false">INDEX($F118:$AG118,1,MATCH(AO$7,$F$7:$AG$7,1))</f>
        <v>1200</v>
      </c>
    </row>
    <row r="119" customFormat="false" ht="15" hidden="false" customHeight="false" outlineLevel="0" collapsed="false">
      <c r="A119" s="101" t="s">
        <v>1081</v>
      </c>
      <c r="B119" s="18" t="s">
        <v>415</v>
      </c>
      <c r="C119" s="18" t="s">
        <v>354</v>
      </c>
      <c r="D119" s="18"/>
      <c r="O119" s="102" t="n">
        <v>1200</v>
      </c>
      <c r="P119" s="102" t="n">
        <v>1200</v>
      </c>
      <c r="Q119" s="102" t="n">
        <v>1200</v>
      </c>
      <c r="R119" s="102" t="n">
        <v>1200</v>
      </c>
      <c r="S119" s="102" t="n">
        <v>1200</v>
      </c>
      <c r="T119" s="102" t="n">
        <v>1200</v>
      </c>
      <c r="U119" s="102" t="n">
        <v>1200</v>
      </c>
      <c r="V119" s="102" t="n">
        <v>1200</v>
      </c>
      <c r="W119" s="102" t="n">
        <v>1200</v>
      </c>
      <c r="X119" s="102" t="n">
        <v>1200</v>
      </c>
      <c r="Y119" s="102" t="n">
        <v>1200</v>
      </c>
      <c r="Z119" s="102" t="n">
        <v>1200</v>
      </c>
      <c r="AA119" s="102" t="n">
        <v>1200</v>
      </c>
      <c r="AB119" s="102" t="n">
        <v>1200</v>
      </c>
      <c r="AC119" s="102" t="n">
        <v>1200</v>
      </c>
      <c r="AD119" s="102" t="n">
        <v>1200</v>
      </c>
      <c r="AE119" s="102" t="n">
        <v>1200</v>
      </c>
      <c r="AF119" s="102" t="n">
        <v>1200</v>
      </c>
      <c r="AG119" s="102" t="n">
        <v>1200</v>
      </c>
      <c r="AI119" s="103" t="n">
        <f aca="false">INDEX($F119:$AG119,1,MATCH(AI$7,$F$7:$AG$7,1))</f>
        <v>0</v>
      </c>
      <c r="AJ119" s="103" t="n">
        <f aca="false">INDEX($F119:$AG119,1,MATCH(AJ$7,$F$7:$AG$7,1))</f>
        <v>0</v>
      </c>
      <c r="AK119" s="103" t="n">
        <f aca="false">INDEX($F119:$AG119,1,MATCH(AK$7,$F$7:$AG$7,1))</f>
        <v>1200</v>
      </c>
      <c r="AL119" s="103" t="n">
        <f aca="false">INDEX($F119:$AG119,1,MATCH(AL$7,$F$7:$AG$7,1))</f>
        <v>1200</v>
      </c>
      <c r="AM119" s="103" t="n">
        <f aca="false">INDEX($F119:$AG119,1,MATCH(AM$7,$F$7:$AG$7,1))</f>
        <v>1200</v>
      </c>
      <c r="AN119" s="103" t="n">
        <f aca="false">INDEX($F119:$AG119,1,MATCH(AN$7,$F$7:$AG$7,1))</f>
        <v>1200</v>
      </c>
      <c r="AO119" s="103" t="n">
        <f aca="false">INDEX($F119:$AG119,1,MATCH(AO$7,$F$7:$AG$7,1))</f>
        <v>1200</v>
      </c>
    </row>
    <row r="120" customFormat="false" ht="15" hidden="false" customHeight="false" outlineLevel="0" collapsed="false">
      <c r="A120" s="101" t="s">
        <v>1082</v>
      </c>
      <c r="B120" s="18" t="s">
        <v>415</v>
      </c>
      <c r="C120" s="18" t="s">
        <v>354</v>
      </c>
      <c r="D120" s="18"/>
      <c r="L120" s="102" t="n">
        <v>300</v>
      </c>
      <c r="M120" s="102" t="n">
        <v>300</v>
      </c>
      <c r="N120" s="102" t="n">
        <v>300</v>
      </c>
      <c r="O120" s="102" t="n">
        <v>300</v>
      </c>
      <c r="P120" s="102" t="n">
        <v>300</v>
      </c>
      <c r="Q120" s="102" t="n">
        <v>300</v>
      </c>
      <c r="R120" s="102" t="n">
        <v>300</v>
      </c>
      <c r="S120" s="102" t="n">
        <v>300</v>
      </c>
      <c r="T120" s="102" t="n">
        <v>300</v>
      </c>
      <c r="U120" s="102" t="n">
        <v>300</v>
      </c>
      <c r="V120" s="102" t="n">
        <v>300</v>
      </c>
      <c r="W120" s="102" t="n">
        <v>300</v>
      </c>
      <c r="X120" s="102" t="n">
        <v>300</v>
      </c>
      <c r="Y120" s="102" t="n">
        <v>300</v>
      </c>
      <c r="Z120" s="102" t="n">
        <v>300</v>
      </c>
      <c r="AA120" s="102" t="n">
        <v>300</v>
      </c>
      <c r="AB120" s="102" t="n">
        <v>300</v>
      </c>
      <c r="AC120" s="102" t="n">
        <v>300</v>
      </c>
      <c r="AD120" s="102" t="n">
        <v>300</v>
      </c>
      <c r="AE120" s="102" t="n">
        <v>300</v>
      </c>
      <c r="AF120" s="102" t="n">
        <v>300</v>
      </c>
      <c r="AG120" s="102" t="n">
        <v>300</v>
      </c>
      <c r="AI120" s="103" t="n">
        <f aca="false">INDEX($F120:$AG120,1,MATCH(AI$7,$F$7:$AG$7,1))</f>
        <v>0</v>
      </c>
      <c r="AJ120" s="103" t="n">
        <f aca="false">INDEX($F120:$AG120,1,MATCH(AJ$7,$F$7:$AG$7,1))</f>
        <v>300</v>
      </c>
      <c r="AK120" s="103" t="n">
        <f aca="false">INDEX($F120:$AG120,1,MATCH(AK$7,$F$7:$AG$7,1))</f>
        <v>300</v>
      </c>
      <c r="AL120" s="103" t="n">
        <f aca="false">INDEX($F120:$AG120,1,MATCH(AL$7,$F$7:$AG$7,1))</f>
        <v>300</v>
      </c>
      <c r="AM120" s="103" t="n">
        <f aca="false">INDEX($F120:$AG120,1,MATCH(AM$7,$F$7:$AG$7,1))</f>
        <v>300</v>
      </c>
      <c r="AN120" s="103" t="n">
        <f aca="false">INDEX($F120:$AG120,1,MATCH(AN$7,$F$7:$AG$7,1))</f>
        <v>300</v>
      </c>
      <c r="AO120" s="103" t="n">
        <f aca="false">INDEX($F120:$AG120,1,MATCH(AO$7,$F$7:$AG$7,1))</f>
        <v>300</v>
      </c>
    </row>
    <row r="121" customFormat="false" ht="15" hidden="false" customHeight="false" outlineLevel="0" collapsed="false">
      <c r="A121" s="101" t="s">
        <v>1084</v>
      </c>
      <c r="B121" s="18" t="s">
        <v>415</v>
      </c>
      <c r="C121" s="18" t="s">
        <v>354</v>
      </c>
      <c r="D121" s="18"/>
      <c r="N121" s="102" t="n">
        <v>240</v>
      </c>
      <c r="O121" s="102" t="n">
        <v>240</v>
      </c>
      <c r="P121" s="102" t="n">
        <v>240</v>
      </c>
      <c r="Q121" s="102" t="n">
        <v>240</v>
      </c>
      <c r="R121" s="102" t="n">
        <v>240</v>
      </c>
      <c r="S121" s="102" t="n">
        <v>240</v>
      </c>
      <c r="T121" s="102" t="n">
        <v>240</v>
      </c>
      <c r="U121" s="102" t="n">
        <v>240</v>
      </c>
      <c r="V121" s="102" t="n">
        <v>240</v>
      </c>
      <c r="W121" s="102" t="n">
        <v>240</v>
      </c>
      <c r="X121" s="102" t="n">
        <v>240</v>
      </c>
      <c r="Y121" s="102" t="n">
        <v>240</v>
      </c>
      <c r="Z121" s="102" t="n">
        <v>240</v>
      </c>
      <c r="AA121" s="102" t="n">
        <v>240</v>
      </c>
      <c r="AB121" s="102" t="n">
        <v>240</v>
      </c>
      <c r="AC121" s="102" t="n">
        <v>240</v>
      </c>
      <c r="AD121" s="102" t="n">
        <v>240</v>
      </c>
      <c r="AE121" s="102" t="n">
        <v>240</v>
      </c>
      <c r="AF121" s="102" t="n">
        <v>240</v>
      </c>
      <c r="AG121" s="102" t="n">
        <v>240</v>
      </c>
      <c r="AI121" s="103" t="n">
        <f aca="false">INDEX($F121:$AG121,1,MATCH(AI$7,$F$7:$AG$7,1))</f>
        <v>0</v>
      </c>
      <c r="AJ121" s="103" t="n">
        <f aca="false">INDEX($F121:$AG121,1,MATCH(AJ$7,$F$7:$AG$7,1))</f>
        <v>0</v>
      </c>
      <c r="AK121" s="103" t="n">
        <f aca="false">INDEX($F121:$AG121,1,MATCH(AK$7,$F$7:$AG$7,1))</f>
        <v>240</v>
      </c>
      <c r="AL121" s="103" t="n">
        <f aca="false">INDEX($F121:$AG121,1,MATCH(AL$7,$F$7:$AG$7,1))</f>
        <v>240</v>
      </c>
      <c r="AM121" s="103" t="n">
        <f aca="false">INDEX($F121:$AG121,1,MATCH(AM$7,$F$7:$AG$7,1))</f>
        <v>240</v>
      </c>
      <c r="AN121" s="103" t="n">
        <f aca="false">INDEX($F121:$AG121,1,MATCH(AN$7,$F$7:$AG$7,1))</f>
        <v>240</v>
      </c>
      <c r="AO121" s="103" t="n">
        <f aca="false">INDEX($F121:$AG121,1,MATCH(AO$7,$F$7:$AG$7,1))</f>
        <v>240</v>
      </c>
    </row>
    <row r="122" customFormat="false" ht="15" hidden="false" customHeight="false" outlineLevel="0" collapsed="false">
      <c r="A122" s="101" t="s">
        <v>1087</v>
      </c>
      <c r="B122" s="18" t="s">
        <v>415</v>
      </c>
      <c r="C122" s="18" t="s">
        <v>354</v>
      </c>
      <c r="D122" s="18"/>
      <c r="N122" s="102" t="n">
        <v>310</v>
      </c>
      <c r="O122" s="102" t="n">
        <v>310</v>
      </c>
      <c r="P122" s="102" t="n">
        <v>310</v>
      </c>
      <c r="Q122" s="102" t="n">
        <v>310</v>
      </c>
      <c r="R122" s="102" t="n">
        <v>310</v>
      </c>
      <c r="S122" s="102" t="n">
        <v>310</v>
      </c>
      <c r="T122" s="102" t="n">
        <v>310</v>
      </c>
      <c r="U122" s="102" t="n">
        <v>310</v>
      </c>
      <c r="V122" s="102" t="n">
        <v>310</v>
      </c>
      <c r="W122" s="102" t="n">
        <v>310</v>
      </c>
      <c r="X122" s="102" t="n">
        <v>310</v>
      </c>
      <c r="Y122" s="102" t="n">
        <v>310</v>
      </c>
      <c r="Z122" s="102" t="n">
        <v>310</v>
      </c>
      <c r="AA122" s="102" t="n">
        <v>310</v>
      </c>
      <c r="AB122" s="102" t="n">
        <v>310</v>
      </c>
      <c r="AC122" s="102" t="n">
        <v>310</v>
      </c>
      <c r="AD122" s="102" t="n">
        <v>310</v>
      </c>
      <c r="AE122" s="102" t="n">
        <v>310</v>
      </c>
      <c r="AF122" s="102" t="n">
        <v>310</v>
      </c>
      <c r="AG122" s="102" t="n">
        <v>310</v>
      </c>
      <c r="AI122" s="103" t="n">
        <f aca="false">INDEX($F122:$AG122,1,MATCH(AI$7,$F$7:$AG$7,1))</f>
        <v>0</v>
      </c>
      <c r="AJ122" s="103" t="n">
        <f aca="false">INDEX($F122:$AG122,1,MATCH(AJ$7,$F$7:$AG$7,1))</f>
        <v>0</v>
      </c>
      <c r="AK122" s="103" t="n">
        <f aca="false">INDEX($F122:$AG122,1,MATCH(AK$7,$F$7:$AG$7,1))</f>
        <v>310</v>
      </c>
      <c r="AL122" s="103" t="n">
        <f aca="false">INDEX($F122:$AG122,1,MATCH(AL$7,$F$7:$AG$7,1))</f>
        <v>310</v>
      </c>
      <c r="AM122" s="103" t="n">
        <f aca="false">INDEX($F122:$AG122,1,MATCH(AM$7,$F$7:$AG$7,1))</f>
        <v>310</v>
      </c>
      <c r="AN122" s="103" t="n">
        <f aca="false">INDEX($F122:$AG122,1,MATCH(AN$7,$F$7:$AG$7,1))</f>
        <v>310</v>
      </c>
      <c r="AO122" s="103" t="n">
        <f aca="false">INDEX($F122:$AG122,1,MATCH(AO$7,$F$7:$AG$7,1))</f>
        <v>310</v>
      </c>
    </row>
    <row r="123" customFormat="false" ht="15" hidden="false" customHeight="false" outlineLevel="0" collapsed="false">
      <c r="A123" s="101" t="s">
        <v>1088</v>
      </c>
      <c r="B123" s="18" t="s">
        <v>415</v>
      </c>
      <c r="C123" s="18" t="s">
        <v>354</v>
      </c>
      <c r="D123" s="18"/>
      <c r="I123" s="102" t="n">
        <v>75</v>
      </c>
      <c r="J123" s="102" t="n">
        <v>75</v>
      </c>
      <c r="K123" s="102" t="n">
        <v>75</v>
      </c>
      <c r="L123" s="102" t="n">
        <v>75</v>
      </c>
      <c r="M123" s="102" t="n">
        <v>75</v>
      </c>
      <c r="N123" s="102" t="n">
        <v>75</v>
      </c>
      <c r="O123" s="102" t="n">
        <v>75</v>
      </c>
      <c r="P123" s="102" t="n">
        <v>75</v>
      </c>
      <c r="Q123" s="102" t="n">
        <v>75</v>
      </c>
      <c r="R123" s="102" t="n">
        <v>75</v>
      </c>
      <c r="S123" s="102" t="n">
        <v>75</v>
      </c>
      <c r="T123" s="102" t="n">
        <v>75</v>
      </c>
      <c r="U123" s="102" t="n">
        <v>75</v>
      </c>
      <c r="V123" s="102" t="n">
        <v>75</v>
      </c>
      <c r="W123" s="102" t="n">
        <v>75</v>
      </c>
      <c r="X123" s="102" t="n">
        <v>75</v>
      </c>
      <c r="Y123" s="102" t="n">
        <v>75</v>
      </c>
      <c r="Z123" s="102" t="n">
        <v>75</v>
      </c>
      <c r="AA123" s="102" t="n">
        <v>75</v>
      </c>
      <c r="AB123" s="102" t="n">
        <v>75</v>
      </c>
      <c r="AC123" s="102" t="n">
        <v>75</v>
      </c>
      <c r="AD123" s="102" t="n">
        <v>75</v>
      </c>
      <c r="AE123" s="102" t="n">
        <v>75</v>
      </c>
      <c r="AF123" s="102" t="n">
        <v>75</v>
      </c>
      <c r="AG123" s="102" t="n">
        <v>75</v>
      </c>
      <c r="AI123" s="103" t="n">
        <f aca="false">INDEX($F123:$AG123,1,MATCH(AI$7,$F$7:$AG$7,1))</f>
        <v>75</v>
      </c>
      <c r="AJ123" s="103" t="n">
        <f aca="false">INDEX($F123:$AG123,1,MATCH(AJ$7,$F$7:$AG$7,1))</f>
        <v>75</v>
      </c>
      <c r="AK123" s="103" t="n">
        <f aca="false">INDEX($F123:$AG123,1,MATCH(AK$7,$F$7:$AG$7,1))</f>
        <v>75</v>
      </c>
      <c r="AL123" s="103" t="n">
        <f aca="false">INDEX($F123:$AG123,1,MATCH(AL$7,$F$7:$AG$7,1))</f>
        <v>75</v>
      </c>
      <c r="AM123" s="103" t="n">
        <f aca="false">INDEX($F123:$AG123,1,MATCH(AM$7,$F$7:$AG$7,1))</f>
        <v>75</v>
      </c>
      <c r="AN123" s="103" t="n">
        <f aca="false">INDEX($F123:$AG123,1,MATCH(AN$7,$F$7:$AG$7,1))</f>
        <v>75</v>
      </c>
      <c r="AO123" s="103" t="n">
        <f aca="false">INDEX($F123:$AG123,1,MATCH(AO$7,$F$7:$AG$7,1))</f>
        <v>75</v>
      </c>
    </row>
    <row r="124" customFormat="false" ht="15" hidden="false" customHeight="false" outlineLevel="0" collapsed="false">
      <c r="A124" s="101" t="s">
        <v>1089</v>
      </c>
      <c r="B124" s="18" t="s">
        <v>415</v>
      </c>
      <c r="C124" s="18" t="s">
        <v>354</v>
      </c>
      <c r="D124" s="18"/>
      <c r="O124" s="102" t="n">
        <v>70</v>
      </c>
      <c r="P124" s="102" t="n">
        <v>70</v>
      </c>
      <c r="Q124" s="102" t="n">
        <v>70</v>
      </c>
      <c r="R124" s="102" t="n">
        <v>70</v>
      </c>
      <c r="S124" s="102" t="n">
        <v>70</v>
      </c>
      <c r="T124" s="102" t="n">
        <v>70</v>
      </c>
      <c r="U124" s="102" t="n">
        <v>70</v>
      </c>
      <c r="V124" s="102" t="n">
        <v>70</v>
      </c>
      <c r="W124" s="102" t="n">
        <v>70</v>
      </c>
      <c r="X124" s="102" t="n">
        <v>70</v>
      </c>
      <c r="Y124" s="102" t="n">
        <v>70</v>
      </c>
      <c r="Z124" s="102" t="n">
        <v>70</v>
      </c>
      <c r="AA124" s="102" t="n">
        <v>70</v>
      </c>
      <c r="AB124" s="102" t="n">
        <v>70</v>
      </c>
      <c r="AC124" s="102" t="n">
        <v>70</v>
      </c>
      <c r="AD124" s="102" t="n">
        <v>70</v>
      </c>
      <c r="AE124" s="102" t="n">
        <v>70</v>
      </c>
      <c r="AF124" s="102" t="n">
        <v>70</v>
      </c>
      <c r="AG124" s="102" t="n">
        <v>70</v>
      </c>
      <c r="AI124" s="103" t="n">
        <f aca="false">INDEX($F124:$AG124,1,MATCH(AI$7,$F$7:$AG$7,1))</f>
        <v>0</v>
      </c>
      <c r="AJ124" s="103" t="n">
        <f aca="false">INDEX($F124:$AG124,1,MATCH(AJ$7,$F$7:$AG$7,1))</f>
        <v>0</v>
      </c>
      <c r="AK124" s="103" t="n">
        <f aca="false">INDEX($F124:$AG124,1,MATCH(AK$7,$F$7:$AG$7,1))</f>
        <v>70</v>
      </c>
      <c r="AL124" s="103" t="n">
        <f aca="false">INDEX($F124:$AG124,1,MATCH(AL$7,$F$7:$AG$7,1))</f>
        <v>70</v>
      </c>
      <c r="AM124" s="103" t="n">
        <f aca="false">INDEX($F124:$AG124,1,MATCH(AM$7,$F$7:$AG$7,1))</f>
        <v>70</v>
      </c>
      <c r="AN124" s="103" t="n">
        <f aca="false">INDEX($F124:$AG124,1,MATCH(AN$7,$F$7:$AG$7,1))</f>
        <v>70</v>
      </c>
      <c r="AO124" s="103" t="n">
        <f aca="false">INDEX($F124:$AG124,1,MATCH(AO$7,$F$7:$AG$7,1))</f>
        <v>70</v>
      </c>
    </row>
    <row r="125" customFormat="false" ht="15" hidden="false" customHeight="false" outlineLevel="0" collapsed="false">
      <c r="A125" s="101" t="s">
        <v>1090</v>
      </c>
      <c r="B125" s="18" t="s">
        <v>415</v>
      </c>
      <c r="C125" s="18" t="s">
        <v>354</v>
      </c>
      <c r="D125" s="18"/>
      <c r="I125" s="102" t="n">
        <v>40</v>
      </c>
      <c r="J125" s="102" t="n">
        <v>40</v>
      </c>
      <c r="K125" s="102" t="n">
        <v>40</v>
      </c>
      <c r="L125" s="102" t="n">
        <v>40</v>
      </c>
      <c r="M125" s="102" t="n">
        <v>40</v>
      </c>
      <c r="N125" s="102" t="n">
        <v>40</v>
      </c>
      <c r="O125" s="102" t="n">
        <v>40</v>
      </c>
      <c r="P125" s="102" t="n">
        <v>40</v>
      </c>
      <c r="Q125" s="102" t="n">
        <v>40</v>
      </c>
      <c r="R125" s="102" t="n">
        <v>40</v>
      </c>
      <c r="S125" s="102" t="n">
        <v>40</v>
      </c>
      <c r="T125" s="102" t="n">
        <v>40</v>
      </c>
      <c r="U125" s="102" t="n">
        <v>40</v>
      </c>
      <c r="V125" s="102" t="n">
        <v>40</v>
      </c>
      <c r="W125" s="102" t="n">
        <v>40</v>
      </c>
      <c r="X125" s="102" t="n">
        <v>40</v>
      </c>
      <c r="Y125" s="102" t="n">
        <v>40</v>
      </c>
      <c r="Z125" s="102" t="n">
        <v>40</v>
      </c>
      <c r="AA125" s="102" t="n">
        <v>40</v>
      </c>
      <c r="AB125" s="102" t="n">
        <v>40</v>
      </c>
      <c r="AC125" s="102" t="n">
        <v>40</v>
      </c>
      <c r="AD125" s="102" t="n">
        <v>40</v>
      </c>
      <c r="AE125" s="102" t="n">
        <v>40</v>
      </c>
      <c r="AF125" s="102" t="n">
        <v>40</v>
      </c>
      <c r="AG125" s="102" t="n">
        <v>40</v>
      </c>
      <c r="AI125" s="103" t="n">
        <f aca="false">INDEX($F125:$AG125,1,MATCH(AI$7,$F$7:$AG$7,1))</f>
        <v>40</v>
      </c>
      <c r="AJ125" s="103" t="n">
        <f aca="false">INDEX($F125:$AG125,1,MATCH(AJ$7,$F$7:$AG$7,1))</f>
        <v>40</v>
      </c>
      <c r="AK125" s="103" t="n">
        <f aca="false">INDEX($F125:$AG125,1,MATCH(AK$7,$F$7:$AG$7,1))</f>
        <v>40</v>
      </c>
      <c r="AL125" s="103" t="n">
        <f aca="false">INDEX($F125:$AG125,1,MATCH(AL$7,$F$7:$AG$7,1))</f>
        <v>40</v>
      </c>
      <c r="AM125" s="103" t="n">
        <f aca="false">INDEX($F125:$AG125,1,MATCH(AM$7,$F$7:$AG$7,1))</f>
        <v>40</v>
      </c>
      <c r="AN125" s="103" t="n">
        <f aca="false">INDEX($F125:$AG125,1,MATCH(AN$7,$F$7:$AG$7,1))</f>
        <v>40</v>
      </c>
      <c r="AO125" s="103" t="n">
        <f aca="false">INDEX($F125:$AG125,1,MATCH(AO$7,$F$7:$AG$7,1))</f>
        <v>40</v>
      </c>
    </row>
    <row r="126" customFormat="false" ht="15" hidden="false" customHeight="false" outlineLevel="0" collapsed="false">
      <c r="A126" s="101" t="s">
        <v>1092</v>
      </c>
      <c r="B126" s="18" t="s">
        <v>415</v>
      </c>
      <c r="C126" s="18" t="s">
        <v>354</v>
      </c>
      <c r="D126" s="18"/>
      <c r="H126" s="102" t="n">
        <v>5</v>
      </c>
      <c r="I126" s="102" t="n">
        <v>5</v>
      </c>
      <c r="J126" s="102" t="n">
        <v>5</v>
      </c>
      <c r="K126" s="102" t="n">
        <v>5</v>
      </c>
      <c r="L126" s="102" t="n">
        <v>5</v>
      </c>
      <c r="M126" s="102" t="n">
        <v>5</v>
      </c>
      <c r="N126" s="102" t="n">
        <v>5</v>
      </c>
      <c r="O126" s="102" t="n">
        <v>5</v>
      </c>
      <c r="P126" s="102" t="n">
        <v>5</v>
      </c>
      <c r="Q126" s="102" t="n">
        <v>5</v>
      </c>
      <c r="R126" s="102" t="n">
        <v>5</v>
      </c>
      <c r="S126" s="102" t="n">
        <v>5</v>
      </c>
      <c r="T126" s="102" t="n">
        <v>5</v>
      </c>
      <c r="U126" s="102" t="n">
        <v>5</v>
      </c>
      <c r="V126" s="102" t="n">
        <v>5</v>
      </c>
      <c r="W126" s="102" t="n">
        <v>5</v>
      </c>
      <c r="X126" s="102" t="n">
        <v>5</v>
      </c>
      <c r="Y126" s="102" t="n">
        <v>5</v>
      </c>
      <c r="Z126" s="102" t="n">
        <v>5</v>
      </c>
      <c r="AA126" s="102" t="n">
        <v>5</v>
      </c>
      <c r="AB126" s="102" t="n">
        <v>5</v>
      </c>
      <c r="AC126" s="102" t="n">
        <v>5</v>
      </c>
      <c r="AD126" s="102" t="n">
        <v>5</v>
      </c>
      <c r="AE126" s="102" t="n">
        <v>5</v>
      </c>
      <c r="AF126" s="102" t="n">
        <v>5</v>
      </c>
      <c r="AG126" s="102" t="n">
        <v>5</v>
      </c>
      <c r="AI126" s="103" t="n">
        <f aca="false">INDEX($F126:$AG126,1,MATCH(AI$7,$F$7:$AG$7,1))</f>
        <v>5</v>
      </c>
      <c r="AJ126" s="103" t="n">
        <f aca="false">INDEX($F126:$AG126,1,MATCH(AJ$7,$F$7:$AG$7,1))</f>
        <v>5</v>
      </c>
      <c r="AK126" s="103" t="n">
        <f aca="false">INDEX($F126:$AG126,1,MATCH(AK$7,$F$7:$AG$7,1))</f>
        <v>5</v>
      </c>
      <c r="AL126" s="103" t="n">
        <f aca="false">INDEX($F126:$AG126,1,MATCH(AL$7,$F$7:$AG$7,1))</f>
        <v>5</v>
      </c>
      <c r="AM126" s="103" t="n">
        <f aca="false">INDEX($F126:$AG126,1,MATCH(AM$7,$F$7:$AG$7,1))</f>
        <v>5</v>
      </c>
      <c r="AN126" s="103" t="n">
        <f aca="false">INDEX($F126:$AG126,1,MATCH(AN$7,$F$7:$AG$7,1))</f>
        <v>5</v>
      </c>
      <c r="AO126" s="103" t="n">
        <f aca="false">INDEX($F126:$AG126,1,MATCH(AO$7,$F$7:$AG$7,1))</f>
        <v>5</v>
      </c>
    </row>
    <row r="127" customFormat="false" ht="15" hidden="false" customHeight="false" outlineLevel="0" collapsed="false">
      <c r="A127" s="101" t="s">
        <v>1094</v>
      </c>
      <c r="B127" s="18" t="s">
        <v>415</v>
      </c>
      <c r="C127" s="18" t="s">
        <v>354</v>
      </c>
      <c r="D127" s="18"/>
      <c r="I127" s="102" t="n">
        <v>10</v>
      </c>
      <c r="J127" s="102" t="n">
        <v>10</v>
      </c>
      <c r="K127" s="102" t="n">
        <v>10</v>
      </c>
      <c r="L127" s="102" t="n">
        <v>10</v>
      </c>
      <c r="M127" s="102" t="n">
        <v>10</v>
      </c>
      <c r="N127" s="102" t="n">
        <v>10</v>
      </c>
      <c r="O127" s="102" t="n">
        <v>10</v>
      </c>
      <c r="P127" s="102" t="n">
        <v>10</v>
      </c>
      <c r="Q127" s="102" t="n">
        <v>10</v>
      </c>
      <c r="R127" s="102" t="n">
        <v>10</v>
      </c>
      <c r="S127" s="102" t="n">
        <v>10</v>
      </c>
      <c r="T127" s="102" t="n">
        <v>10</v>
      </c>
      <c r="U127" s="102" t="n">
        <v>10</v>
      </c>
      <c r="V127" s="102" t="n">
        <v>10</v>
      </c>
      <c r="W127" s="102" t="n">
        <v>10</v>
      </c>
      <c r="X127" s="102" t="n">
        <v>10</v>
      </c>
      <c r="Y127" s="102" t="n">
        <v>10</v>
      </c>
      <c r="Z127" s="102" t="n">
        <v>10</v>
      </c>
      <c r="AA127" s="102" t="n">
        <v>10</v>
      </c>
      <c r="AB127" s="102" t="n">
        <v>10</v>
      </c>
      <c r="AC127" s="102" t="n">
        <v>10</v>
      </c>
      <c r="AD127" s="102" t="n">
        <v>10</v>
      </c>
      <c r="AE127" s="102" t="n">
        <v>10</v>
      </c>
      <c r="AF127" s="102" t="n">
        <v>10</v>
      </c>
      <c r="AG127" s="102" t="n">
        <v>10</v>
      </c>
      <c r="AI127" s="103" t="n">
        <f aca="false">INDEX($F127:$AG127,1,MATCH(AI$7,$F$7:$AG$7,1))</f>
        <v>10</v>
      </c>
      <c r="AJ127" s="103" t="n">
        <f aca="false">INDEX($F127:$AG127,1,MATCH(AJ$7,$F$7:$AG$7,1))</f>
        <v>10</v>
      </c>
      <c r="AK127" s="103" t="n">
        <f aca="false">INDEX($F127:$AG127,1,MATCH(AK$7,$F$7:$AG$7,1))</f>
        <v>10</v>
      </c>
      <c r="AL127" s="103" t="n">
        <f aca="false">INDEX($F127:$AG127,1,MATCH(AL$7,$F$7:$AG$7,1))</f>
        <v>10</v>
      </c>
      <c r="AM127" s="103" t="n">
        <f aca="false">INDEX($F127:$AG127,1,MATCH(AM$7,$F$7:$AG$7,1))</f>
        <v>10</v>
      </c>
      <c r="AN127" s="103" t="n">
        <f aca="false">INDEX($F127:$AG127,1,MATCH(AN$7,$F$7:$AG$7,1))</f>
        <v>10</v>
      </c>
      <c r="AO127" s="103" t="n">
        <f aca="false">INDEX($F127:$AG127,1,MATCH(AO$7,$F$7:$AG$7,1))</f>
        <v>10</v>
      </c>
    </row>
    <row r="128" customFormat="false" ht="15" hidden="false" customHeight="false" outlineLevel="0" collapsed="false">
      <c r="A128" s="101" t="s">
        <v>1095</v>
      </c>
      <c r="B128" s="18" t="s">
        <v>415</v>
      </c>
      <c r="C128" s="18" t="s">
        <v>354</v>
      </c>
      <c r="D128" s="18"/>
      <c r="K128" s="102" t="n">
        <v>16</v>
      </c>
      <c r="L128" s="102" t="n">
        <v>16</v>
      </c>
      <c r="M128" s="102" t="n">
        <v>16</v>
      </c>
      <c r="N128" s="102" t="n">
        <v>16</v>
      </c>
      <c r="O128" s="102" t="n">
        <v>19</v>
      </c>
      <c r="P128" s="102" t="n">
        <v>19</v>
      </c>
      <c r="Q128" s="102" t="n">
        <v>19</v>
      </c>
      <c r="R128" s="102" t="n">
        <v>19</v>
      </c>
      <c r="S128" s="102" t="n">
        <v>19</v>
      </c>
      <c r="T128" s="102" t="n">
        <v>19</v>
      </c>
      <c r="U128" s="102" t="n">
        <v>19</v>
      </c>
      <c r="V128" s="102" t="n">
        <v>19</v>
      </c>
      <c r="W128" s="102" t="n">
        <v>19</v>
      </c>
      <c r="X128" s="102" t="n">
        <v>19</v>
      </c>
      <c r="Y128" s="102" t="n">
        <v>19</v>
      </c>
      <c r="Z128" s="102" t="n">
        <v>19</v>
      </c>
      <c r="AA128" s="102" t="n">
        <v>19</v>
      </c>
      <c r="AB128" s="102" t="n">
        <v>19</v>
      </c>
      <c r="AC128" s="102" t="n">
        <v>19</v>
      </c>
      <c r="AD128" s="102" t="n">
        <v>19</v>
      </c>
      <c r="AE128" s="102" t="n">
        <v>19</v>
      </c>
      <c r="AF128" s="102" t="n">
        <v>19</v>
      </c>
      <c r="AG128" s="102" t="n">
        <v>19</v>
      </c>
      <c r="AI128" s="103" t="n">
        <f aca="false">INDEX($F128:$AG128,1,MATCH(AI$7,$F$7:$AG$7,1))</f>
        <v>0</v>
      </c>
      <c r="AJ128" s="103" t="n">
        <f aca="false">INDEX($F128:$AG128,1,MATCH(AJ$7,$F$7:$AG$7,1))</f>
        <v>16</v>
      </c>
      <c r="AK128" s="103" t="n">
        <f aca="false">INDEX($F128:$AG128,1,MATCH(AK$7,$F$7:$AG$7,1))</f>
        <v>19</v>
      </c>
      <c r="AL128" s="103" t="n">
        <f aca="false">INDEX($F128:$AG128,1,MATCH(AL$7,$F$7:$AG$7,1))</f>
        <v>19</v>
      </c>
      <c r="AM128" s="103" t="n">
        <f aca="false">INDEX($F128:$AG128,1,MATCH(AM$7,$F$7:$AG$7,1))</f>
        <v>19</v>
      </c>
      <c r="AN128" s="103" t="n">
        <f aca="false">INDEX($F128:$AG128,1,MATCH(AN$7,$F$7:$AG$7,1))</f>
        <v>19</v>
      </c>
      <c r="AO128" s="103" t="n">
        <f aca="false">INDEX($F128:$AG128,1,MATCH(AO$7,$F$7:$AG$7,1))</f>
        <v>19</v>
      </c>
    </row>
    <row r="129" customFormat="false" ht="15" hidden="false" customHeight="false" outlineLevel="0" collapsed="false">
      <c r="A129" s="101" t="s">
        <v>1097</v>
      </c>
      <c r="B129" s="18" t="s">
        <v>415</v>
      </c>
      <c r="C129" s="18" t="s">
        <v>354</v>
      </c>
      <c r="D129" s="18"/>
      <c r="O129" s="102" t="n">
        <v>22</v>
      </c>
      <c r="P129" s="102" t="n">
        <v>22</v>
      </c>
      <c r="Q129" s="102" t="n">
        <v>22</v>
      </c>
      <c r="R129" s="102" t="n">
        <v>22</v>
      </c>
      <c r="S129" s="102" t="n">
        <v>22</v>
      </c>
      <c r="T129" s="102" t="n">
        <v>22</v>
      </c>
      <c r="U129" s="102" t="n">
        <v>22</v>
      </c>
      <c r="V129" s="102" t="n">
        <v>22</v>
      </c>
      <c r="W129" s="102" t="n">
        <v>22</v>
      </c>
      <c r="X129" s="102" t="n">
        <v>22</v>
      </c>
      <c r="Y129" s="102" t="n">
        <v>22</v>
      </c>
      <c r="Z129" s="102" t="n">
        <v>22</v>
      </c>
      <c r="AA129" s="102" t="n">
        <v>22</v>
      </c>
      <c r="AB129" s="102" t="n">
        <v>22</v>
      </c>
      <c r="AC129" s="102" t="n">
        <v>22</v>
      </c>
      <c r="AD129" s="102" t="n">
        <v>22</v>
      </c>
      <c r="AE129" s="102" t="n">
        <v>22</v>
      </c>
      <c r="AF129" s="102" t="n">
        <v>22</v>
      </c>
      <c r="AG129" s="102" t="n">
        <v>22</v>
      </c>
      <c r="AI129" s="103" t="n">
        <f aca="false">INDEX($F129:$AG129,1,MATCH(AI$7,$F$7:$AG$7,1))</f>
        <v>0</v>
      </c>
      <c r="AJ129" s="103" t="n">
        <f aca="false">INDEX($F129:$AG129,1,MATCH(AJ$7,$F$7:$AG$7,1))</f>
        <v>0</v>
      </c>
      <c r="AK129" s="103" t="n">
        <f aca="false">INDEX($F129:$AG129,1,MATCH(AK$7,$F$7:$AG$7,1))</f>
        <v>22</v>
      </c>
      <c r="AL129" s="103" t="n">
        <f aca="false">INDEX($F129:$AG129,1,MATCH(AL$7,$F$7:$AG$7,1))</f>
        <v>22</v>
      </c>
      <c r="AM129" s="103" t="n">
        <f aca="false">INDEX($F129:$AG129,1,MATCH(AM$7,$F$7:$AG$7,1))</f>
        <v>22</v>
      </c>
      <c r="AN129" s="103" t="n">
        <f aca="false">INDEX($F129:$AG129,1,MATCH(AN$7,$F$7:$AG$7,1))</f>
        <v>22</v>
      </c>
      <c r="AO129" s="103" t="n">
        <f aca="false">INDEX($F129:$AG129,1,MATCH(AO$7,$F$7:$AG$7,1))</f>
        <v>22</v>
      </c>
    </row>
    <row r="130" customFormat="false" ht="15" hidden="false" customHeight="false" outlineLevel="0" collapsed="false">
      <c r="A130" s="101" t="s">
        <v>1098</v>
      </c>
      <c r="B130" s="18" t="s">
        <v>415</v>
      </c>
      <c r="C130" s="18" t="s">
        <v>354</v>
      </c>
      <c r="D130" s="18"/>
      <c r="AI130" s="103" t="n">
        <f aca="false">INDEX($F130:$AG130,1,MATCH(AI$7,$F$7:$AG$7,1))</f>
        <v>0</v>
      </c>
      <c r="AJ130" s="103" t="n">
        <f aca="false">INDEX($F130:$AG130,1,MATCH(AJ$7,$F$7:$AG$7,1))</f>
        <v>0</v>
      </c>
      <c r="AK130" s="103" t="n">
        <f aca="false">INDEX($F130:$AG130,1,MATCH(AK$7,$F$7:$AG$7,1))</f>
        <v>0</v>
      </c>
      <c r="AL130" s="103" t="n">
        <f aca="false">INDEX($F130:$AG130,1,MATCH(AL$7,$F$7:$AG$7,1))</f>
        <v>0</v>
      </c>
      <c r="AM130" s="103" t="n">
        <f aca="false">INDEX($F130:$AG130,1,MATCH(AM$7,$F$7:$AG$7,1))</f>
        <v>0</v>
      </c>
      <c r="AN130" s="103" t="n">
        <f aca="false">INDEX($F130:$AG130,1,MATCH(AN$7,$F$7:$AG$7,1))</f>
        <v>0</v>
      </c>
      <c r="AO130" s="103" t="n">
        <f aca="false">INDEX($F130:$AG130,1,MATCH(AO$7,$F$7:$AG$7,1))</f>
        <v>0</v>
      </c>
    </row>
    <row r="131" customFormat="false" ht="15" hidden="false" customHeight="false" outlineLevel="0" collapsed="false">
      <c r="A131" s="101" t="s">
        <v>1100</v>
      </c>
      <c r="B131" s="18" t="s">
        <v>415</v>
      </c>
      <c r="C131" s="18" t="s">
        <v>354</v>
      </c>
      <c r="D131" s="18"/>
      <c r="K131" s="102" t="n">
        <v>8</v>
      </c>
      <c r="L131" s="102" t="n">
        <v>8</v>
      </c>
      <c r="M131" s="102" t="n">
        <v>8</v>
      </c>
      <c r="N131" s="102" t="n">
        <v>8</v>
      </c>
      <c r="O131" s="102" t="n">
        <v>8</v>
      </c>
      <c r="P131" s="102" t="n">
        <v>8</v>
      </c>
      <c r="Q131" s="102" t="n">
        <v>8</v>
      </c>
      <c r="R131" s="102" t="n">
        <v>8</v>
      </c>
      <c r="S131" s="102" t="n">
        <v>8</v>
      </c>
      <c r="T131" s="102" t="n">
        <v>8</v>
      </c>
      <c r="U131" s="102" t="n">
        <v>8</v>
      </c>
      <c r="V131" s="102" t="n">
        <v>8</v>
      </c>
      <c r="W131" s="102" t="n">
        <v>8</v>
      </c>
      <c r="X131" s="102" t="n">
        <v>8</v>
      </c>
      <c r="Y131" s="102" t="n">
        <v>8</v>
      </c>
      <c r="Z131" s="102" t="n">
        <v>8</v>
      </c>
      <c r="AA131" s="102" t="n">
        <v>8</v>
      </c>
      <c r="AB131" s="102" t="n">
        <v>8</v>
      </c>
      <c r="AC131" s="102" t="n">
        <v>8</v>
      </c>
      <c r="AD131" s="102" t="n">
        <v>8</v>
      </c>
      <c r="AE131" s="102" t="n">
        <v>8</v>
      </c>
      <c r="AF131" s="102" t="n">
        <v>8</v>
      </c>
      <c r="AG131" s="102" t="n">
        <v>8</v>
      </c>
      <c r="AI131" s="103" t="n">
        <f aca="false">INDEX($F131:$AG131,1,MATCH(AI$7,$F$7:$AG$7,1))</f>
        <v>0</v>
      </c>
      <c r="AJ131" s="103" t="n">
        <f aca="false">INDEX($F131:$AG131,1,MATCH(AJ$7,$F$7:$AG$7,1))</f>
        <v>8</v>
      </c>
      <c r="AK131" s="103" t="n">
        <f aca="false">INDEX($F131:$AG131,1,MATCH(AK$7,$F$7:$AG$7,1))</f>
        <v>8</v>
      </c>
      <c r="AL131" s="103" t="n">
        <f aca="false">INDEX($F131:$AG131,1,MATCH(AL$7,$F$7:$AG$7,1))</f>
        <v>8</v>
      </c>
      <c r="AM131" s="103" t="n">
        <f aca="false">INDEX($F131:$AG131,1,MATCH(AM$7,$F$7:$AG$7,1))</f>
        <v>8</v>
      </c>
      <c r="AN131" s="103" t="n">
        <f aca="false">INDEX($F131:$AG131,1,MATCH(AN$7,$F$7:$AG$7,1))</f>
        <v>8</v>
      </c>
      <c r="AO131" s="103" t="n">
        <f aca="false">INDEX($F131:$AG131,1,MATCH(AO$7,$F$7:$AG$7,1))</f>
        <v>8</v>
      </c>
    </row>
    <row r="132" customFormat="false" ht="15" hidden="false" customHeight="false" outlineLevel="0" collapsed="false">
      <c r="A132" s="101" t="s">
        <v>1102</v>
      </c>
      <c r="B132" s="18" t="s">
        <v>415</v>
      </c>
      <c r="C132" s="18" t="s">
        <v>354</v>
      </c>
      <c r="D132" s="18"/>
      <c r="N132" s="102" t="n">
        <v>22</v>
      </c>
      <c r="O132" s="102" t="n">
        <v>22</v>
      </c>
      <c r="P132" s="102" t="n">
        <v>22</v>
      </c>
      <c r="Q132" s="102" t="n">
        <v>22</v>
      </c>
      <c r="R132" s="102" t="n">
        <v>22</v>
      </c>
      <c r="S132" s="102" t="n">
        <v>22</v>
      </c>
      <c r="T132" s="102" t="n">
        <v>22</v>
      </c>
      <c r="U132" s="102" t="n">
        <v>22</v>
      </c>
      <c r="V132" s="102" t="n">
        <v>22</v>
      </c>
      <c r="W132" s="102" t="n">
        <v>22</v>
      </c>
      <c r="X132" s="102" t="n">
        <v>22</v>
      </c>
      <c r="Y132" s="102" t="n">
        <v>22</v>
      </c>
      <c r="Z132" s="102" t="n">
        <v>22</v>
      </c>
      <c r="AA132" s="102" t="n">
        <v>22</v>
      </c>
      <c r="AB132" s="102" t="n">
        <v>22</v>
      </c>
      <c r="AC132" s="102" t="n">
        <v>22</v>
      </c>
      <c r="AD132" s="102" t="n">
        <v>22</v>
      </c>
      <c r="AE132" s="102" t="n">
        <v>22</v>
      </c>
      <c r="AF132" s="102" t="n">
        <v>22</v>
      </c>
      <c r="AG132" s="102" t="n">
        <v>22</v>
      </c>
      <c r="AI132" s="103" t="n">
        <f aca="false">INDEX($F132:$AG132,1,MATCH(AI$7,$F$7:$AG$7,1))</f>
        <v>0</v>
      </c>
      <c r="AJ132" s="103" t="n">
        <f aca="false">INDEX($F132:$AG132,1,MATCH(AJ$7,$F$7:$AG$7,1))</f>
        <v>0</v>
      </c>
      <c r="AK132" s="103" t="n">
        <f aca="false">INDEX($F132:$AG132,1,MATCH(AK$7,$F$7:$AG$7,1))</f>
        <v>22</v>
      </c>
      <c r="AL132" s="103" t="n">
        <f aca="false">INDEX($F132:$AG132,1,MATCH(AL$7,$F$7:$AG$7,1))</f>
        <v>22</v>
      </c>
      <c r="AM132" s="103" t="n">
        <f aca="false">INDEX($F132:$AG132,1,MATCH(AM$7,$F$7:$AG$7,1))</f>
        <v>22</v>
      </c>
      <c r="AN132" s="103" t="n">
        <f aca="false">INDEX($F132:$AG132,1,MATCH(AN$7,$F$7:$AG$7,1))</f>
        <v>22</v>
      </c>
      <c r="AO132" s="103" t="n">
        <f aca="false">INDEX($F132:$AG132,1,MATCH(AO$7,$F$7:$AG$7,1))</f>
        <v>22</v>
      </c>
    </row>
    <row r="133" customFormat="false" ht="15" hidden="false" customHeight="false" outlineLevel="0" collapsed="false">
      <c r="A133" s="101" t="s">
        <v>1103</v>
      </c>
      <c r="B133" s="18" t="s">
        <v>415</v>
      </c>
      <c r="C133" s="18" t="s">
        <v>354</v>
      </c>
      <c r="D133" s="18"/>
      <c r="N133" s="102" t="n">
        <v>58</v>
      </c>
      <c r="O133" s="102" t="n">
        <v>58</v>
      </c>
      <c r="P133" s="102" t="n">
        <v>58</v>
      </c>
      <c r="Q133" s="102" t="n">
        <v>58</v>
      </c>
      <c r="R133" s="102" t="n">
        <v>58</v>
      </c>
      <c r="S133" s="102" t="n">
        <v>58</v>
      </c>
      <c r="T133" s="102" t="n">
        <v>58</v>
      </c>
      <c r="U133" s="102" t="n">
        <v>58</v>
      </c>
      <c r="V133" s="102" t="n">
        <v>58</v>
      </c>
      <c r="W133" s="102" t="n">
        <v>58</v>
      </c>
      <c r="X133" s="102" t="n">
        <v>58</v>
      </c>
      <c r="Y133" s="102" t="n">
        <v>58</v>
      </c>
      <c r="Z133" s="102" t="n">
        <v>58</v>
      </c>
      <c r="AA133" s="102" t="n">
        <v>58</v>
      </c>
      <c r="AB133" s="102" t="n">
        <v>58</v>
      </c>
      <c r="AC133" s="102" t="n">
        <v>58</v>
      </c>
      <c r="AD133" s="102" t="n">
        <v>58</v>
      </c>
      <c r="AE133" s="102" t="n">
        <v>58</v>
      </c>
      <c r="AF133" s="102" t="n">
        <v>58</v>
      </c>
      <c r="AG133" s="102" t="n">
        <v>58</v>
      </c>
      <c r="AI133" s="103" t="n">
        <f aca="false">INDEX($F133:$AG133,1,MATCH(AI$7,$F$7:$AG$7,1))</f>
        <v>0</v>
      </c>
      <c r="AJ133" s="103" t="n">
        <f aca="false">INDEX($F133:$AG133,1,MATCH(AJ$7,$F$7:$AG$7,1))</f>
        <v>0</v>
      </c>
      <c r="AK133" s="103" t="n">
        <f aca="false">INDEX($F133:$AG133,1,MATCH(AK$7,$F$7:$AG$7,1))</f>
        <v>58</v>
      </c>
      <c r="AL133" s="103" t="n">
        <f aca="false">INDEX($F133:$AG133,1,MATCH(AL$7,$F$7:$AG$7,1))</f>
        <v>58</v>
      </c>
      <c r="AM133" s="103" t="n">
        <f aca="false">INDEX($F133:$AG133,1,MATCH(AM$7,$F$7:$AG$7,1))</f>
        <v>58</v>
      </c>
      <c r="AN133" s="103" t="n">
        <f aca="false">INDEX($F133:$AG133,1,MATCH(AN$7,$F$7:$AG$7,1))</f>
        <v>58</v>
      </c>
      <c r="AO133" s="103" t="n">
        <f aca="false">INDEX($F133:$AG133,1,MATCH(AO$7,$F$7:$AG$7,1))</f>
        <v>58</v>
      </c>
    </row>
    <row r="134" customFormat="false" ht="15" hidden="false" customHeight="false" outlineLevel="0" collapsed="false">
      <c r="A134" s="101" t="s">
        <v>1104</v>
      </c>
      <c r="B134" s="18" t="s">
        <v>415</v>
      </c>
      <c r="C134" s="18" t="s">
        <v>354</v>
      </c>
      <c r="D134" s="18"/>
      <c r="O134" s="102" t="n">
        <v>18</v>
      </c>
      <c r="P134" s="102" t="n">
        <v>18</v>
      </c>
      <c r="Q134" s="102" t="n">
        <v>18</v>
      </c>
      <c r="R134" s="102" t="n">
        <v>18</v>
      </c>
      <c r="S134" s="102" t="n">
        <v>18</v>
      </c>
      <c r="T134" s="102" t="n">
        <v>18</v>
      </c>
      <c r="U134" s="102" t="n">
        <v>18</v>
      </c>
      <c r="V134" s="102" t="n">
        <v>18</v>
      </c>
      <c r="W134" s="102" t="n">
        <v>18</v>
      </c>
      <c r="X134" s="102" t="n">
        <v>18</v>
      </c>
      <c r="Y134" s="102" t="n">
        <v>18</v>
      </c>
      <c r="Z134" s="102" t="n">
        <v>18</v>
      </c>
      <c r="AA134" s="102" t="n">
        <v>18</v>
      </c>
      <c r="AB134" s="102" t="n">
        <v>18</v>
      </c>
      <c r="AC134" s="102" t="n">
        <v>18</v>
      </c>
      <c r="AD134" s="102" t="n">
        <v>18</v>
      </c>
      <c r="AE134" s="102" t="n">
        <v>18</v>
      </c>
      <c r="AF134" s="102" t="n">
        <v>18</v>
      </c>
      <c r="AG134" s="102" t="n">
        <v>18</v>
      </c>
      <c r="AI134" s="103" t="n">
        <f aca="false">INDEX($F134:$AG134,1,MATCH(AI$7,$F$7:$AG$7,1))</f>
        <v>0</v>
      </c>
      <c r="AJ134" s="103" t="n">
        <f aca="false">INDEX($F134:$AG134,1,MATCH(AJ$7,$F$7:$AG$7,1))</f>
        <v>0</v>
      </c>
      <c r="AK134" s="103" t="n">
        <f aca="false">INDEX($F134:$AG134,1,MATCH(AK$7,$F$7:$AG$7,1))</f>
        <v>18</v>
      </c>
      <c r="AL134" s="103" t="n">
        <f aca="false">INDEX($F134:$AG134,1,MATCH(AL$7,$F$7:$AG$7,1))</f>
        <v>18</v>
      </c>
      <c r="AM134" s="103" t="n">
        <f aca="false">INDEX($F134:$AG134,1,MATCH(AM$7,$F$7:$AG$7,1))</f>
        <v>18</v>
      </c>
      <c r="AN134" s="103" t="n">
        <f aca="false">INDEX($F134:$AG134,1,MATCH(AN$7,$F$7:$AG$7,1))</f>
        <v>18</v>
      </c>
      <c r="AO134" s="103" t="n">
        <f aca="false">INDEX($F134:$AG134,1,MATCH(AO$7,$F$7:$AG$7,1))</f>
        <v>18</v>
      </c>
    </row>
    <row r="135" customFormat="false" ht="15" hidden="false" customHeight="false" outlineLevel="0" collapsed="false">
      <c r="A135" s="101" t="s">
        <v>1105</v>
      </c>
      <c r="B135" s="18" t="s">
        <v>415</v>
      </c>
      <c r="C135" s="18" t="s">
        <v>354</v>
      </c>
      <c r="D135" s="18"/>
      <c r="O135" s="102" t="n">
        <v>22</v>
      </c>
      <c r="P135" s="102" t="n">
        <v>22</v>
      </c>
      <c r="Q135" s="102" t="n">
        <v>22</v>
      </c>
      <c r="R135" s="102" t="n">
        <v>22</v>
      </c>
      <c r="S135" s="102" t="n">
        <v>22</v>
      </c>
      <c r="T135" s="102" t="n">
        <v>22</v>
      </c>
      <c r="U135" s="102" t="n">
        <v>22</v>
      </c>
      <c r="V135" s="102" t="n">
        <v>22</v>
      </c>
      <c r="W135" s="102" t="n">
        <v>22</v>
      </c>
      <c r="X135" s="102" t="n">
        <v>22</v>
      </c>
      <c r="Y135" s="102" t="n">
        <v>22</v>
      </c>
      <c r="Z135" s="102" t="n">
        <v>22</v>
      </c>
      <c r="AA135" s="102" t="n">
        <v>22</v>
      </c>
      <c r="AB135" s="102" t="n">
        <v>22</v>
      </c>
      <c r="AC135" s="102" t="n">
        <v>22</v>
      </c>
      <c r="AD135" s="102" t="n">
        <v>22</v>
      </c>
      <c r="AE135" s="102" t="n">
        <v>22</v>
      </c>
      <c r="AF135" s="102" t="n">
        <v>22</v>
      </c>
      <c r="AG135" s="102" t="n">
        <v>22</v>
      </c>
      <c r="AI135" s="103" t="n">
        <f aca="false">INDEX($F135:$AG135,1,MATCH(AI$7,$F$7:$AG$7,1))</f>
        <v>0</v>
      </c>
      <c r="AJ135" s="103" t="n">
        <f aca="false">INDEX($F135:$AG135,1,MATCH(AJ$7,$F$7:$AG$7,1))</f>
        <v>0</v>
      </c>
      <c r="AK135" s="103" t="n">
        <f aca="false">INDEX($F135:$AG135,1,MATCH(AK$7,$F$7:$AG$7,1))</f>
        <v>22</v>
      </c>
      <c r="AL135" s="103" t="n">
        <f aca="false">INDEX($F135:$AG135,1,MATCH(AL$7,$F$7:$AG$7,1))</f>
        <v>22</v>
      </c>
      <c r="AM135" s="103" t="n">
        <f aca="false">INDEX($F135:$AG135,1,MATCH(AM$7,$F$7:$AG$7,1))</f>
        <v>22</v>
      </c>
      <c r="AN135" s="103" t="n">
        <f aca="false">INDEX($F135:$AG135,1,MATCH(AN$7,$F$7:$AG$7,1))</f>
        <v>22</v>
      </c>
      <c r="AO135" s="103" t="n">
        <f aca="false">INDEX($F135:$AG135,1,MATCH(AO$7,$F$7:$AG$7,1))</f>
        <v>22</v>
      </c>
    </row>
    <row r="136" customFormat="false" ht="15" hidden="false" customHeight="false" outlineLevel="0" collapsed="false">
      <c r="A136" s="101" t="s">
        <v>1106</v>
      </c>
      <c r="B136" s="18" t="s">
        <v>415</v>
      </c>
      <c r="C136" s="18" t="s">
        <v>354</v>
      </c>
      <c r="D136" s="18"/>
      <c r="AI136" s="103" t="n">
        <f aca="false">INDEX($F136:$AG136,1,MATCH(AI$7,$F$7:$AG$7,1))</f>
        <v>0</v>
      </c>
      <c r="AJ136" s="103" t="n">
        <f aca="false">INDEX($F136:$AG136,1,MATCH(AJ$7,$F$7:$AG$7,1))</f>
        <v>0</v>
      </c>
      <c r="AK136" s="103" t="n">
        <f aca="false">INDEX($F136:$AG136,1,MATCH(AK$7,$F$7:$AG$7,1))</f>
        <v>0</v>
      </c>
      <c r="AL136" s="103" t="n">
        <f aca="false">INDEX($F136:$AG136,1,MATCH(AL$7,$F$7:$AG$7,1))</f>
        <v>0</v>
      </c>
      <c r="AM136" s="103" t="n">
        <f aca="false">INDEX($F136:$AG136,1,MATCH(AM$7,$F$7:$AG$7,1))</f>
        <v>0</v>
      </c>
      <c r="AN136" s="103" t="n">
        <f aca="false">INDEX($F136:$AG136,1,MATCH(AN$7,$F$7:$AG$7,1))</f>
        <v>0</v>
      </c>
      <c r="AO136" s="103" t="n">
        <f aca="false">INDEX($F136:$AG136,1,MATCH(AO$7,$F$7:$AG$7,1))</f>
        <v>0</v>
      </c>
    </row>
    <row r="137" customFormat="false" ht="15" hidden="false" customHeight="false" outlineLevel="0" collapsed="false">
      <c r="A137" s="101" t="s">
        <v>1108</v>
      </c>
      <c r="B137" s="18" t="s">
        <v>415</v>
      </c>
      <c r="C137" s="18" t="s">
        <v>354</v>
      </c>
      <c r="D137" s="18"/>
      <c r="AI137" s="103" t="n">
        <f aca="false">INDEX($F137:$AG137,1,MATCH(AI$7,$F$7:$AG$7,1))</f>
        <v>0</v>
      </c>
      <c r="AJ137" s="103" t="n">
        <f aca="false">INDEX($F137:$AG137,1,MATCH(AJ$7,$F$7:$AG$7,1))</f>
        <v>0</v>
      </c>
      <c r="AK137" s="103" t="n">
        <f aca="false">INDEX($F137:$AG137,1,MATCH(AK$7,$F$7:$AG$7,1))</f>
        <v>0</v>
      </c>
      <c r="AL137" s="103" t="n">
        <f aca="false">INDEX($F137:$AG137,1,MATCH(AL$7,$F$7:$AG$7,1))</f>
        <v>0</v>
      </c>
      <c r="AM137" s="103" t="n">
        <f aca="false">INDEX($F137:$AG137,1,MATCH(AM$7,$F$7:$AG$7,1))</f>
        <v>0</v>
      </c>
      <c r="AN137" s="103" t="n">
        <f aca="false">INDEX($F137:$AG137,1,MATCH(AN$7,$F$7:$AG$7,1))</f>
        <v>0</v>
      </c>
      <c r="AO137" s="103" t="n">
        <f aca="false">INDEX($F137:$AG137,1,MATCH(AO$7,$F$7:$AG$7,1))</f>
        <v>0</v>
      </c>
    </row>
    <row r="138" customFormat="false" ht="15" hidden="false" customHeight="false" outlineLevel="0" collapsed="false">
      <c r="A138" s="101" t="s">
        <v>1109</v>
      </c>
      <c r="B138" s="18" t="s">
        <v>415</v>
      </c>
      <c r="C138" s="18" t="s">
        <v>354</v>
      </c>
      <c r="D138" s="18"/>
      <c r="AI138" s="103" t="n">
        <f aca="false">INDEX($F138:$AG138,1,MATCH(AI$7,$F$7:$AG$7,1))</f>
        <v>0</v>
      </c>
      <c r="AJ138" s="103" t="n">
        <f aca="false">INDEX($F138:$AG138,1,MATCH(AJ$7,$F$7:$AG$7,1))</f>
        <v>0</v>
      </c>
      <c r="AK138" s="103" t="n">
        <f aca="false">INDEX($F138:$AG138,1,MATCH(AK$7,$F$7:$AG$7,1))</f>
        <v>0</v>
      </c>
      <c r="AL138" s="103" t="n">
        <f aca="false">INDEX($F138:$AG138,1,MATCH(AL$7,$F$7:$AG$7,1))</f>
        <v>0</v>
      </c>
      <c r="AM138" s="103" t="n">
        <f aca="false">INDEX($F138:$AG138,1,MATCH(AM$7,$F$7:$AG$7,1))</f>
        <v>0</v>
      </c>
      <c r="AN138" s="103" t="n">
        <f aca="false">INDEX($F138:$AG138,1,MATCH(AN$7,$F$7:$AG$7,1))</f>
        <v>0</v>
      </c>
      <c r="AO138" s="103" t="n">
        <f aca="false">INDEX($F138:$AG138,1,MATCH(AO$7,$F$7:$AG$7,1))</f>
        <v>0</v>
      </c>
    </row>
    <row r="139" customFormat="false" ht="15" hidden="false" customHeight="false" outlineLevel="0" collapsed="false">
      <c r="A139" s="101" t="s">
        <v>1110</v>
      </c>
      <c r="B139" s="18" t="s">
        <v>415</v>
      </c>
      <c r="C139" s="18" t="s">
        <v>354</v>
      </c>
      <c r="D139" s="18"/>
      <c r="P139" s="102" t="n">
        <v>50</v>
      </c>
      <c r="Q139" s="102" t="n">
        <v>50</v>
      </c>
      <c r="R139" s="102" t="n">
        <v>50</v>
      </c>
      <c r="S139" s="102" t="n">
        <v>50</v>
      </c>
      <c r="T139" s="102" t="n">
        <v>50</v>
      </c>
      <c r="U139" s="102" t="n">
        <v>50</v>
      </c>
      <c r="V139" s="102" t="n">
        <v>50</v>
      </c>
      <c r="W139" s="102" t="n">
        <v>50</v>
      </c>
      <c r="X139" s="102" t="n">
        <v>50</v>
      </c>
      <c r="Y139" s="102" t="n">
        <v>50</v>
      </c>
      <c r="Z139" s="102" t="n">
        <v>50</v>
      </c>
      <c r="AA139" s="102" t="n">
        <v>50</v>
      </c>
      <c r="AB139" s="102" t="n">
        <v>50</v>
      </c>
      <c r="AC139" s="102" t="n">
        <v>50</v>
      </c>
      <c r="AD139" s="102" t="n">
        <v>50</v>
      </c>
      <c r="AE139" s="102" t="n">
        <v>50</v>
      </c>
      <c r="AF139" s="102" t="n">
        <v>50</v>
      </c>
      <c r="AG139" s="102" t="n">
        <v>50</v>
      </c>
      <c r="AI139" s="103" t="n">
        <f aca="false">INDEX($F139:$AG139,1,MATCH(AI$7,$F$7:$AG$7,1))</f>
        <v>0</v>
      </c>
      <c r="AJ139" s="103" t="n">
        <f aca="false">INDEX($F139:$AG139,1,MATCH(AJ$7,$F$7:$AG$7,1))</f>
        <v>0</v>
      </c>
      <c r="AK139" s="103" t="n">
        <f aca="false">INDEX($F139:$AG139,1,MATCH(AK$7,$F$7:$AG$7,1))</f>
        <v>50</v>
      </c>
      <c r="AL139" s="103" t="n">
        <f aca="false">INDEX($F139:$AG139,1,MATCH(AL$7,$F$7:$AG$7,1))</f>
        <v>50</v>
      </c>
      <c r="AM139" s="103" t="n">
        <f aca="false">INDEX($F139:$AG139,1,MATCH(AM$7,$F$7:$AG$7,1))</f>
        <v>50</v>
      </c>
      <c r="AN139" s="103" t="n">
        <f aca="false">INDEX($F139:$AG139,1,MATCH(AN$7,$F$7:$AG$7,1))</f>
        <v>50</v>
      </c>
      <c r="AO139" s="103" t="n">
        <f aca="false">INDEX($F139:$AG139,1,MATCH(AO$7,$F$7:$AG$7,1))</f>
        <v>50</v>
      </c>
    </row>
    <row r="140" customFormat="false" ht="15" hidden="false" customHeight="false" outlineLevel="0" collapsed="false">
      <c r="A140" s="101" t="s">
        <v>1111</v>
      </c>
      <c r="B140" s="18" t="s">
        <v>415</v>
      </c>
      <c r="C140" s="18" t="s">
        <v>354</v>
      </c>
      <c r="D140" s="18"/>
      <c r="AI140" s="103" t="n">
        <f aca="false">INDEX($F140:$AG140,1,MATCH(AI$7,$F$7:$AG$7,1))</f>
        <v>0</v>
      </c>
      <c r="AJ140" s="103" t="n">
        <f aca="false">INDEX($F140:$AG140,1,MATCH(AJ$7,$F$7:$AG$7,1))</f>
        <v>0</v>
      </c>
      <c r="AK140" s="103" t="n">
        <f aca="false">INDEX($F140:$AG140,1,MATCH(AK$7,$F$7:$AG$7,1))</f>
        <v>0</v>
      </c>
      <c r="AL140" s="103" t="n">
        <f aca="false">INDEX($F140:$AG140,1,MATCH(AL$7,$F$7:$AG$7,1))</f>
        <v>0</v>
      </c>
      <c r="AM140" s="103" t="n">
        <f aca="false">INDEX($F140:$AG140,1,MATCH(AM$7,$F$7:$AG$7,1))</f>
        <v>0</v>
      </c>
      <c r="AN140" s="103" t="n">
        <f aca="false">INDEX($F140:$AG140,1,MATCH(AN$7,$F$7:$AG$7,1))</f>
        <v>0</v>
      </c>
      <c r="AO140" s="103" t="n">
        <f aca="false">INDEX($F140:$AG140,1,MATCH(AO$7,$F$7:$AG$7,1))</f>
        <v>0</v>
      </c>
    </row>
    <row r="141" customFormat="false" ht="15" hidden="false" customHeight="false" outlineLevel="0" collapsed="false">
      <c r="A141" s="101" t="s">
        <v>1196</v>
      </c>
      <c r="B141" s="18" t="s">
        <v>415</v>
      </c>
      <c r="C141" s="18" t="s">
        <v>354</v>
      </c>
      <c r="D141" s="18" t="s">
        <v>1197</v>
      </c>
      <c r="E141" s="0" t="s">
        <v>1077</v>
      </c>
      <c r="M141" s="107" t="n">
        <v>2000</v>
      </c>
      <c r="N141" s="102" t="n">
        <v>2750</v>
      </c>
      <c r="O141" s="107" t="n">
        <v>3500</v>
      </c>
      <c r="P141" s="102" t="n">
        <v>4250</v>
      </c>
      <c r="Q141" s="107" t="n">
        <v>5000</v>
      </c>
      <c r="R141" s="102" t="n">
        <v>5000</v>
      </c>
      <c r="S141" s="102" t="n">
        <v>5000</v>
      </c>
      <c r="T141" s="102" t="n">
        <v>5000</v>
      </c>
      <c r="U141" s="102" t="n">
        <v>5000</v>
      </c>
      <c r="V141" s="102" t="n">
        <v>5000</v>
      </c>
      <c r="W141" s="102" t="n">
        <v>5000</v>
      </c>
      <c r="X141" s="102" t="n">
        <v>5000</v>
      </c>
      <c r="Y141" s="102" t="n">
        <v>5000</v>
      </c>
      <c r="Z141" s="102" t="n">
        <v>5000</v>
      </c>
      <c r="AA141" s="102" t="n">
        <v>5000</v>
      </c>
      <c r="AB141" s="102" t="n">
        <v>5000</v>
      </c>
      <c r="AC141" s="102" t="n">
        <v>5000</v>
      </c>
      <c r="AD141" s="102" t="n">
        <v>5000</v>
      </c>
      <c r="AE141" s="102" t="n">
        <v>5000</v>
      </c>
      <c r="AF141" s="102" t="n">
        <v>5000</v>
      </c>
      <c r="AG141" s="102" t="n">
        <v>5000</v>
      </c>
      <c r="AI141" s="103" t="n">
        <f aca="false">INDEX($F141:$AG141,1,MATCH(AI$7,$F$7:$AG$7,1))</f>
        <v>0</v>
      </c>
      <c r="AJ141" s="103" t="n">
        <f aca="false">INDEX($F141:$AG141,1,MATCH(AJ$7,$F$7:$AG$7,1))</f>
        <v>2000</v>
      </c>
      <c r="AK141" s="103" t="n">
        <f aca="false">INDEX($F141:$AG141,1,MATCH(AK$7,$F$7:$AG$7,1))</f>
        <v>5000</v>
      </c>
      <c r="AL141" s="103" t="n">
        <f aca="false">INDEX($F141:$AG141,1,MATCH(AL$7,$F$7:$AG$7,1))</f>
        <v>5000</v>
      </c>
      <c r="AM141" s="103" t="n">
        <f aca="false">INDEX($F141:$AG141,1,MATCH(AM$7,$F$7:$AG$7,1))</f>
        <v>5000</v>
      </c>
      <c r="AN141" s="103" t="n">
        <f aca="false">INDEX($F141:$AG141,1,MATCH(AN$7,$F$7:$AG$7,1))</f>
        <v>5000</v>
      </c>
      <c r="AO141" s="103" t="n">
        <f aca="false">INDEX($F141:$AG141,1,MATCH(AO$7,$F$7:$AG$7,1))</f>
        <v>5000</v>
      </c>
    </row>
    <row r="142" customFormat="false" ht="15" hidden="false" customHeight="false" outlineLevel="0" collapsed="false">
      <c r="A142" s="101" t="s">
        <v>1198</v>
      </c>
      <c r="B142" s="18" t="s">
        <v>415</v>
      </c>
      <c r="C142" s="18" t="s">
        <v>336</v>
      </c>
      <c r="D142" s="18" t="s">
        <v>1199</v>
      </c>
      <c r="F142" s="106" t="n">
        <f aca="false">MAX(0,N(F141)*(1/PUE)-SUMPRODUCT(F117:F140,$F$12:$F$35))</f>
        <v>0</v>
      </c>
      <c r="G142" s="106" t="n">
        <f aca="false">MAX(0,N(G141)*(1/PUE)-SUMPRODUCT(G117:G140,$F$12:$F$35))</f>
        <v>0</v>
      </c>
      <c r="H142" s="106" t="n">
        <f aca="false">MAX(0,N(H141)*(1/PUE)-SUMPRODUCT(H117:H140,$F$12:$F$35))</f>
        <v>0</v>
      </c>
      <c r="I142" s="106" t="n">
        <f aca="false">MAX(0,N(I141)*(1/PUE)-SUMPRODUCT(I117:I140,$F$12:$F$35))</f>
        <v>0</v>
      </c>
      <c r="J142" s="106" t="n">
        <f aca="false">MAX(0,N(J141)*(1/PUE)-SUMPRODUCT(J117:J140,$F$12:$F$35))</f>
        <v>0</v>
      </c>
      <c r="K142" s="106" t="n">
        <f aca="false">MAX(0,N(K141)*(1/PUE)-SUMPRODUCT(K117:K140,$F$12:$F$35))</f>
        <v>0</v>
      </c>
      <c r="L142" s="106" t="n">
        <f aca="false">MAX(0,N(L141)*(1/PUE)-SUMPRODUCT(L117:L140,$F$12:$F$35))</f>
        <v>0</v>
      </c>
      <c r="M142" s="106" t="n">
        <f aca="false">MAX(0,N(M141)*(1/PUE)-SUMPRODUCT(M117:M140,$F$12:$F$35))</f>
        <v>0</v>
      </c>
      <c r="N142" s="106" t="n">
        <f aca="false">MAX(0,N(N141)*(1/PUE)-SUMPRODUCT(N117:N140,$F$12:$F$35))</f>
        <v>42</v>
      </c>
      <c r="O142" s="106" t="n">
        <f aca="false">MAX(0,N(O141)*(1/PUE)-SUMPRODUCT(O117:O140,$F$12:$F$35))</f>
        <v>0</v>
      </c>
      <c r="P142" s="103" t="n">
        <f aca="false">MAX(0,N(P141)*(1/PUE)-SUMPRODUCT(P117:P140,$F$12:$F$35))</f>
        <v>111</v>
      </c>
      <c r="Q142" s="103" t="n">
        <f aca="false">MAX(0,N(Q141)*(1/PUE)-SUMPRODUCT(Q117:Q140,$F$12:$F$35))</f>
        <v>711</v>
      </c>
      <c r="R142" s="103" t="n">
        <f aca="false">MAX(0,N(R141)*(1/PUE)-SUMPRODUCT(R117:R140,$F$12:$F$35))</f>
        <v>711</v>
      </c>
      <c r="S142" s="103" t="n">
        <f aca="false">MAX(0,N(S141)*(1/PUE)-SUMPRODUCT(S117:S140,$F$12:$F$35))</f>
        <v>711</v>
      </c>
      <c r="T142" s="103" t="n">
        <f aca="false">MAX(0,N(T141)*(1/PUE)-SUMPRODUCT(T117:T140,$F$12:$F$35))</f>
        <v>711</v>
      </c>
      <c r="U142" s="103" t="n">
        <f aca="false">MAX(0,N(U141)*(1/PUE)-SUMPRODUCT(U117:U140,$F$12:$F$35))</f>
        <v>711</v>
      </c>
      <c r="V142" s="103" t="n">
        <f aca="false">MAX(0,N(V141)*(1/PUE)-SUMPRODUCT(V117:V140,$F$12:$F$35))</f>
        <v>711</v>
      </c>
      <c r="W142" s="103" t="n">
        <f aca="false">MAX(0,N(W141)*(1/PUE)-SUMPRODUCT(W117:W140,$F$12:$F$35))</f>
        <v>711</v>
      </c>
      <c r="X142" s="103" t="n">
        <f aca="false">MAX(0,N(X141)*(1/PUE)-SUMPRODUCT(X117:X140,$F$12:$F$35))</f>
        <v>711</v>
      </c>
      <c r="Y142" s="103" t="n">
        <f aca="false">MAX(0,N(Y141)*(1/PUE)-SUMPRODUCT(Y117:Y140,$F$12:$F$35))</f>
        <v>711</v>
      </c>
      <c r="Z142" s="103" t="n">
        <f aca="false">MAX(0,N(Z141)*(1/PUE)-SUMPRODUCT(Z117:Z140,$F$12:$F$35))</f>
        <v>711</v>
      </c>
      <c r="AA142" s="103" t="n">
        <f aca="false">MAX(0,N(AA141)*(1/PUE)-SUMPRODUCT(AA117:AA140,$F$12:$F$35))</f>
        <v>711</v>
      </c>
      <c r="AB142" s="103" t="n">
        <f aca="false">MAX(0,N(AB141)*(1/PUE)-SUMPRODUCT(AB117:AB140,$F$12:$F$35))</f>
        <v>711</v>
      </c>
      <c r="AC142" s="103" t="n">
        <f aca="false">MAX(0,N(AC141)*(1/PUE)-SUMPRODUCT(AC117:AC140,$F$12:$F$35))</f>
        <v>711</v>
      </c>
      <c r="AD142" s="103" t="n">
        <f aca="false">MAX(0,N(AD141)*(1/PUE)-SUMPRODUCT(AD117:AD140,$F$12:$F$35))</f>
        <v>711</v>
      </c>
      <c r="AE142" s="103" t="n">
        <f aca="false">MAX(0,N(AE141)*(1/PUE)-SUMPRODUCT(AE117:AE140,$F$12:$F$35))</f>
        <v>711</v>
      </c>
      <c r="AF142" s="103" t="n">
        <f aca="false">MAX(0,N(AF141)*(1/PUE)-SUMPRODUCT(AF117:AF140,$F$12:$F$35))</f>
        <v>711</v>
      </c>
      <c r="AG142" s="103" t="n">
        <f aca="false">MAX(0,N(AG141)*(1/PUE)-SUMPRODUCT(AG117:AG140,$F$12:$F$35))</f>
        <v>711</v>
      </c>
      <c r="AI142" s="103" t="n">
        <f aca="false">INDEX($F142:$AG142,1,MATCH(AI$7,$F$7:$AG$7,1))</f>
        <v>0</v>
      </c>
      <c r="AJ142" s="103" t="n">
        <f aca="false">INDEX($F142:$AG142,1,MATCH(AJ$7,$F$7:$AG$7,1))</f>
        <v>0</v>
      </c>
      <c r="AK142" s="103" t="n">
        <f aca="false">INDEX($F142:$AG142,1,MATCH(AK$7,$F$7:$AG$7,1))</f>
        <v>711</v>
      </c>
      <c r="AL142" s="103" t="n">
        <f aca="false">INDEX($F142:$AG142,1,MATCH(AL$7,$F$7:$AG$7,1))</f>
        <v>711</v>
      </c>
      <c r="AM142" s="103" t="n">
        <f aca="false">INDEX($F142:$AG142,1,MATCH(AM$7,$F$7:$AG$7,1))</f>
        <v>711</v>
      </c>
      <c r="AN142" s="103" t="n">
        <f aca="false">INDEX($F142:$AG142,1,MATCH(AN$7,$F$7:$AG$7,1))</f>
        <v>711</v>
      </c>
      <c r="AO142" s="103" t="n">
        <f aca="false">INDEX($F142:$AG142,1,MATCH(AO$7,$F$7:$AG$7,1))</f>
        <v>711</v>
      </c>
    </row>
    <row r="143" customFormat="false" ht="15" hidden="false" customHeight="false" outlineLevel="0" collapsed="false">
      <c r="A143" s="3" t="s">
        <v>1200</v>
      </c>
      <c r="B143" s="18" t="s">
        <v>415</v>
      </c>
      <c r="C143" s="18" t="s">
        <v>336</v>
      </c>
      <c r="D143" s="18" t="s">
        <v>1201</v>
      </c>
      <c r="F143" s="108" t="n">
        <f aca="false">SUMPRODUCT(F117:F140,$F$12:$F$35)+F142</f>
        <v>0</v>
      </c>
      <c r="G143" s="108" t="n">
        <f aca="false">SUMPRODUCT(G117:G140,$F$12:$F$35)+G142</f>
        <v>0</v>
      </c>
      <c r="H143" s="108" t="n">
        <f aca="false">SUMPRODUCT(H117:H140,$F$12:$F$35)+H142</f>
        <v>5</v>
      </c>
      <c r="I143" s="108" t="n">
        <f aca="false">SUMPRODUCT(I117:I140,$F$12:$F$35)+I142</f>
        <v>130</v>
      </c>
      <c r="J143" s="108" t="n">
        <f aca="false">SUMPRODUCT(J117:J140,$F$12:$F$35)+J142</f>
        <v>430</v>
      </c>
      <c r="K143" s="108" t="n">
        <f aca="false">SUMPRODUCT(K117:K140,$F$12:$F$35)+K142</f>
        <v>454</v>
      </c>
      <c r="L143" s="108" t="n">
        <f aca="false">SUMPRODUCT(L117:L140,$F$12:$F$35)+L142</f>
        <v>694</v>
      </c>
      <c r="M143" s="108" t="n">
        <f aca="false">SUMPRODUCT(M117:M140,$F$12:$F$35)+M142</f>
        <v>1654</v>
      </c>
      <c r="N143" s="108" t="n">
        <f aca="false">SUMPRODUCT(N117:N140,$F$12:$F$35)+N142</f>
        <v>2200</v>
      </c>
      <c r="O143" s="108" t="n">
        <f aca="false">SUMPRODUCT(O117:O140,$F$12:$F$35)+O142</f>
        <v>3239</v>
      </c>
      <c r="P143" s="109" t="n">
        <f aca="false">SUMPRODUCT(P117:P140,$F$12:$F$35)+P142</f>
        <v>3400</v>
      </c>
      <c r="Q143" s="109" t="n">
        <f aca="false">SUMPRODUCT(Q117:Q140,$F$12:$F$35)+Q142</f>
        <v>4000</v>
      </c>
      <c r="R143" s="109" t="n">
        <f aca="false">SUMPRODUCT(R117:R140,$F$12:$F$35)+R142</f>
        <v>4000</v>
      </c>
      <c r="S143" s="109" t="n">
        <f aca="false">SUMPRODUCT(S117:S140,$F$12:$F$35)+S142</f>
        <v>4000</v>
      </c>
      <c r="T143" s="109" t="n">
        <f aca="false">SUMPRODUCT(T117:T140,$F$12:$F$35)+T142</f>
        <v>4000</v>
      </c>
      <c r="U143" s="109" t="n">
        <f aca="false">SUMPRODUCT(U117:U140,$F$12:$F$35)+U142</f>
        <v>4000</v>
      </c>
      <c r="V143" s="109" t="n">
        <f aca="false">SUMPRODUCT(V117:V140,$F$12:$F$35)+V142</f>
        <v>4000</v>
      </c>
      <c r="W143" s="109" t="n">
        <f aca="false">SUMPRODUCT(W117:W140,$F$12:$F$35)+W142</f>
        <v>4000</v>
      </c>
      <c r="X143" s="109" t="n">
        <f aca="false">SUMPRODUCT(X117:X140,$F$12:$F$35)+X142</f>
        <v>4000</v>
      </c>
      <c r="Y143" s="109" t="n">
        <f aca="false">SUMPRODUCT(Y117:Y140,$F$12:$F$35)+Y142</f>
        <v>4000</v>
      </c>
      <c r="Z143" s="109" t="n">
        <f aca="false">SUMPRODUCT(Z117:Z140,$F$12:$F$35)+Z142</f>
        <v>4000</v>
      </c>
      <c r="AA143" s="109" t="n">
        <f aca="false">SUMPRODUCT(AA117:AA140,$F$12:$F$35)+AA142</f>
        <v>4000</v>
      </c>
      <c r="AB143" s="109" t="n">
        <f aca="false">SUMPRODUCT(AB117:AB140,$F$12:$F$35)+AB142</f>
        <v>4000</v>
      </c>
      <c r="AC143" s="109" t="n">
        <f aca="false">SUMPRODUCT(AC117:AC140,$F$12:$F$35)+AC142</f>
        <v>4000</v>
      </c>
      <c r="AD143" s="109" t="n">
        <f aca="false">SUMPRODUCT(AD117:AD140,$F$12:$F$35)+AD142</f>
        <v>4000</v>
      </c>
      <c r="AE143" s="109" t="n">
        <f aca="false">SUMPRODUCT(AE117:AE140,$F$12:$F$35)+AE142</f>
        <v>4000</v>
      </c>
      <c r="AF143" s="109" t="n">
        <f aca="false">SUMPRODUCT(AF117:AF140,$F$12:$F$35)+AF142</f>
        <v>4000</v>
      </c>
      <c r="AG143" s="109" t="n">
        <f aca="false">SUMPRODUCT(AG117:AG140,$F$12:$F$35)+AG142</f>
        <v>4000</v>
      </c>
      <c r="AI143" s="109" t="n">
        <f aca="false">INDEX($F143:$AG143,1,MATCH(AI$7,$F$7:$AG$7,1))</f>
        <v>130</v>
      </c>
      <c r="AJ143" s="109" t="n">
        <f aca="false">INDEX($F143:$AG143,1,MATCH(AJ$7,$F$7:$AG$7,1))</f>
        <v>1654</v>
      </c>
      <c r="AK143" s="109" t="n">
        <f aca="false">INDEX($F143:$AG143,1,MATCH(AK$7,$F$7:$AG$7,1))</f>
        <v>4000</v>
      </c>
      <c r="AL143" s="109" t="n">
        <f aca="false">INDEX($F143:$AG143,1,MATCH(AL$7,$F$7:$AG$7,1))</f>
        <v>4000</v>
      </c>
      <c r="AM143" s="109" t="n">
        <f aca="false">INDEX($F143:$AG143,1,MATCH(AM$7,$F$7:$AG$7,1))</f>
        <v>4000</v>
      </c>
      <c r="AN143" s="109" t="n">
        <f aca="false">INDEX($F143:$AG143,1,MATCH(AN$7,$F$7:$AG$7,1))</f>
        <v>4000</v>
      </c>
      <c r="AO143" s="109" t="n">
        <f aca="false">INDEX($F143:$AG143,1,MATCH(AO$7,$F$7:$AG$7,1))</f>
        <v>4000</v>
      </c>
    </row>
    <row r="144" customFormat="false" ht="15" hidden="false" customHeight="false" outlineLevel="0" collapsed="false">
      <c r="A144" s="101" t="s">
        <v>1202</v>
      </c>
      <c r="B144" s="18" t="s">
        <v>415</v>
      </c>
      <c r="C144" s="18" t="s">
        <v>336</v>
      </c>
      <c r="D144" s="18"/>
      <c r="F144" s="106" t="n">
        <f aca="false">SUMPRODUCT(F117:F140,$F$12:$F$35,$G$12:$G$35)+F142*INDEX(OwnedSh,1,F$7-FYBase)</f>
        <v>0</v>
      </c>
      <c r="G144" s="106" t="n">
        <f aca="false">SUMPRODUCT(G117:G140,$F$12:$F$35,$G$12:$G$35)+G142*INDEX(OwnedSh,1,G$7-FYBase)</f>
        <v>0</v>
      </c>
      <c r="H144" s="106" t="n">
        <f aca="false">SUMPRODUCT(H117:H140,$F$12:$F$35,$G$12:$G$35)+H142*INDEX(OwnedSh,1,H$7-FYBase)</f>
        <v>0</v>
      </c>
      <c r="I144" s="106" t="n">
        <f aca="false">SUMPRODUCT(I117:I140,$F$12:$F$35,$G$12:$G$35)+I142*INDEX(OwnedSh,1,I$7-FYBase)</f>
        <v>75</v>
      </c>
      <c r="J144" s="106" t="n">
        <f aca="false">SUMPRODUCT(J117:J140,$F$12:$F$35,$G$12:$G$35)+J142*INDEX(OwnedSh,1,J$7-FYBase)</f>
        <v>75</v>
      </c>
      <c r="K144" s="106" t="n">
        <f aca="false">SUMPRODUCT(K117:K140,$F$12:$F$35,$G$12:$G$35)+K142*INDEX(OwnedSh,1,K$7-FYBase)</f>
        <v>75</v>
      </c>
      <c r="L144" s="106" t="n">
        <f aca="false">SUMPRODUCT(L117:L140,$F$12:$F$35,$G$12:$G$35)+L142*INDEX(OwnedSh,1,L$7-FYBase)</f>
        <v>315</v>
      </c>
      <c r="M144" s="106" t="n">
        <f aca="false">SUMPRODUCT(M117:M140,$F$12:$F$35,$G$12:$G$35)+M142*INDEX(OwnedSh,1,M$7-FYBase)</f>
        <v>1275</v>
      </c>
      <c r="N144" s="106" t="n">
        <f aca="false">SUMPRODUCT(N117:N140,$F$12:$F$35,$G$12:$G$35)+N142*INDEX(OwnedSh,1,N$7-FYBase)</f>
        <v>1535.6</v>
      </c>
      <c r="O144" s="106" t="n">
        <f aca="false">SUMPRODUCT(O117:O140,$F$12:$F$35,$G$12:$G$35)+O142*INDEX(OwnedSh,1,O$7-FYBase)</f>
        <v>2539</v>
      </c>
      <c r="P144" s="103" t="n">
        <f aca="false">SUMPRODUCT(P117:P140,$F$12:$F$35,$G$12:$G$35)+P142*INDEX(OwnedSh,1,P$7-FYBase)</f>
        <v>2572.3</v>
      </c>
      <c r="Q144" s="103" t="n">
        <f aca="false">SUMPRODUCT(Q117:Q140,$F$12:$F$35,$G$12:$G$35)+Q142*INDEX(OwnedSh,1,Q$7-FYBase)</f>
        <v>2752.3</v>
      </c>
      <c r="R144" s="103" t="n">
        <f aca="false">SUMPRODUCT(R117:R140,$F$12:$F$35,$G$12:$G$35)+R142*INDEX(OwnedSh,1,R$7-FYBase)</f>
        <v>2894.5</v>
      </c>
      <c r="S144" s="103" t="n">
        <f aca="false">SUMPRODUCT(S117:S140,$F$12:$F$35,$G$12:$G$35)+S142*INDEX(OwnedSh,1,S$7-FYBase)</f>
        <v>2894.5</v>
      </c>
      <c r="T144" s="103" t="n">
        <f aca="false">SUMPRODUCT(T117:T140,$F$12:$F$35,$G$12:$G$35)+T142*INDEX(OwnedSh,1,T$7-FYBase)</f>
        <v>2894.5</v>
      </c>
      <c r="U144" s="103" t="n">
        <f aca="false">SUMPRODUCT(U117:U140,$F$12:$F$35,$G$12:$G$35)+U142*INDEX(OwnedSh,1,U$7-FYBase)</f>
        <v>2894.5</v>
      </c>
      <c r="V144" s="103" t="n">
        <f aca="false">SUMPRODUCT(V117:V140,$F$12:$F$35,$G$12:$G$35)+V142*INDEX(OwnedSh,1,V$7-FYBase)</f>
        <v>3001.15</v>
      </c>
      <c r="W144" s="103" t="n">
        <f aca="false">SUMPRODUCT(W117:W140,$F$12:$F$35,$G$12:$G$35)+W142*INDEX(OwnedSh,1,W$7-FYBase)</f>
        <v>3001.15</v>
      </c>
      <c r="X144" s="103" t="n">
        <f aca="false">SUMPRODUCT(X117:X140,$F$12:$F$35,$G$12:$G$35)+X142*INDEX(OwnedSh,1,X$7-FYBase)</f>
        <v>3001.15</v>
      </c>
      <c r="Y144" s="103" t="n">
        <f aca="false">SUMPRODUCT(Y117:Y140,$F$12:$F$35,$G$12:$G$35)+Y142*INDEX(OwnedSh,1,Y$7-FYBase)</f>
        <v>3001.15</v>
      </c>
      <c r="Z144" s="103" t="n">
        <f aca="false">SUMPRODUCT(Z117:Z140,$F$12:$F$35,$G$12:$G$35)+Z142*INDEX(OwnedSh,1,Z$7-FYBase)</f>
        <v>3036.7</v>
      </c>
      <c r="AA144" s="103" t="n">
        <f aca="false">SUMPRODUCT(AA117:AA140,$F$12:$F$35,$G$12:$G$35)+AA142*INDEX(OwnedSh,1,AA$7-FYBase)</f>
        <v>3036.7</v>
      </c>
      <c r="AB144" s="103" t="n">
        <f aca="false">SUMPRODUCT(AB117:AB140,$F$12:$F$35,$G$12:$G$35)+AB142*INDEX(OwnedSh,1,AB$7-FYBase)</f>
        <v>3036.7</v>
      </c>
      <c r="AC144" s="103" t="n">
        <f aca="false">SUMPRODUCT(AC117:AC140,$F$12:$F$35,$G$12:$G$35)+AC142*INDEX(OwnedSh,1,AC$7-FYBase)</f>
        <v>3036.7</v>
      </c>
      <c r="AD144" s="103" t="n">
        <f aca="false">SUMPRODUCT(AD117:AD140,$F$12:$F$35,$G$12:$G$35)+AD142*INDEX(OwnedSh,1,AD$7-FYBase)</f>
        <v>3072.25</v>
      </c>
      <c r="AE144" s="103" t="n">
        <f aca="false">SUMPRODUCT(AE117:AE140,$F$12:$F$35,$G$12:$G$35)+AE142*INDEX(OwnedSh,1,AE$7-FYBase)</f>
        <v>3072.25</v>
      </c>
      <c r="AF144" s="103" t="n">
        <f aca="false">SUMPRODUCT(AF117:AF140,$F$12:$F$35,$G$12:$G$35)+AF142*INDEX(OwnedSh,1,AF$7-FYBase)</f>
        <v>3072.25</v>
      </c>
      <c r="AG144" s="103" t="n">
        <f aca="false">SUMPRODUCT(AG117:AG140,$F$12:$F$35,$G$12:$G$35)+AG142*INDEX(OwnedSh,1,AG$7-FYBase)</f>
        <v>3072.25</v>
      </c>
      <c r="AI144" s="103" t="n">
        <f aca="false">INDEX($F144:$AG144,1,MATCH(AI$7,$F$7:$AG$7,1))</f>
        <v>75</v>
      </c>
      <c r="AJ144" s="103" t="n">
        <f aca="false">INDEX($F144:$AG144,1,MATCH(AJ$7,$F$7:$AG$7,1))</f>
        <v>1275</v>
      </c>
      <c r="AK144" s="103" t="n">
        <f aca="false">INDEX($F144:$AG144,1,MATCH(AK$7,$F$7:$AG$7,1))</f>
        <v>2752.3</v>
      </c>
      <c r="AL144" s="103" t="n">
        <f aca="false">INDEX($F144:$AG144,1,MATCH(AL$7,$F$7:$AG$7,1))</f>
        <v>2894.5</v>
      </c>
      <c r="AM144" s="103" t="n">
        <f aca="false">INDEX($F144:$AG144,1,MATCH(AM$7,$F$7:$AG$7,1))</f>
        <v>3001.15</v>
      </c>
      <c r="AN144" s="103" t="n">
        <f aca="false">INDEX($F144:$AG144,1,MATCH(AN$7,$F$7:$AG$7,1))</f>
        <v>3036.7</v>
      </c>
      <c r="AO144" s="103" t="n">
        <f aca="false">INDEX($F144:$AG144,1,MATCH(AO$7,$F$7:$AG$7,1))</f>
        <v>3072.25</v>
      </c>
    </row>
    <row r="146" customFormat="false" ht="15" hidden="false" customHeight="false" outlineLevel="0" collapsed="false">
      <c r="A146" s="48" t="s">
        <v>1203</v>
      </c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customFormat="false" ht="15" hidden="false" customHeight="false" outlineLevel="0" collapsed="false">
      <c r="A147" s="101" t="s">
        <v>1068</v>
      </c>
      <c r="B147" s="18" t="s">
        <v>415</v>
      </c>
      <c r="C147" s="18" t="s">
        <v>354</v>
      </c>
      <c r="D147" s="18"/>
      <c r="F147" s="103" t="n">
        <f aca="false">IF(F$5&lt;=LastHist,F41,CHOOSE(Scen,F42,F41,F40))</f>
        <v>0</v>
      </c>
      <c r="G147" s="103" t="n">
        <f aca="false">IF(G$5&lt;=LastHist,G41,CHOOSE(Scen,G42,G41,G40))</f>
        <v>0</v>
      </c>
      <c r="H147" s="103" t="n">
        <f aca="false">IF(H$5&lt;=LastHist,H41,CHOOSE(Scen,H42,H41,H40))</f>
        <v>0</v>
      </c>
      <c r="I147" s="103" t="n">
        <f aca="false">IF(I$5&lt;=LastHist,I41,CHOOSE(Scen,I42,I41,I40))</f>
        <v>0</v>
      </c>
      <c r="J147" s="103" t="n">
        <f aca="false">IF(J$5&lt;=LastHist,J41,CHOOSE(Scen,J42,J41,J40))</f>
        <v>0</v>
      </c>
      <c r="K147" s="103" t="n">
        <f aca="false">IF(K$5&lt;=LastHist,K41,CHOOSE(Scen,K42,K41,K40))</f>
        <v>0</v>
      </c>
      <c r="L147" s="103" t="n">
        <f aca="false">IF(L$5&lt;=LastHist,L41,CHOOSE(Scen,L42,L41,L40))</f>
        <v>0</v>
      </c>
      <c r="M147" s="103" t="n">
        <f aca="false">IF(M$5&lt;=LastHist,M41,CHOOSE(Scen,M42,M41,M40))</f>
        <v>26.2</v>
      </c>
      <c r="N147" s="103" t="n">
        <f aca="false">IF(N$5&lt;=LastHist,N41,CHOOSE(Scen,N42,N41,N40))</f>
        <v>37.5</v>
      </c>
      <c r="O147" s="103" t="n">
        <f aca="false">IF(O$5&lt;=LastHist,O41,CHOOSE(Scen,O42,O41,O40))</f>
        <v>39</v>
      </c>
      <c r="P147" s="103" t="n">
        <f aca="false">IF(P$5&lt;=LastHist,P41,CHOOSE(Scen,P42,P41,P40))</f>
        <v>66</v>
      </c>
      <c r="Q147" s="103" t="n">
        <f aca="false">IF(Q$5&lt;=LastHist,Q41,CHOOSE(Scen,Q42,Q41,Q40))</f>
        <v>81.8</v>
      </c>
      <c r="R147" s="103" t="n">
        <f aca="false">IF(R$5&lt;=LastHist,R41,CHOOSE(Scen,R42,R41,R40))</f>
        <v>118.5</v>
      </c>
      <c r="S147" s="103" t="n">
        <f aca="false">IF(S$5&lt;=LastHist,S41,CHOOSE(Scen,S42,S41,S40))</f>
        <v>168.5</v>
      </c>
      <c r="T147" s="103" t="n">
        <f aca="false">IF(T$5&lt;=LastHist,T41,CHOOSE(Scen,T42,T41,T40))</f>
        <v>205</v>
      </c>
      <c r="U147" s="103" t="n">
        <f aca="false">IF(U$5&lt;=LastHist,U41,CHOOSE(Scen,U42,U41,U40))</f>
        <v>240</v>
      </c>
      <c r="V147" s="103" t="n">
        <f aca="false">IF(V$5&lt;=LastHist,V41,CHOOSE(Scen,V42,V41,V40))</f>
        <v>240</v>
      </c>
      <c r="W147" s="103" t="n">
        <f aca="false">IF(W$5&lt;=LastHist,W41,CHOOSE(Scen,W42,W41,W40))</f>
        <v>240</v>
      </c>
      <c r="X147" s="103" t="n">
        <f aca="false">IF(X$5&lt;=LastHist,X41,CHOOSE(Scen,X42,X41,X40))</f>
        <v>240</v>
      </c>
      <c r="Y147" s="103" t="n">
        <f aca="false">IF(Y$5&lt;=LastHist,Y41,CHOOSE(Scen,Y42,Y41,Y40))</f>
        <v>240</v>
      </c>
      <c r="Z147" s="103" t="n">
        <f aca="false">IF(Z$5&lt;=LastHist,Z41,CHOOSE(Scen,Z42,Z41,Z40))</f>
        <v>240</v>
      </c>
      <c r="AA147" s="103" t="n">
        <f aca="false">IF(AA$5&lt;=LastHist,AA41,CHOOSE(Scen,AA42,AA41,AA40))</f>
        <v>240</v>
      </c>
      <c r="AB147" s="103" t="n">
        <f aca="false">IF(AB$5&lt;=LastHist,AB41,CHOOSE(Scen,AB42,AB41,AB40))</f>
        <v>240</v>
      </c>
      <c r="AC147" s="103" t="n">
        <f aca="false">IF(AC$5&lt;=LastHist,AC41,CHOOSE(Scen,AC42,AC41,AC40))</f>
        <v>240</v>
      </c>
      <c r="AD147" s="103" t="n">
        <f aca="false">IF(AD$5&lt;=LastHist,AD41,CHOOSE(Scen,AD42,AD41,AD40))</f>
        <v>240</v>
      </c>
      <c r="AE147" s="103" t="n">
        <f aca="false">IF(AE$5&lt;=LastHist,AE41,CHOOSE(Scen,AE42,AE41,AE40))</f>
        <v>240</v>
      </c>
      <c r="AF147" s="103" t="n">
        <f aca="false">IF(AF$5&lt;=LastHist,AF41,CHOOSE(Scen,AF42,AF41,AF40))</f>
        <v>240</v>
      </c>
      <c r="AG147" s="103" t="n">
        <f aca="false">IF(AG$5&lt;=LastHist,AG41,CHOOSE(Scen,AG42,AG41,AG40))</f>
        <v>240</v>
      </c>
      <c r="AI147" s="103" t="n">
        <f aca="false">INDEX($F147:$AG147,1,MATCH(AI$7,$F$7:$AG$7,1))</f>
        <v>0</v>
      </c>
      <c r="AJ147" s="103" t="n">
        <f aca="false">INDEX($F147:$AG147,1,MATCH(AJ$7,$F$7:$AG$7,1))</f>
        <v>26.2</v>
      </c>
      <c r="AK147" s="103" t="n">
        <f aca="false">INDEX($F147:$AG147,1,MATCH(AK$7,$F$7:$AG$7,1))</f>
        <v>81.8</v>
      </c>
      <c r="AL147" s="103" t="n">
        <f aca="false">INDEX($F147:$AG147,1,MATCH(AL$7,$F$7:$AG$7,1))</f>
        <v>240</v>
      </c>
      <c r="AM147" s="103" t="n">
        <f aca="false">INDEX($F147:$AG147,1,MATCH(AM$7,$F$7:$AG$7,1))</f>
        <v>240</v>
      </c>
      <c r="AN147" s="103" t="n">
        <f aca="false">INDEX($F147:$AG147,1,MATCH(AN$7,$F$7:$AG$7,1))</f>
        <v>240</v>
      </c>
      <c r="AO147" s="103" t="n">
        <f aca="false">INDEX($F147:$AG147,1,MATCH(AO$7,$F$7:$AG$7,1))</f>
        <v>240</v>
      </c>
    </row>
    <row r="148" customFormat="false" ht="15" hidden="false" customHeight="false" outlineLevel="0" collapsed="false">
      <c r="A148" s="101" t="s">
        <v>1075</v>
      </c>
      <c r="B148" s="18" t="s">
        <v>415</v>
      </c>
      <c r="C148" s="18" t="s">
        <v>354</v>
      </c>
      <c r="D148" s="18"/>
      <c r="F148" s="103" t="n">
        <f aca="false">IF(F$5&lt;=LastHist,F44,CHOOSE(Scen,F45,F44,F43))</f>
        <v>0</v>
      </c>
      <c r="G148" s="103" t="n">
        <f aca="false">IF(G$5&lt;=LastHist,G44,CHOOSE(Scen,G45,G44,G43))</f>
        <v>0</v>
      </c>
      <c r="H148" s="103" t="n">
        <f aca="false">IF(H$5&lt;=LastHist,H44,CHOOSE(Scen,H45,H44,H43))</f>
        <v>0</v>
      </c>
      <c r="I148" s="103" t="n">
        <f aca="false">IF(I$5&lt;=LastHist,I44,CHOOSE(Scen,I45,I44,I43))</f>
        <v>0</v>
      </c>
      <c r="J148" s="103" t="n">
        <f aca="false">IF(J$5&lt;=LastHist,J44,CHOOSE(Scen,J45,J44,J43))</f>
        <v>0</v>
      </c>
      <c r="K148" s="103" t="n">
        <f aca="false">IF(K$5&lt;=LastHist,K44,CHOOSE(Scen,K45,K44,K43))</f>
        <v>0</v>
      </c>
      <c r="L148" s="103" t="n">
        <f aca="false">IF(L$5&lt;=LastHist,L44,CHOOSE(Scen,L45,L44,L43))</f>
        <v>0</v>
      </c>
      <c r="M148" s="103" t="n">
        <f aca="false">IF(M$5&lt;=LastHist,M44,CHOOSE(Scen,M45,M44,M43))</f>
        <v>0</v>
      </c>
      <c r="N148" s="103" t="n">
        <f aca="false">IF(N$5&lt;=LastHist,N44,CHOOSE(Scen,N45,N44,N43))</f>
        <v>0</v>
      </c>
      <c r="O148" s="103" t="n">
        <f aca="false">IF(O$5&lt;=LastHist,O44,CHOOSE(Scen,O45,O44,O43))</f>
        <v>0</v>
      </c>
      <c r="P148" s="103" t="n">
        <f aca="false">IF(P$5&lt;=LastHist,P44,CHOOSE(Scen,P45,P44,P43))</f>
        <v>0</v>
      </c>
      <c r="Q148" s="103" t="n">
        <f aca="false">IF(Q$5&lt;=LastHist,Q44,CHOOSE(Scen,Q45,Q44,Q43))</f>
        <v>0</v>
      </c>
      <c r="R148" s="103" t="n">
        <f aca="false">IF(R$5&lt;=LastHist,R44,CHOOSE(Scen,R45,R44,R43))</f>
        <v>0</v>
      </c>
      <c r="S148" s="103" t="n">
        <f aca="false">IF(S$5&lt;=LastHist,S44,CHOOSE(Scen,S45,S44,S43))</f>
        <v>0</v>
      </c>
      <c r="T148" s="103" t="n">
        <f aca="false">IF(T$5&lt;=LastHist,T44,CHOOSE(Scen,T45,T44,T43))</f>
        <v>50</v>
      </c>
      <c r="U148" s="103" t="n">
        <f aca="false">IF(U$5&lt;=LastHist,U44,CHOOSE(Scen,U45,U44,U43))</f>
        <v>125</v>
      </c>
      <c r="V148" s="103" t="n">
        <f aca="false">IF(V$5&lt;=LastHist,V44,CHOOSE(Scen,V45,V44,V43))</f>
        <v>125</v>
      </c>
      <c r="W148" s="103" t="n">
        <f aca="false">IF(W$5&lt;=LastHist,W44,CHOOSE(Scen,W45,W44,W43))</f>
        <v>175</v>
      </c>
      <c r="X148" s="103" t="n">
        <f aca="false">IF(X$5&lt;=LastHist,X44,CHOOSE(Scen,X45,X44,X43))</f>
        <v>175</v>
      </c>
      <c r="Y148" s="103" t="n">
        <f aca="false">IF(Y$5&lt;=LastHist,Y44,CHOOSE(Scen,Y45,Y44,Y43))</f>
        <v>225</v>
      </c>
      <c r="Z148" s="103" t="n">
        <f aca="false">IF(Z$5&lt;=LastHist,Z44,CHOOSE(Scen,Z45,Z44,Z43))</f>
        <v>225</v>
      </c>
      <c r="AA148" s="103" t="n">
        <f aca="false">IF(AA$5&lt;=LastHist,AA44,CHOOSE(Scen,AA45,AA44,AA43))</f>
        <v>450</v>
      </c>
      <c r="AB148" s="103" t="n">
        <f aca="false">IF(AB$5&lt;=LastHist,AB44,CHOOSE(Scen,AB45,AB44,AB43))</f>
        <v>450</v>
      </c>
      <c r="AC148" s="103" t="n">
        <f aca="false">IF(AC$5&lt;=LastHist,AC44,CHOOSE(Scen,AC45,AC44,AC43))</f>
        <v>650</v>
      </c>
      <c r="AD148" s="103" t="n">
        <f aca="false">IF(AD$5&lt;=LastHist,AD44,CHOOSE(Scen,AD45,AD44,AD43))</f>
        <v>650</v>
      </c>
      <c r="AE148" s="103" t="n">
        <f aca="false">IF(AE$5&lt;=LastHist,AE44,CHOOSE(Scen,AE45,AE44,AE43))</f>
        <v>650</v>
      </c>
      <c r="AF148" s="103" t="n">
        <f aca="false">IF(AF$5&lt;=LastHist,AF44,CHOOSE(Scen,AF45,AF44,AF43))</f>
        <v>650</v>
      </c>
      <c r="AG148" s="103" t="n">
        <f aca="false">IF(AG$5&lt;=LastHist,AG44,CHOOSE(Scen,AG45,AG44,AG43))</f>
        <v>950</v>
      </c>
      <c r="AI148" s="103" t="n">
        <f aca="false">INDEX($F148:$AG148,1,MATCH(AI$7,$F$7:$AG$7,1))</f>
        <v>0</v>
      </c>
      <c r="AJ148" s="103" t="n">
        <f aca="false">INDEX($F148:$AG148,1,MATCH(AJ$7,$F$7:$AG$7,1))</f>
        <v>0</v>
      </c>
      <c r="AK148" s="103" t="n">
        <f aca="false">INDEX($F148:$AG148,1,MATCH(AK$7,$F$7:$AG$7,1))</f>
        <v>0</v>
      </c>
      <c r="AL148" s="103" t="n">
        <f aca="false">INDEX($F148:$AG148,1,MATCH(AL$7,$F$7:$AG$7,1))</f>
        <v>125</v>
      </c>
      <c r="AM148" s="103" t="n">
        <f aca="false">INDEX($F148:$AG148,1,MATCH(AM$7,$F$7:$AG$7,1))</f>
        <v>225</v>
      </c>
      <c r="AN148" s="103" t="n">
        <f aca="false">INDEX($F148:$AG148,1,MATCH(AN$7,$F$7:$AG$7,1))</f>
        <v>650</v>
      </c>
      <c r="AO148" s="103" t="n">
        <f aca="false">INDEX($F148:$AG148,1,MATCH(AO$7,$F$7:$AG$7,1))</f>
        <v>950</v>
      </c>
    </row>
    <row r="149" customFormat="false" ht="15" hidden="false" customHeight="false" outlineLevel="0" collapsed="false">
      <c r="A149" s="101" t="s">
        <v>1081</v>
      </c>
      <c r="B149" s="18" t="s">
        <v>415</v>
      </c>
      <c r="C149" s="18" t="s">
        <v>354</v>
      </c>
      <c r="D149" s="18"/>
      <c r="F149" s="103" t="n">
        <f aca="false">IF(F$5&lt;=LastHist,F47,CHOOSE(Scen,F48,F47,F46))</f>
        <v>0</v>
      </c>
      <c r="G149" s="103" t="n">
        <f aca="false">IF(G$5&lt;=LastHist,G47,CHOOSE(Scen,G48,G47,G46))</f>
        <v>0</v>
      </c>
      <c r="H149" s="103" t="n">
        <f aca="false">IF(H$5&lt;=LastHist,H47,CHOOSE(Scen,H48,H47,H46))</f>
        <v>0</v>
      </c>
      <c r="I149" s="103" t="n">
        <f aca="false">IF(I$5&lt;=LastHist,I47,CHOOSE(Scen,I48,I47,I46))</f>
        <v>0</v>
      </c>
      <c r="J149" s="103" t="n">
        <f aca="false">IF(J$5&lt;=LastHist,J47,CHOOSE(Scen,J48,J47,J46))</f>
        <v>0</v>
      </c>
      <c r="K149" s="103" t="n">
        <f aca="false">IF(K$5&lt;=LastHist,K47,CHOOSE(Scen,K48,K47,K46))</f>
        <v>0</v>
      </c>
      <c r="L149" s="103" t="n">
        <f aca="false">IF(L$5&lt;=LastHist,L47,CHOOSE(Scen,L48,L47,L46))</f>
        <v>0</v>
      </c>
      <c r="M149" s="103" t="n">
        <f aca="false">IF(M$5&lt;=LastHist,M47,CHOOSE(Scen,M48,M47,M46))</f>
        <v>0</v>
      </c>
      <c r="N149" s="103" t="n">
        <f aca="false">IF(N$5&lt;=LastHist,N47,CHOOSE(Scen,N48,N47,N46))</f>
        <v>0</v>
      </c>
      <c r="O149" s="103" t="n">
        <f aca="false">IF(O$5&lt;=LastHist,O47,CHOOSE(Scen,O48,O47,O46))</f>
        <v>0</v>
      </c>
      <c r="P149" s="103" t="n">
        <f aca="false">IF(P$5&lt;=LastHist,P47,CHOOSE(Scen,P48,P47,P46))</f>
        <v>0</v>
      </c>
      <c r="Q149" s="103" t="n">
        <f aca="false">IF(Q$5&lt;=LastHist,Q47,CHOOSE(Scen,Q48,Q47,Q46))</f>
        <v>0</v>
      </c>
      <c r="R149" s="103" t="n">
        <f aca="false">IF(R$5&lt;=LastHist,R47,CHOOSE(Scen,R48,R47,R46))</f>
        <v>0</v>
      </c>
      <c r="S149" s="103" t="n">
        <f aca="false">IF(S$5&lt;=LastHist,S47,CHOOSE(Scen,S48,S47,S46))</f>
        <v>0</v>
      </c>
      <c r="T149" s="103" t="n">
        <f aca="false">IF(T$5&lt;=LastHist,T47,CHOOSE(Scen,T48,T47,T46))</f>
        <v>0</v>
      </c>
      <c r="U149" s="103" t="n">
        <f aca="false">IF(U$5&lt;=LastHist,U47,CHOOSE(Scen,U48,U47,U46))</f>
        <v>65</v>
      </c>
      <c r="V149" s="103" t="n">
        <f aca="false">IF(V$5&lt;=LastHist,V47,CHOOSE(Scen,V48,V47,V46))</f>
        <v>130</v>
      </c>
      <c r="W149" s="103" t="n">
        <f aca="false">IF(W$5&lt;=LastHist,W47,CHOOSE(Scen,W48,W47,W46))</f>
        <v>130</v>
      </c>
      <c r="X149" s="103" t="n">
        <f aca="false">IF(X$5&lt;=LastHist,X47,CHOOSE(Scen,X48,X47,X46))</f>
        <v>130</v>
      </c>
      <c r="Y149" s="103" t="n">
        <f aca="false">IF(Y$5&lt;=LastHist,Y47,CHOOSE(Scen,Y48,Y47,Y46))</f>
        <v>265</v>
      </c>
      <c r="Z149" s="103" t="n">
        <f aca="false">IF(Z$5&lt;=LastHist,Z47,CHOOSE(Scen,Z48,Z47,Z46))</f>
        <v>265</v>
      </c>
      <c r="AA149" s="103" t="n">
        <f aca="false">IF(AA$5&lt;=LastHist,AA47,CHOOSE(Scen,AA48,AA47,AA46))</f>
        <v>460</v>
      </c>
      <c r="AB149" s="103" t="n">
        <f aca="false">IF(AB$5&lt;=LastHist,AB47,CHOOSE(Scen,AB48,AB47,AB46))</f>
        <v>460</v>
      </c>
      <c r="AC149" s="103" t="n">
        <f aca="false">IF(AC$5&lt;=LastHist,AC47,CHOOSE(Scen,AC48,AC47,AC46))</f>
        <v>700</v>
      </c>
      <c r="AD149" s="103" t="n">
        <f aca="false">IF(AD$5&lt;=LastHist,AD47,CHOOSE(Scen,AD48,AD47,AD46))</f>
        <v>700</v>
      </c>
      <c r="AE149" s="103" t="n">
        <f aca="false">IF(AE$5&lt;=LastHist,AE47,CHOOSE(Scen,AE48,AE47,AE46))</f>
        <v>700</v>
      </c>
      <c r="AF149" s="103" t="n">
        <f aca="false">IF(AF$5&lt;=LastHist,AF47,CHOOSE(Scen,AF48,AF47,AF46))</f>
        <v>700</v>
      </c>
      <c r="AG149" s="103" t="n">
        <f aca="false">IF(AG$5&lt;=LastHist,AG47,CHOOSE(Scen,AG48,AG47,AG46))</f>
        <v>930</v>
      </c>
      <c r="AI149" s="103" t="n">
        <f aca="false">INDEX($F149:$AG149,1,MATCH(AI$7,$F$7:$AG$7,1))</f>
        <v>0</v>
      </c>
      <c r="AJ149" s="103" t="n">
        <f aca="false">INDEX($F149:$AG149,1,MATCH(AJ$7,$F$7:$AG$7,1))</f>
        <v>0</v>
      </c>
      <c r="AK149" s="103" t="n">
        <f aca="false">INDEX($F149:$AG149,1,MATCH(AK$7,$F$7:$AG$7,1))</f>
        <v>0</v>
      </c>
      <c r="AL149" s="103" t="n">
        <f aca="false">INDEX($F149:$AG149,1,MATCH(AL$7,$F$7:$AG$7,1))</f>
        <v>65</v>
      </c>
      <c r="AM149" s="103" t="n">
        <f aca="false">INDEX($F149:$AG149,1,MATCH(AM$7,$F$7:$AG$7,1))</f>
        <v>265</v>
      </c>
      <c r="AN149" s="103" t="n">
        <f aca="false">INDEX($F149:$AG149,1,MATCH(AN$7,$F$7:$AG$7,1))</f>
        <v>700</v>
      </c>
      <c r="AO149" s="103" t="n">
        <f aca="false">INDEX($F149:$AG149,1,MATCH(AO$7,$F$7:$AG$7,1))</f>
        <v>930</v>
      </c>
    </row>
    <row r="150" customFormat="false" ht="15" hidden="false" customHeight="false" outlineLevel="0" collapsed="false">
      <c r="A150" s="101" t="s">
        <v>1082</v>
      </c>
      <c r="B150" s="18" t="s">
        <v>415</v>
      </c>
      <c r="C150" s="18" t="s">
        <v>354</v>
      </c>
      <c r="D150" s="18"/>
      <c r="F150" s="103" t="n">
        <f aca="false">IF(F$5&lt;=LastHist,F50,CHOOSE(Scen,F51,F50,F49))</f>
        <v>0</v>
      </c>
      <c r="G150" s="103" t="n">
        <f aca="false">IF(G$5&lt;=LastHist,G50,CHOOSE(Scen,G51,G50,G49))</f>
        <v>0</v>
      </c>
      <c r="H150" s="103" t="n">
        <f aca="false">IF(H$5&lt;=LastHist,H50,CHOOSE(Scen,H51,H50,H49))</f>
        <v>0</v>
      </c>
      <c r="I150" s="103" t="n">
        <f aca="false">IF(I$5&lt;=LastHist,I50,CHOOSE(Scen,I51,I50,I49))</f>
        <v>0</v>
      </c>
      <c r="J150" s="103" t="n">
        <f aca="false">IF(J$5&lt;=LastHist,J50,CHOOSE(Scen,J51,J50,J49))</f>
        <v>0</v>
      </c>
      <c r="K150" s="103" t="n">
        <f aca="false">IF(K$5&lt;=LastHist,K50,CHOOSE(Scen,K51,K50,K49))</f>
        <v>0</v>
      </c>
      <c r="L150" s="103" t="n">
        <f aca="false">IF(L$5&lt;=LastHist,L50,CHOOSE(Scen,L51,L50,L49))</f>
        <v>0</v>
      </c>
      <c r="M150" s="103" t="n">
        <f aca="false">IF(M$5&lt;=LastHist,M50,CHOOSE(Scen,M51,M50,M49))</f>
        <v>0</v>
      </c>
      <c r="N150" s="103" t="n">
        <f aca="false">IF(N$5&lt;=LastHist,N50,CHOOSE(Scen,N51,N50,N49))</f>
        <v>0</v>
      </c>
      <c r="O150" s="103" t="n">
        <f aca="false">IF(O$5&lt;=LastHist,O50,CHOOSE(Scen,O51,O50,O49))</f>
        <v>0</v>
      </c>
      <c r="P150" s="103" t="n">
        <f aca="false">IF(P$5&lt;=LastHist,P50,CHOOSE(Scen,P51,P50,P49))</f>
        <v>0</v>
      </c>
      <c r="Q150" s="103" t="n">
        <f aca="false">IF(Q$5&lt;=LastHist,Q50,CHOOSE(Scen,Q51,Q50,Q49))</f>
        <v>0</v>
      </c>
      <c r="R150" s="103" t="n">
        <f aca="false">IF(R$5&lt;=LastHist,R50,CHOOSE(Scen,R51,R50,R49))</f>
        <v>12.5</v>
      </c>
      <c r="S150" s="103" t="n">
        <f aca="false">IF(S$5&lt;=LastHist,S50,CHOOSE(Scen,S51,S50,S49))</f>
        <v>25</v>
      </c>
      <c r="T150" s="103" t="n">
        <f aca="false">IF(T$5&lt;=LastHist,T50,CHOOSE(Scen,T51,T50,T49))</f>
        <v>50</v>
      </c>
      <c r="U150" s="103" t="n">
        <f aca="false">IF(U$5&lt;=LastHist,U50,CHOOSE(Scen,U51,U50,U49))</f>
        <v>75</v>
      </c>
      <c r="V150" s="103" t="n">
        <f aca="false">IF(V$5&lt;=LastHist,V50,CHOOSE(Scen,V51,V50,V49))</f>
        <v>75</v>
      </c>
      <c r="W150" s="103" t="n">
        <f aca="false">IF(W$5&lt;=LastHist,W50,CHOOSE(Scen,W51,W50,W49))</f>
        <v>150</v>
      </c>
      <c r="X150" s="103" t="n">
        <f aca="false">IF(X$5&lt;=LastHist,X50,CHOOSE(Scen,X51,X50,X49))</f>
        <v>150</v>
      </c>
      <c r="Y150" s="103" t="n">
        <f aca="false">IF(Y$5&lt;=LastHist,Y50,CHOOSE(Scen,Y51,Y50,Y49))</f>
        <v>250</v>
      </c>
      <c r="Z150" s="103" t="n">
        <f aca="false">IF(Z$5&lt;=LastHist,Z50,CHOOSE(Scen,Z51,Z50,Z49))</f>
        <v>250</v>
      </c>
      <c r="AA150" s="103" t="n">
        <f aca="false">IF(AA$5&lt;=LastHist,AA50,CHOOSE(Scen,AA51,AA50,AA49))</f>
        <v>250</v>
      </c>
      <c r="AB150" s="103" t="n">
        <f aca="false">IF(AB$5&lt;=LastHist,AB50,CHOOSE(Scen,AB51,AB50,AB49))</f>
        <v>250</v>
      </c>
      <c r="AC150" s="103" t="n">
        <f aca="false">IF(AC$5&lt;=LastHist,AC50,CHOOSE(Scen,AC51,AC50,AC49))</f>
        <v>300</v>
      </c>
      <c r="AD150" s="103" t="n">
        <f aca="false">IF(AD$5&lt;=LastHist,AD50,CHOOSE(Scen,AD51,AD50,AD49))</f>
        <v>300</v>
      </c>
      <c r="AE150" s="103" t="n">
        <f aca="false">IF(AE$5&lt;=LastHist,AE50,CHOOSE(Scen,AE51,AE50,AE49))</f>
        <v>300</v>
      </c>
      <c r="AF150" s="103" t="n">
        <f aca="false">IF(AF$5&lt;=LastHist,AF50,CHOOSE(Scen,AF51,AF50,AF49))</f>
        <v>300</v>
      </c>
      <c r="AG150" s="103" t="n">
        <f aca="false">IF(AG$5&lt;=LastHist,AG50,CHOOSE(Scen,AG51,AG50,AG49))</f>
        <v>300</v>
      </c>
      <c r="AI150" s="103" t="n">
        <f aca="false">INDEX($F150:$AG150,1,MATCH(AI$7,$F$7:$AG$7,1))</f>
        <v>0</v>
      </c>
      <c r="AJ150" s="103" t="n">
        <f aca="false">INDEX($F150:$AG150,1,MATCH(AJ$7,$F$7:$AG$7,1))</f>
        <v>0</v>
      </c>
      <c r="AK150" s="103" t="n">
        <f aca="false">INDEX($F150:$AG150,1,MATCH(AK$7,$F$7:$AG$7,1))</f>
        <v>0</v>
      </c>
      <c r="AL150" s="103" t="n">
        <f aca="false">INDEX($F150:$AG150,1,MATCH(AL$7,$F$7:$AG$7,1))</f>
        <v>75</v>
      </c>
      <c r="AM150" s="103" t="n">
        <f aca="false">INDEX($F150:$AG150,1,MATCH(AM$7,$F$7:$AG$7,1))</f>
        <v>250</v>
      </c>
      <c r="AN150" s="103" t="n">
        <f aca="false">INDEX($F150:$AG150,1,MATCH(AN$7,$F$7:$AG$7,1))</f>
        <v>300</v>
      </c>
      <c r="AO150" s="103" t="n">
        <f aca="false">INDEX($F150:$AG150,1,MATCH(AO$7,$F$7:$AG$7,1))</f>
        <v>300</v>
      </c>
    </row>
    <row r="151" customFormat="false" ht="15" hidden="false" customHeight="false" outlineLevel="0" collapsed="false">
      <c r="A151" s="101" t="s">
        <v>1084</v>
      </c>
      <c r="B151" s="18" t="s">
        <v>415</v>
      </c>
      <c r="C151" s="18" t="s">
        <v>354</v>
      </c>
      <c r="D151" s="18"/>
      <c r="F151" s="103" t="n">
        <f aca="false">IF(F$5&lt;=LastHist,F53,CHOOSE(Scen,F54,F53,F52))</f>
        <v>0</v>
      </c>
      <c r="G151" s="103" t="n">
        <f aca="false">IF(G$5&lt;=LastHist,G53,CHOOSE(Scen,G54,G53,G52))</f>
        <v>0</v>
      </c>
      <c r="H151" s="103" t="n">
        <f aca="false">IF(H$5&lt;=LastHist,H53,CHOOSE(Scen,H54,H53,H52))</f>
        <v>0</v>
      </c>
      <c r="I151" s="103" t="n">
        <f aca="false">IF(I$5&lt;=LastHist,I53,CHOOSE(Scen,I54,I53,I52))</f>
        <v>0</v>
      </c>
      <c r="J151" s="103" t="n">
        <f aca="false">IF(J$5&lt;=LastHist,J53,CHOOSE(Scen,J54,J53,J52))</f>
        <v>0</v>
      </c>
      <c r="K151" s="103" t="n">
        <f aca="false">IF(K$5&lt;=LastHist,K53,CHOOSE(Scen,K54,K53,K52))</f>
        <v>0</v>
      </c>
      <c r="L151" s="103" t="n">
        <f aca="false">IF(L$5&lt;=LastHist,L53,CHOOSE(Scen,L54,L53,L52))</f>
        <v>0</v>
      </c>
      <c r="M151" s="103" t="n">
        <f aca="false">IF(M$5&lt;=LastHist,M53,CHOOSE(Scen,M54,M53,M52))</f>
        <v>0</v>
      </c>
      <c r="N151" s="103" t="n">
        <f aca="false">IF(N$5&lt;=LastHist,N53,CHOOSE(Scen,N54,N53,N52))</f>
        <v>0</v>
      </c>
      <c r="O151" s="103" t="n">
        <f aca="false">IF(O$5&lt;=LastHist,O53,CHOOSE(Scen,O54,O53,O52))</f>
        <v>0</v>
      </c>
      <c r="P151" s="103" t="n">
        <f aca="false">IF(P$5&lt;=LastHist,P53,CHOOSE(Scen,P54,P53,P52))</f>
        <v>0</v>
      </c>
      <c r="Q151" s="103" t="n">
        <f aca="false">IF(Q$5&lt;=LastHist,Q53,CHOOSE(Scen,Q54,Q53,Q52))</f>
        <v>30</v>
      </c>
      <c r="R151" s="103" t="n">
        <f aca="false">IF(R$5&lt;=LastHist,R53,CHOOSE(Scen,R54,R53,R52))</f>
        <v>73.5</v>
      </c>
      <c r="S151" s="103" t="n">
        <f aca="false">IF(S$5&lt;=LastHist,S53,CHOOSE(Scen,S54,S53,S52))</f>
        <v>120</v>
      </c>
      <c r="T151" s="103" t="n">
        <f aca="false">IF(T$5&lt;=LastHist,T53,CHOOSE(Scen,T54,T53,T52))</f>
        <v>120</v>
      </c>
      <c r="U151" s="103" t="n">
        <f aca="false">IF(U$5&lt;=LastHist,U53,CHOOSE(Scen,U54,U53,U52))</f>
        <v>180</v>
      </c>
      <c r="V151" s="103" t="n">
        <f aca="false">IF(V$5&lt;=LastHist,V53,CHOOSE(Scen,V54,V53,V52))</f>
        <v>180</v>
      </c>
      <c r="W151" s="103" t="n">
        <f aca="false">IF(W$5&lt;=LastHist,W53,CHOOSE(Scen,W54,W53,W52))</f>
        <v>180</v>
      </c>
      <c r="X151" s="103" t="n">
        <f aca="false">IF(X$5&lt;=LastHist,X53,CHOOSE(Scen,X54,X53,X52))</f>
        <v>180</v>
      </c>
      <c r="Y151" s="103" t="n">
        <f aca="false">IF(Y$5&lt;=LastHist,Y53,CHOOSE(Scen,Y54,Y53,Y52))</f>
        <v>240</v>
      </c>
      <c r="Z151" s="103" t="n">
        <f aca="false">IF(Z$5&lt;=LastHist,Z53,CHOOSE(Scen,Z54,Z53,Z52))</f>
        <v>240</v>
      </c>
      <c r="AA151" s="103" t="n">
        <f aca="false">IF(AA$5&lt;=LastHist,AA53,CHOOSE(Scen,AA54,AA53,AA52))</f>
        <v>240</v>
      </c>
      <c r="AB151" s="103" t="n">
        <f aca="false">IF(AB$5&lt;=LastHist,AB53,CHOOSE(Scen,AB54,AB53,AB52))</f>
        <v>240</v>
      </c>
      <c r="AC151" s="103" t="n">
        <f aca="false">IF(AC$5&lt;=LastHist,AC53,CHOOSE(Scen,AC54,AC53,AC52))</f>
        <v>240</v>
      </c>
      <c r="AD151" s="103" t="n">
        <f aca="false">IF(AD$5&lt;=LastHist,AD53,CHOOSE(Scen,AD54,AD53,AD52))</f>
        <v>240</v>
      </c>
      <c r="AE151" s="103" t="n">
        <f aca="false">IF(AE$5&lt;=LastHist,AE53,CHOOSE(Scen,AE54,AE53,AE52))</f>
        <v>240</v>
      </c>
      <c r="AF151" s="103" t="n">
        <f aca="false">IF(AF$5&lt;=LastHist,AF53,CHOOSE(Scen,AF54,AF53,AF52))</f>
        <v>240</v>
      </c>
      <c r="AG151" s="103" t="n">
        <f aca="false">IF(AG$5&lt;=LastHist,AG53,CHOOSE(Scen,AG54,AG53,AG52))</f>
        <v>240</v>
      </c>
      <c r="AI151" s="103" t="n">
        <f aca="false">INDEX($F151:$AG151,1,MATCH(AI$7,$F$7:$AG$7,1))</f>
        <v>0</v>
      </c>
      <c r="AJ151" s="103" t="n">
        <f aca="false">INDEX($F151:$AG151,1,MATCH(AJ$7,$F$7:$AG$7,1))</f>
        <v>0</v>
      </c>
      <c r="AK151" s="103" t="n">
        <f aca="false">INDEX($F151:$AG151,1,MATCH(AK$7,$F$7:$AG$7,1))</f>
        <v>30</v>
      </c>
      <c r="AL151" s="103" t="n">
        <f aca="false">INDEX($F151:$AG151,1,MATCH(AL$7,$F$7:$AG$7,1))</f>
        <v>180</v>
      </c>
      <c r="AM151" s="103" t="n">
        <f aca="false">INDEX($F151:$AG151,1,MATCH(AM$7,$F$7:$AG$7,1))</f>
        <v>240</v>
      </c>
      <c r="AN151" s="103" t="n">
        <f aca="false">INDEX($F151:$AG151,1,MATCH(AN$7,$F$7:$AG$7,1))</f>
        <v>240</v>
      </c>
      <c r="AO151" s="103" t="n">
        <f aca="false">INDEX($F151:$AG151,1,MATCH(AO$7,$F$7:$AG$7,1))</f>
        <v>240</v>
      </c>
    </row>
    <row r="152" customFormat="false" ht="15" hidden="false" customHeight="false" outlineLevel="0" collapsed="false">
      <c r="A152" s="101" t="s">
        <v>1087</v>
      </c>
      <c r="B152" s="18" t="s">
        <v>415</v>
      </c>
      <c r="C152" s="18" t="s">
        <v>354</v>
      </c>
      <c r="D152" s="18"/>
      <c r="F152" s="103" t="n">
        <f aca="false">IF(F$5&lt;=LastHist,F56,CHOOSE(Scen,F57,F56,F55))</f>
        <v>0</v>
      </c>
      <c r="G152" s="103" t="n">
        <f aca="false">IF(G$5&lt;=LastHist,G56,CHOOSE(Scen,G57,G56,G55))</f>
        <v>0</v>
      </c>
      <c r="H152" s="103" t="n">
        <f aca="false">IF(H$5&lt;=LastHist,H56,CHOOSE(Scen,H57,H56,H55))</f>
        <v>0</v>
      </c>
      <c r="I152" s="103" t="n">
        <f aca="false">IF(I$5&lt;=LastHist,I56,CHOOSE(Scen,I57,I56,I55))</f>
        <v>0</v>
      </c>
      <c r="J152" s="103" t="n">
        <f aca="false">IF(J$5&lt;=LastHist,J56,CHOOSE(Scen,J57,J56,J55))</f>
        <v>0</v>
      </c>
      <c r="K152" s="103" t="n">
        <f aca="false">IF(K$5&lt;=LastHist,K56,CHOOSE(Scen,K57,K56,K55))</f>
        <v>0</v>
      </c>
      <c r="L152" s="103" t="n">
        <f aca="false">IF(L$5&lt;=LastHist,L56,CHOOSE(Scen,L57,L56,L55))</f>
        <v>0</v>
      </c>
      <c r="M152" s="103" t="n">
        <f aca="false">IF(M$5&lt;=LastHist,M56,CHOOSE(Scen,M57,M56,M55))</f>
        <v>0</v>
      </c>
      <c r="N152" s="103" t="n">
        <f aca="false">IF(N$5&lt;=LastHist,N56,CHOOSE(Scen,N57,N56,N55))</f>
        <v>0</v>
      </c>
      <c r="O152" s="103" t="n">
        <f aca="false">IF(O$5&lt;=LastHist,O56,CHOOSE(Scen,O57,O56,O55))</f>
        <v>0</v>
      </c>
      <c r="P152" s="103" t="n">
        <f aca="false">IF(P$5&lt;=LastHist,P56,CHOOSE(Scen,P57,P56,P55))</f>
        <v>0</v>
      </c>
      <c r="Q152" s="103" t="n">
        <f aca="false">IF(Q$5&lt;=LastHist,Q56,CHOOSE(Scen,Q57,Q56,Q55))</f>
        <v>0</v>
      </c>
      <c r="R152" s="103" t="n">
        <f aca="false">IF(R$5&lt;=LastHist,R56,CHOOSE(Scen,R57,R56,R55))</f>
        <v>0</v>
      </c>
      <c r="S152" s="103" t="n">
        <f aca="false">IF(S$5&lt;=LastHist,S56,CHOOSE(Scen,S57,S56,S55))</f>
        <v>17.5</v>
      </c>
      <c r="T152" s="103" t="n">
        <f aca="false">IF(T$5&lt;=LastHist,T56,CHOOSE(Scen,T57,T56,T55))</f>
        <v>35</v>
      </c>
      <c r="U152" s="103" t="n">
        <f aca="false">IF(U$5&lt;=LastHist,U56,CHOOSE(Scen,U57,U56,U55))</f>
        <v>52.5</v>
      </c>
      <c r="V152" s="103" t="n">
        <f aca="false">IF(V$5&lt;=LastHist,V56,CHOOSE(Scen,V57,V56,V55))</f>
        <v>52.5</v>
      </c>
      <c r="W152" s="103" t="n">
        <f aca="false">IF(W$5&lt;=LastHist,W56,CHOOSE(Scen,W57,W56,W55))</f>
        <v>105</v>
      </c>
      <c r="X152" s="103" t="n">
        <f aca="false">IF(X$5&lt;=LastHist,X56,CHOOSE(Scen,X57,X56,X55))</f>
        <v>105</v>
      </c>
      <c r="Y152" s="103" t="n">
        <f aca="false">IF(Y$5&lt;=LastHist,Y56,CHOOSE(Scen,Y57,Y56,Y55))</f>
        <v>170</v>
      </c>
      <c r="Z152" s="103" t="n">
        <f aca="false">IF(Z$5&lt;=LastHist,Z56,CHOOSE(Scen,Z57,Z56,Z55))</f>
        <v>170</v>
      </c>
      <c r="AA152" s="103" t="n">
        <f aca="false">IF(AA$5&lt;=LastHist,AA56,CHOOSE(Scen,AA57,AA56,AA55))</f>
        <v>170</v>
      </c>
      <c r="AB152" s="103" t="n">
        <f aca="false">IF(AB$5&lt;=LastHist,AB56,CHOOSE(Scen,AB57,AB56,AB55))</f>
        <v>170</v>
      </c>
      <c r="AC152" s="103" t="n">
        <f aca="false">IF(AC$5&lt;=LastHist,AC56,CHOOSE(Scen,AC57,AC56,AC55))</f>
        <v>265</v>
      </c>
      <c r="AD152" s="103" t="n">
        <f aca="false">IF(AD$5&lt;=LastHist,AD56,CHOOSE(Scen,AD57,AD56,AD55))</f>
        <v>265</v>
      </c>
      <c r="AE152" s="103" t="n">
        <f aca="false">IF(AE$5&lt;=LastHist,AE56,CHOOSE(Scen,AE57,AE56,AE55))</f>
        <v>265</v>
      </c>
      <c r="AF152" s="103" t="n">
        <f aca="false">IF(AF$5&lt;=LastHist,AF56,CHOOSE(Scen,AF57,AF56,AF55))</f>
        <v>265</v>
      </c>
      <c r="AG152" s="103" t="n">
        <f aca="false">IF(AG$5&lt;=LastHist,AG56,CHOOSE(Scen,AG57,AG56,AG55))</f>
        <v>310</v>
      </c>
      <c r="AI152" s="103" t="n">
        <f aca="false">INDEX($F152:$AG152,1,MATCH(AI$7,$F$7:$AG$7,1))</f>
        <v>0</v>
      </c>
      <c r="AJ152" s="103" t="n">
        <f aca="false">INDEX($F152:$AG152,1,MATCH(AJ$7,$F$7:$AG$7,1))</f>
        <v>0</v>
      </c>
      <c r="AK152" s="103" t="n">
        <f aca="false">INDEX($F152:$AG152,1,MATCH(AK$7,$F$7:$AG$7,1))</f>
        <v>0</v>
      </c>
      <c r="AL152" s="103" t="n">
        <f aca="false">INDEX($F152:$AG152,1,MATCH(AL$7,$F$7:$AG$7,1))</f>
        <v>52.5</v>
      </c>
      <c r="AM152" s="103" t="n">
        <f aca="false">INDEX($F152:$AG152,1,MATCH(AM$7,$F$7:$AG$7,1))</f>
        <v>170</v>
      </c>
      <c r="AN152" s="103" t="n">
        <f aca="false">INDEX($F152:$AG152,1,MATCH(AN$7,$F$7:$AG$7,1))</f>
        <v>265</v>
      </c>
      <c r="AO152" s="103" t="n">
        <f aca="false">INDEX($F152:$AG152,1,MATCH(AO$7,$F$7:$AG$7,1))</f>
        <v>310</v>
      </c>
    </row>
    <row r="153" customFormat="false" ht="15" hidden="false" customHeight="false" outlineLevel="0" collapsed="false">
      <c r="A153" s="101" t="s">
        <v>1088</v>
      </c>
      <c r="B153" s="18" t="s">
        <v>415</v>
      </c>
      <c r="C153" s="18" t="s">
        <v>354</v>
      </c>
      <c r="D153" s="18"/>
      <c r="F153" s="103" t="n">
        <f aca="false">IF(F$5&lt;=LastHist,F59,CHOOSE(Scen,F60,F59,F58))</f>
        <v>25</v>
      </c>
      <c r="G153" s="103" t="n">
        <f aca="false">IF(G$5&lt;=LastHist,G59,CHOOSE(Scen,G60,G59,G58))</f>
        <v>25</v>
      </c>
      <c r="H153" s="103" t="n">
        <f aca="false">IF(H$5&lt;=LastHist,H59,CHOOSE(Scen,H60,H59,H58))</f>
        <v>25</v>
      </c>
      <c r="I153" s="103" t="n">
        <f aca="false">IF(I$5&lt;=LastHist,I59,CHOOSE(Scen,I60,I59,I58))</f>
        <v>25</v>
      </c>
      <c r="J153" s="103" t="n">
        <f aca="false">IF(J$5&lt;=LastHist,J59,CHOOSE(Scen,J60,J59,J58))</f>
        <v>25</v>
      </c>
      <c r="K153" s="103" t="n">
        <f aca="false">IF(K$5&lt;=LastHist,K59,CHOOSE(Scen,K60,K59,K58))</f>
        <v>25</v>
      </c>
      <c r="L153" s="103" t="n">
        <f aca="false">IF(L$5&lt;=LastHist,L59,CHOOSE(Scen,L60,L59,L58))</f>
        <v>37.5</v>
      </c>
      <c r="M153" s="103" t="n">
        <f aca="false">IF(M$5&lt;=LastHist,M59,CHOOSE(Scen,M60,M59,M58))</f>
        <v>62.5</v>
      </c>
      <c r="N153" s="103" t="n">
        <f aca="false">IF(N$5&lt;=LastHist,N59,CHOOSE(Scen,N60,N59,N58))</f>
        <v>75</v>
      </c>
      <c r="O153" s="103" t="n">
        <f aca="false">IF(O$5&lt;=LastHist,O59,CHOOSE(Scen,O60,O59,O58))</f>
        <v>75</v>
      </c>
      <c r="P153" s="103" t="n">
        <f aca="false">IF(P$5&lt;=LastHist,P59,CHOOSE(Scen,P60,P59,P58))</f>
        <v>75</v>
      </c>
      <c r="Q153" s="103" t="n">
        <f aca="false">IF(Q$5&lt;=LastHist,Q59,CHOOSE(Scen,Q60,Q59,Q58))</f>
        <v>75</v>
      </c>
      <c r="R153" s="103" t="n">
        <f aca="false">IF(R$5&lt;=LastHist,R59,CHOOSE(Scen,R60,R59,R58))</f>
        <v>75</v>
      </c>
      <c r="S153" s="103" t="n">
        <f aca="false">IF(S$5&lt;=LastHist,S59,CHOOSE(Scen,S60,S59,S58))</f>
        <v>75</v>
      </c>
      <c r="T153" s="103" t="n">
        <f aca="false">IF(T$5&lt;=LastHist,T59,CHOOSE(Scen,T60,T59,T58))</f>
        <v>75</v>
      </c>
      <c r="U153" s="103" t="n">
        <f aca="false">IF(U$5&lt;=LastHist,U59,CHOOSE(Scen,U60,U59,U58))</f>
        <v>75</v>
      </c>
      <c r="V153" s="103" t="n">
        <f aca="false">IF(V$5&lt;=LastHist,V59,CHOOSE(Scen,V60,V59,V58))</f>
        <v>75</v>
      </c>
      <c r="W153" s="103" t="n">
        <f aca="false">IF(W$5&lt;=LastHist,W59,CHOOSE(Scen,W60,W59,W58))</f>
        <v>75</v>
      </c>
      <c r="X153" s="103" t="n">
        <f aca="false">IF(X$5&lt;=LastHist,X59,CHOOSE(Scen,X60,X59,X58))</f>
        <v>75</v>
      </c>
      <c r="Y153" s="103" t="n">
        <f aca="false">IF(Y$5&lt;=LastHist,Y59,CHOOSE(Scen,Y60,Y59,Y58))</f>
        <v>75</v>
      </c>
      <c r="Z153" s="103" t="n">
        <f aca="false">IF(Z$5&lt;=LastHist,Z59,CHOOSE(Scen,Z60,Z59,Z58))</f>
        <v>75</v>
      </c>
      <c r="AA153" s="103" t="n">
        <f aca="false">IF(AA$5&lt;=LastHist,AA59,CHOOSE(Scen,AA60,AA59,AA58))</f>
        <v>75</v>
      </c>
      <c r="AB153" s="103" t="n">
        <f aca="false">IF(AB$5&lt;=LastHist,AB59,CHOOSE(Scen,AB60,AB59,AB58))</f>
        <v>75</v>
      </c>
      <c r="AC153" s="103" t="n">
        <f aca="false">IF(AC$5&lt;=LastHist,AC59,CHOOSE(Scen,AC60,AC59,AC58))</f>
        <v>75</v>
      </c>
      <c r="AD153" s="103" t="n">
        <f aca="false">IF(AD$5&lt;=LastHist,AD59,CHOOSE(Scen,AD60,AD59,AD58))</f>
        <v>75</v>
      </c>
      <c r="AE153" s="103" t="n">
        <f aca="false">IF(AE$5&lt;=LastHist,AE59,CHOOSE(Scen,AE60,AE59,AE58))</f>
        <v>75</v>
      </c>
      <c r="AF153" s="103" t="n">
        <f aca="false">IF(AF$5&lt;=LastHist,AF59,CHOOSE(Scen,AF60,AF59,AF58))</f>
        <v>75</v>
      </c>
      <c r="AG153" s="103" t="n">
        <f aca="false">IF(AG$5&lt;=LastHist,AG59,CHOOSE(Scen,AG60,AG59,AG58))</f>
        <v>75</v>
      </c>
      <c r="AI153" s="103" t="n">
        <f aca="false">INDEX($F153:$AG153,1,MATCH(AI$7,$F$7:$AG$7,1))</f>
        <v>25</v>
      </c>
      <c r="AJ153" s="103" t="n">
        <f aca="false">INDEX($F153:$AG153,1,MATCH(AJ$7,$F$7:$AG$7,1))</f>
        <v>62.5</v>
      </c>
      <c r="AK153" s="103" t="n">
        <f aca="false">INDEX($F153:$AG153,1,MATCH(AK$7,$F$7:$AG$7,1))</f>
        <v>75</v>
      </c>
      <c r="AL153" s="103" t="n">
        <f aca="false">INDEX($F153:$AG153,1,MATCH(AL$7,$F$7:$AG$7,1))</f>
        <v>75</v>
      </c>
      <c r="AM153" s="103" t="n">
        <f aca="false">INDEX($F153:$AG153,1,MATCH(AM$7,$F$7:$AG$7,1))</f>
        <v>75</v>
      </c>
      <c r="AN153" s="103" t="n">
        <f aca="false">INDEX($F153:$AG153,1,MATCH(AN$7,$F$7:$AG$7,1))</f>
        <v>75</v>
      </c>
      <c r="AO153" s="103" t="n">
        <f aca="false">INDEX($F153:$AG153,1,MATCH(AO$7,$F$7:$AG$7,1))</f>
        <v>75</v>
      </c>
    </row>
    <row r="154" customFormat="false" ht="15" hidden="false" customHeight="false" outlineLevel="0" collapsed="false">
      <c r="A154" s="101" t="s">
        <v>1089</v>
      </c>
      <c r="B154" s="18" t="s">
        <v>415</v>
      </c>
      <c r="C154" s="18" t="s">
        <v>354</v>
      </c>
      <c r="D154" s="18"/>
      <c r="F154" s="103" t="n">
        <f aca="false">IF(F$5&lt;=LastHist,F62,CHOOSE(Scen,F63,F62,F61))</f>
        <v>0</v>
      </c>
      <c r="G154" s="103" t="n">
        <f aca="false">IF(G$5&lt;=LastHist,G62,CHOOSE(Scen,G63,G62,G61))</f>
        <v>0</v>
      </c>
      <c r="H154" s="103" t="n">
        <f aca="false">IF(H$5&lt;=LastHist,H62,CHOOSE(Scen,H63,H62,H61))</f>
        <v>0</v>
      </c>
      <c r="I154" s="103" t="n">
        <f aca="false">IF(I$5&lt;=LastHist,I62,CHOOSE(Scen,I63,I62,I61))</f>
        <v>0</v>
      </c>
      <c r="J154" s="103" t="n">
        <f aca="false">IF(J$5&lt;=LastHist,J62,CHOOSE(Scen,J63,J62,J61))</f>
        <v>0</v>
      </c>
      <c r="K154" s="103" t="n">
        <f aca="false">IF(K$5&lt;=LastHist,K62,CHOOSE(Scen,K63,K62,K61))</f>
        <v>0</v>
      </c>
      <c r="L154" s="103" t="n">
        <f aca="false">IF(L$5&lt;=LastHist,L62,CHOOSE(Scen,L63,L62,L61))</f>
        <v>0</v>
      </c>
      <c r="M154" s="103" t="n">
        <f aca="false">IF(M$5&lt;=LastHist,M62,CHOOSE(Scen,M63,M62,M61))</f>
        <v>0</v>
      </c>
      <c r="N154" s="103" t="n">
        <f aca="false">IF(N$5&lt;=LastHist,N62,CHOOSE(Scen,N63,N62,N61))</f>
        <v>0</v>
      </c>
      <c r="O154" s="103" t="n">
        <f aca="false">IF(O$5&lt;=LastHist,O62,CHOOSE(Scen,O63,O62,O61))</f>
        <v>0</v>
      </c>
      <c r="P154" s="103" t="n">
        <f aca="false">IF(P$5&lt;=LastHist,P62,CHOOSE(Scen,P63,P62,P61))</f>
        <v>0</v>
      </c>
      <c r="Q154" s="103" t="n">
        <f aca="false">IF(Q$5&lt;=LastHist,Q62,CHOOSE(Scen,Q63,Q62,Q61))</f>
        <v>0</v>
      </c>
      <c r="R154" s="103" t="n">
        <f aca="false">IF(R$5&lt;=LastHist,R62,CHOOSE(Scen,R63,R62,R61))</f>
        <v>0</v>
      </c>
      <c r="S154" s="103" t="n">
        <f aca="false">IF(S$5&lt;=LastHist,S62,CHOOSE(Scen,S63,S62,S61))</f>
        <v>0</v>
      </c>
      <c r="T154" s="103" t="n">
        <f aca="false">IF(T$5&lt;=LastHist,T62,CHOOSE(Scen,T63,T62,T61))</f>
        <v>0</v>
      </c>
      <c r="U154" s="103" t="n">
        <f aca="false">IF(U$5&lt;=LastHist,U62,CHOOSE(Scen,U63,U62,U61))</f>
        <v>17.5</v>
      </c>
      <c r="V154" s="103" t="n">
        <f aca="false">IF(V$5&lt;=LastHist,V62,CHOOSE(Scen,V63,V62,V61))</f>
        <v>52.5</v>
      </c>
      <c r="W154" s="103" t="n">
        <f aca="false">IF(W$5&lt;=LastHist,W62,CHOOSE(Scen,W63,W62,W61))</f>
        <v>70</v>
      </c>
      <c r="X154" s="103" t="n">
        <f aca="false">IF(X$5&lt;=LastHist,X62,CHOOSE(Scen,X63,X62,X61))</f>
        <v>70</v>
      </c>
      <c r="Y154" s="103" t="n">
        <f aca="false">IF(Y$5&lt;=LastHist,Y62,CHOOSE(Scen,Y63,Y62,Y61))</f>
        <v>70</v>
      </c>
      <c r="Z154" s="103" t="n">
        <f aca="false">IF(Z$5&lt;=LastHist,Z62,CHOOSE(Scen,Z63,Z62,Z61))</f>
        <v>70</v>
      </c>
      <c r="AA154" s="103" t="n">
        <f aca="false">IF(AA$5&lt;=LastHist,AA62,CHOOSE(Scen,AA63,AA62,AA61))</f>
        <v>70</v>
      </c>
      <c r="AB154" s="103" t="n">
        <f aca="false">IF(AB$5&lt;=LastHist,AB62,CHOOSE(Scen,AB63,AB62,AB61))</f>
        <v>70</v>
      </c>
      <c r="AC154" s="103" t="n">
        <f aca="false">IF(AC$5&lt;=LastHist,AC62,CHOOSE(Scen,AC63,AC62,AC61))</f>
        <v>70</v>
      </c>
      <c r="AD154" s="103" t="n">
        <f aca="false">IF(AD$5&lt;=LastHist,AD62,CHOOSE(Scen,AD63,AD62,AD61))</f>
        <v>70</v>
      </c>
      <c r="AE154" s="103" t="n">
        <f aca="false">IF(AE$5&lt;=LastHist,AE62,CHOOSE(Scen,AE63,AE62,AE61))</f>
        <v>70</v>
      </c>
      <c r="AF154" s="103" t="n">
        <f aca="false">IF(AF$5&lt;=LastHist,AF62,CHOOSE(Scen,AF63,AF62,AF61))</f>
        <v>70</v>
      </c>
      <c r="AG154" s="103" t="n">
        <f aca="false">IF(AG$5&lt;=LastHist,AG62,CHOOSE(Scen,AG63,AG62,AG61))</f>
        <v>70</v>
      </c>
      <c r="AI154" s="103" t="n">
        <f aca="false">INDEX($F154:$AG154,1,MATCH(AI$7,$F$7:$AG$7,1))</f>
        <v>0</v>
      </c>
      <c r="AJ154" s="103" t="n">
        <f aca="false">INDEX($F154:$AG154,1,MATCH(AJ$7,$F$7:$AG$7,1))</f>
        <v>0</v>
      </c>
      <c r="AK154" s="103" t="n">
        <f aca="false">INDEX($F154:$AG154,1,MATCH(AK$7,$F$7:$AG$7,1))</f>
        <v>0</v>
      </c>
      <c r="AL154" s="103" t="n">
        <f aca="false">INDEX($F154:$AG154,1,MATCH(AL$7,$F$7:$AG$7,1))</f>
        <v>17.5</v>
      </c>
      <c r="AM154" s="103" t="n">
        <f aca="false">INDEX($F154:$AG154,1,MATCH(AM$7,$F$7:$AG$7,1))</f>
        <v>70</v>
      </c>
      <c r="AN154" s="103" t="n">
        <f aca="false">INDEX($F154:$AG154,1,MATCH(AN$7,$F$7:$AG$7,1))</f>
        <v>70</v>
      </c>
      <c r="AO154" s="103" t="n">
        <f aca="false">INDEX($F154:$AG154,1,MATCH(AO$7,$F$7:$AG$7,1))</f>
        <v>70</v>
      </c>
    </row>
    <row r="155" customFormat="false" ht="15" hidden="false" customHeight="false" outlineLevel="0" collapsed="false">
      <c r="A155" s="101" t="s">
        <v>1090</v>
      </c>
      <c r="B155" s="18" t="s">
        <v>415</v>
      </c>
      <c r="C155" s="18" t="s">
        <v>354</v>
      </c>
      <c r="D155" s="18"/>
      <c r="F155" s="103" t="n">
        <f aca="false">IF(F$5&lt;=LastHist,F65,CHOOSE(Scen,F66,F65,F64))</f>
        <v>0</v>
      </c>
      <c r="G155" s="103" t="n">
        <f aca="false">IF(G$5&lt;=LastHist,G65,CHOOSE(Scen,G66,G65,G64))</f>
        <v>0</v>
      </c>
      <c r="H155" s="103" t="n">
        <f aca="false">IF(H$5&lt;=LastHist,H65,CHOOSE(Scen,H66,H65,H64))</f>
        <v>0</v>
      </c>
      <c r="I155" s="103" t="n">
        <f aca="false">IF(I$5&lt;=LastHist,I65,CHOOSE(Scen,I66,I65,I64))</f>
        <v>0</v>
      </c>
      <c r="J155" s="103" t="n">
        <f aca="false">IF(J$5&lt;=LastHist,J65,CHOOSE(Scen,J66,J65,J64))</f>
        <v>0</v>
      </c>
      <c r="K155" s="103" t="n">
        <f aca="false">IF(K$5&lt;=LastHist,K65,CHOOSE(Scen,K66,K65,K64))</f>
        <v>5</v>
      </c>
      <c r="L155" s="103" t="n">
        <f aca="false">IF(L$5&lt;=LastHist,L65,CHOOSE(Scen,L66,L65,L64))</f>
        <v>10</v>
      </c>
      <c r="M155" s="103" t="n">
        <f aca="false">IF(M$5&lt;=LastHist,M65,CHOOSE(Scen,M66,M65,M64))</f>
        <v>20</v>
      </c>
      <c r="N155" s="103" t="n">
        <f aca="false">IF(N$5&lt;=LastHist,N65,CHOOSE(Scen,N66,N65,N64))</f>
        <v>20</v>
      </c>
      <c r="O155" s="103" t="n">
        <f aca="false">IF(O$5&lt;=LastHist,O65,CHOOSE(Scen,O66,O65,O64))</f>
        <v>20</v>
      </c>
      <c r="P155" s="103" t="n">
        <f aca="false">IF(P$5&lt;=LastHist,P65,CHOOSE(Scen,P66,P65,P64))</f>
        <v>20</v>
      </c>
      <c r="Q155" s="103" t="n">
        <f aca="false">IF(Q$5&lt;=LastHist,Q65,CHOOSE(Scen,Q66,Q65,Q64))</f>
        <v>20</v>
      </c>
      <c r="R155" s="103" t="n">
        <f aca="false">IF(R$5&lt;=LastHist,R65,CHOOSE(Scen,R66,R65,R64))</f>
        <v>20</v>
      </c>
      <c r="S155" s="103" t="n">
        <f aca="false">IF(S$5&lt;=LastHist,S65,CHOOSE(Scen,S66,S65,S64))</f>
        <v>20</v>
      </c>
      <c r="T155" s="103" t="n">
        <f aca="false">IF(T$5&lt;=LastHist,T65,CHOOSE(Scen,T66,T65,T64))</f>
        <v>20</v>
      </c>
      <c r="U155" s="103" t="n">
        <f aca="false">IF(U$5&lt;=LastHist,U65,CHOOSE(Scen,U66,U65,U64))</f>
        <v>30</v>
      </c>
      <c r="V155" s="103" t="n">
        <f aca="false">IF(V$5&lt;=LastHist,V65,CHOOSE(Scen,V66,V65,V64))</f>
        <v>30</v>
      </c>
      <c r="W155" s="103" t="n">
        <f aca="false">IF(W$5&lt;=LastHist,W65,CHOOSE(Scen,W66,W65,W64))</f>
        <v>30</v>
      </c>
      <c r="X155" s="103" t="n">
        <f aca="false">IF(X$5&lt;=LastHist,X65,CHOOSE(Scen,X66,X65,X64))</f>
        <v>30</v>
      </c>
      <c r="Y155" s="103" t="n">
        <f aca="false">IF(Y$5&lt;=LastHist,Y65,CHOOSE(Scen,Y66,Y65,Y64))</f>
        <v>30</v>
      </c>
      <c r="Z155" s="103" t="n">
        <f aca="false">IF(Z$5&lt;=LastHist,Z65,CHOOSE(Scen,Z66,Z65,Z64))</f>
        <v>30</v>
      </c>
      <c r="AA155" s="103" t="n">
        <f aca="false">IF(AA$5&lt;=LastHist,AA65,CHOOSE(Scen,AA66,AA65,AA64))</f>
        <v>30</v>
      </c>
      <c r="AB155" s="103" t="n">
        <f aca="false">IF(AB$5&lt;=LastHist,AB65,CHOOSE(Scen,AB66,AB65,AB64))</f>
        <v>30</v>
      </c>
      <c r="AC155" s="103" t="n">
        <f aca="false">IF(AC$5&lt;=LastHist,AC65,CHOOSE(Scen,AC66,AC65,AC64))</f>
        <v>30</v>
      </c>
      <c r="AD155" s="103" t="n">
        <f aca="false">IF(AD$5&lt;=LastHist,AD65,CHOOSE(Scen,AD66,AD65,AD64))</f>
        <v>30</v>
      </c>
      <c r="AE155" s="103" t="n">
        <f aca="false">IF(AE$5&lt;=LastHist,AE65,CHOOSE(Scen,AE66,AE65,AE64))</f>
        <v>30</v>
      </c>
      <c r="AF155" s="103" t="n">
        <f aca="false">IF(AF$5&lt;=LastHist,AF65,CHOOSE(Scen,AF66,AF65,AF64))</f>
        <v>30</v>
      </c>
      <c r="AG155" s="103" t="n">
        <f aca="false">IF(AG$5&lt;=LastHist,AG65,CHOOSE(Scen,AG66,AG65,AG64))</f>
        <v>30</v>
      </c>
      <c r="AI155" s="103" t="n">
        <f aca="false">INDEX($F155:$AG155,1,MATCH(AI$7,$F$7:$AG$7,1))</f>
        <v>0</v>
      </c>
      <c r="AJ155" s="103" t="n">
        <f aca="false">INDEX($F155:$AG155,1,MATCH(AJ$7,$F$7:$AG$7,1))</f>
        <v>20</v>
      </c>
      <c r="AK155" s="103" t="n">
        <f aca="false">INDEX($F155:$AG155,1,MATCH(AK$7,$F$7:$AG$7,1))</f>
        <v>20</v>
      </c>
      <c r="AL155" s="103" t="n">
        <f aca="false">INDEX($F155:$AG155,1,MATCH(AL$7,$F$7:$AG$7,1))</f>
        <v>30</v>
      </c>
      <c r="AM155" s="103" t="n">
        <f aca="false">INDEX($F155:$AG155,1,MATCH(AM$7,$F$7:$AG$7,1))</f>
        <v>30</v>
      </c>
      <c r="AN155" s="103" t="n">
        <f aca="false">INDEX($F155:$AG155,1,MATCH(AN$7,$F$7:$AG$7,1))</f>
        <v>30</v>
      </c>
      <c r="AO155" s="103" t="n">
        <f aca="false">INDEX($F155:$AG155,1,MATCH(AO$7,$F$7:$AG$7,1))</f>
        <v>30</v>
      </c>
    </row>
    <row r="156" customFormat="false" ht="15" hidden="false" customHeight="false" outlineLevel="0" collapsed="false">
      <c r="A156" s="101" t="s">
        <v>1092</v>
      </c>
      <c r="B156" s="18" t="s">
        <v>415</v>
      </c>
      <c r="C156" s="18" t="s">
        <v>354</v>
      </c>
      <c r="D156" s="18"/>
      <c r="F156" s="103" t="n">
        <f aca="false">IF(F$5&lt;=LastHist,F68,CHOOSE(Scen,F69,F68,F67))</f>
        <v>0</v>
      </c>
      <c r="G156" s="103" t="n">
        <f aca="false">IF(G$5&lt;=LastHist,G68,CHOOSE(Scen,G69,G68,G67))</f>
        <v>0</v>
      </c>
      <c r="H156" s="103" t="n">
        <f aca="false">IF(H$5&lt;=LastHist,H68,CHOOSE(Scen,H69,H68,H67))</f>
        <v>0</v>
      </c>
      <c r="I156" s="103" t="n">
        <f aca="false">IF(I$5&lt;=LastHist,I68,CHOOSE(Scen,I69,I68,I67))</f>
        <v>5</v>
      </c>
      <c r="J156" s="103" t="n">
        <f aca="false">IF(J$5&lt;=LastHist,J68,CHOOSE(Scen,J69,J68,J67))</f>
        <v>5</v>
      </c>
      <c r="K156" s="103" t="n">
        <f aca="false">IF(K$5&lt;=LastHist,K68,CHOOSE(Scen,K69,K68,K67))</f>
        <v>5</v>
      </c>
      <c r="L156" s="103" t="n">
        <f aca="false">IF(L$5&lt;=LastHist,L68,CHOOSE(Scen,L69,L68,L67))</f>
        <v>5</v>
      </c>
      <c r="M156" s="103" t="n">
        <f aca="false">IF(M$5&lt;=LastHist,M68,CHOOSE(Scen,M69,M68,M67))</f>
        <v>5</v>
      </c>
      <c r="N156" s="103" t="n">
        <f aca="false">IF(N$5&lt;=LastHist,N68,CHOOSE(Scen,N69,N68,N67))</f>
        <v>5</v>
      </c>
      <c r="O156" s="103" t="n">
        <f aca="false">IF(O$5&lt;=LastHist,O68,CHOOSE(Scen,O69,O68,O67))</f>
        <v>5</v>
      </c>
      <c r="P156" s="103" t="n">
        <f aca="false">IF(P$5&lt;=LastHist,P68,CHOOSE(Scen,P69,P68,P67))</f>
        <v>5</v>
      </c>
      <c r="Q156" s="103" t="n">
        <f aca="false">IF(Q$5&lt;=LastHist,Q68,CHOOSE(Scen,Q69,Q68,Q67))</f>
        <v>5</v>
      </c>
      <c r="R156" s="103" t="n">
        <f aca="false">IF(R$5&lt;=LastHist,R68,CHOOSE(Scen,R69,R68,R67))</f>
        <v>5</v>
      </c>
      <c r="S156" s="103" t="n">
        <f aca="false">IF(S$5&lt;=LastHist,S68,CHOOSE(Scen,S69,S68,S67))</f>
        <v>5</v>
      </c>
      <c r="T156" s="103" t="n">
        <f aca="false">IF(T$5&lt;=LastHist,T68,CHOOSE(Scen,T69,T68,T67))</f>
        <v>5</v>
      </c>
      <c r="U156" s="103" t="n">
        <f aca="false">IF(U$5&lt;=LastHist,U68,CHOOSE(Scen,U69,U68,U67))</f>
        <v>5</v>
      </c>
      <c r="V156" s="103" t="n">
        <f aca="false">IF(V$5&lt;=LastHist,V68,CHOOSE(Scen,V69,V68,V67))</f>
        <v>5</v>
      </c>
      <c r="W156" s="103" t="n">
        <f aca="false">IF(W$5&lt;=LastHist,W68,CHOOSE(Scen,W69,W68,W67))</f>
        <v>5</v>
      </c>
      <c r="X156" s="103" t="n">
        <f aca="false">IF(X$5&lt;=LastHist,X68,CHOOSE(Scen,X69,X68,X67))</f>
        <v>5</v>
      </c>
      <c r="Y156" s="103" t="n">
        <f aca="false">IF(Y$5&lt;=LastHist,Y68,CHOOSE(Scen,Y69,Y68,Y67))</f>
        <v>5</v>
      </c>
      <c r="Z156" s="103" t="n">
        <f aca="false">IF(Z$5&lt;=LastHist,Z68,CHOOSE(Scen,Z69,Z68,Z67))</f>
        <v>5</v>
      </c>
      <c r="AA156" s="103" t="n">
        <f aca="false">IF(AA$5&lt;=LastHist,AA68,CHOOSE(Scen,AA69,AA68,AA67))</f>
        <v>5</v>
      </c>
      <c r="AB156" s="103" t="n">
        <f aca="false">IF(AB$5&lt;=LastHist,AB68,CHOOSE(Scen,AB69,AB68,AB67))</f>
        <v>5</v>
      </c>
      <c r="AC156" s="103" t="n">
        <f aca="false">IF(AC$5&lt;=LastHist,AC68,CHOOSE(Scen,AC69,AC68,AC67))</f>
        <v>5</v>
      </c>
      <c r="AD156" s="103" t="n">
        <f aca="false">IF(AD$5&lt;=LastHist,AD68,CHOOSE(Scen,AD69,AD68,AD67))</f>
        <v>5</v>
      </c>
      <c r="AE156" s="103" t="n">
        <f aca="false">IF(AE$5&lt;=LastHist,AE68,CHOOSE(Scen,AE69,AE68,AE67))</f>
        <v>5</v>
      </c>
      <c r="AF156" s="103" t="n">
        <f aca="false">IF(AF$5&lt;=LastHist,AF68,CHOOSE(Scen,AF69,AF68,AF67))</f>
        <v>5</v>
      </c>
      <c r="AG156" s="103" t="n">
        <f aca="false">IF(AG$5&lt;=LastHist,AG68,CHOOSE(Scen,AG69,AG68,AG67))</f>
        <v>5</v>
      </c>
      <c r="AI156" s="103" t="n">
        <f aca="false">INDEX($F156:$AG156,1,MATCH(AI$7,$F$7:$AG$7,1))</f>
        <v>5</v>
      </c>
      <c r="AJ156" s="103" t="n">
        <f aca="false">INDEX($F156:$AG156,1,MATCH(AJ$7,$F$7:$AG$7,1))</f>
        <v>5</v>
      </c>
      <c r="AK156" s="103" t="n">
        <f aca="false">INDEX($F156:$AG156,1,MATCH(AK$7,$F$7:$AG$7,1))</f>
        <v>5</v>
      </c>
      <c r="AL156" s="103" t="n">
        <f aca="false">INDEX($F156:$AG156,1,MATCH(AL$7,$F$7:$AG$7,1))</f>
        <v>5</v>
      </c>
      <c r="AM156" s="103" t="n">
        <f aca="false">INDEX($F156:$AG156,1,MATCH(AM$7,$F$7:$AG$7,1))</f>
        <v>5</v>
      </c>
      <c r="AN156" s="103" t="n">
        <f aca="false">INDEX($F156:$AG156,1,MATCH(AN$7,$F$7:$AG$7,1))</f>
        <v>5</v>
      </c>
      <c r="AO156" s="103" t="n">
        <f aca="false">INDEX($F156:$AG156,1,MATCH(AO$7,$F$7:$AG$7,1))</f>
        <v>5</v>
      </c>
    </row>
    <row r="157" customFormat="false" ht="15" hidden="false" customHeight="false" outlineLevel="0" collapsed="false">
      <c r="A157" s="101" t="s">
        <v>1094</v>
      </c>
      <c r="B157" s="18" t="s">
        <v>415</v>
      </c>
      <c r="C157" s="18" t="s">
        <v>354</v>
      </c>
      <c r="D157" s="18"/>
      <c r="F157" s="103" t="n">
        <f aca="false">IF(F$5&lt;=LastHist,F71,CHOOSE(Scen,F72,F71,F70))</f>
        <v>0</v>
      </c>
      <c r="G157" s="103" t="n">
        <f aca="false">IF(G$5&lt;=LastHist,G71,CHOOSE(Scen,G72,G71,G70))</f>
        <v>0</v>
      </c>
      <c r="H157" s="103" t="n">
        <f aca="false">IF(H$5&lt;=LastHist,H71,CHOOSE(Scen,H72,H71,H70))</f>
        <v>0</v>
      </c>
      <c r="I157" s="103" t="n">
        <f aca="false">IF(I$5&lt;=LastHist,I71,CHOOSE(Scen,I72,I71,I70))</f>
        <v>0</v>
      </c>
      <c r="J157" s="103" t="n">
        <f aca="false">IF(J$5&lt;=LastHist,J71,CHOOSE(Scen,J72,J71,J70))</f>
        <v>10</v>
      </c>
      <c r="K157" s="103" t="n">
        <f aca="false">IF(K$5&lt;=LastHist,K71,CHOOSE(Scen,K72,K71,K70))</f>
        <v>10</v>
      </c>
      <c r="L157" s="103" t="n">
        <f aca="false">IF(L$5&lt;=LastHist,L71,CHOOSE(Scen,L72,L71,L70))</f>
        <v>10</v>
      </c>
      <c r="M157" s="103" t="n">
        <f aca="false">IF(M$5&lt;=LastHist,M71,CHOOSE(Scen,M72,M71,M70))</f>
        <v>10</v>
      </c>
      <c r="N157" s="103" t="n">
        <f aca="false">IF(N$5&lt;=LastHist,N71,CHOOSE(Scen,N72,N71,N70))</f>
        <v>10</v>
      </c>
      <c r="O157" s="103" t="n">
        <f aca="false">IF(O$5&lt;=LastHist,O71,CHOOSE(Scen,O72,O71,O70))</f>
        <v>10</v>
      </c>
      <c r="P157" s="103" t="n">
        <f aca="false">IF(P$5&lt;=LastHist,P71,CHOOSE(Scen,P72,P71,P70))</f>
        <v>10</v>
      </c>
      <c r="Q157" s="103" t="n">
        <f aca="false">IF(Q$5&lt;=LastHist,Q71,CHOOSE(Scen,Q72,Q71,Q70))</f>
        <v>10</v>
      </c>
      <c r="R157" s="103" t="n">
        <f aca="false">IF(R$5&lt;=LastHist,R71,CHOOSE(Scen,R72,R71,R70))</f>
        <v>10</v>
      </c>
      <c r="S157" s="103" t="n">
        <f aca="false">IF(S$5&lt;=LastHist,S71,CHOOSE(Scen,S72,S71,S70))</f>
        <v>10</v>
      </c>
      <c r="T157" s="103" t="n">
        <f aca="false">IF(T$5&lt;=LastHist,T71,CHOOSE(Scen,T72,T71,T70))</f>
        <v>10</v>
      </c>
      <c r="U157" s="103" t="n">
        <f aca="false">IF(U$5&lt;=LastHist,U71,CHOOSE(Scen,U72,U71,U70))</f>
        <v>10</v>
      </c>
      <c r="V157" s="103" t="n">
        <f aca="false">IF(V$5&lt;=LastHist,V71,CHOOSE(Scen,V72,V71,V70))</f>
        <v>10</v>
      </c>
      <c r="W157" s="103" t="n">
        <f aca="false">IF(W$5&lt;=LastHist,W71,CHOOSE(Scen,W72,W71,W70))</f>
        <v>10</v>
      </c>
      <c r="X157" s="103" t="n">
        <f aca="false">IF(X$5&lt;=LastHist,X71,CHOOSE(Scen,X72,X71,X70))</f>
        <v>10</v>
      </c>
      <c r="Y157" s="103" t="n">
        <f aca="false">IF(Y$5&lt;=LastHist,Y71,CHOOSE(Scen,Y72,Y71,Y70))</f>
        <v>10</v>
      </c>
      <c r="Z157" s="103" t="n">
        <f aca="false">IF(Z$5&lt;=LastHist,Z71,CHOOSE(Scen,Z72,Z71,Z70))</f>
        <v>10</v>
      </c>
      <c r="AA157" s="103" t="n">
        <f aca="false">IF(AA$5&lt;=LastHist,AA71,CHOOSE(Scen,AA72,AA71,AA70))</f>
        <v>10</v>
      </c>
      <c r="AB157" s="103" t="n">
        <f aca="false">IF(AB$5&lt;=LastHist,AB71,CHOOSE(Scen,AB72,AB71,AB70))</f>
        <v>10</v>
      </c>
      <c r="AC157" s="103" t="n">
        <f aca="false">IF(AC$5&lt;=LastHist,AC71,CHOOSE(Scen,AC72,AC71,AC70))</f>
        <v>10</v>
      </c>
      <c r="AD157" s="103" t="n">
        <f aca="false">IF(AD$5&lt;=LastHist,AD71,CHOOSE(Scen,AD72,AD71,AD70))</f>
        <v>10</v>
      </c>
      <c r="AE157" s="103" t="n">
        <f aca="false">IF(AE$5&lt;=LastHist,AE71,CHOOSE(Scen,AE72,AE71,AE70))</f>
        <v>10</v>
      </c>
      <c r="AF157" s="103" t="n">
        <f aca="false">IF(AF$5&lt;=LastHist,AF71,CHOOSE(Scen,AF72,AF71,AF70))</f>
        <v>10</v>
      </c>
      <c r="AG157" s="103" t="n">
        <f aca="false">IF(AG$5&lt;=LastHist,AG71,CHOOSE(Scen,AG72,AG71,AG70))</f>
        <v>10</v>
      </c>
      <c r="AI157" s="103" t="n">
        <f aca="false">INDEX($F157:$AG157,1,MATCH(AI$7,$F$7:$AG$7,1))</f>
        <v>0</v>
      </c>
      <c r="AJ157" s="103" t="n">
        <f aca="false">INDEX($F157:$AG157,1,MATCH(AJ$7,$F$7:$AG$7,1))</f>
        <v>10</v>
      </c>
      <c r="AK157" s="103" t="n">
        <f aca="false">INDEX($F157:$AG157,1,MATCH(AK$7,$F$7:$AG$7,1))</f>
        <v>10</v>
      </c>
      <c r="AL157" s="103" t="n">
        <f aca="false">INDEX($F157:$AG157,1,MATCH(AL$7,$F$7:$AG$7,1))</f>
        <v>10</v>
      </c>
      <c r="AM157" s="103" t="n">
        <f aca="false">INDEX($F157:$AG157,1,MATCH(AM$7,$F$7:$AG$7,1))</f>
        <v>10</v>
      </c>
      <c r="AN157" s="103" t="n">
        <f aca="false">INDEX($F157:$AG157,1,MATCH(AN$7,$F$7:$AG$7,1))</f>
        <v>10</v>
      </c>
      <c r="AO157" s="103" t="n">
        <f aca="false">INDEX($F157:$AG157,1,MATCH(AO$7,$F$7:$AG$7,1))</f>
        <v>10</v>
      </c>
    </row>
    <row r="158" customFormat="false" ht="15" hidden="false" customHeight="false" outlineLevel="0" collapsed="false">
      <c r="A158" s="101" t="s">
        <v>1095</v>
      </c>
      <c r="B158" s="18" t="s">
        <v>415</v>
      </c>
      <c r="C158" s="18" t="s">
        <v>354</v>
      </c>
      <c r="D158" s="18"/>
      <c r="F158" s="103" t="n">
        <f aca="false">IF(F$5&lt;=LastHist,F74,CHOOSE(Scen,F75,F74,F73))</f>
        <v>0</v>
      </c>
      <c r="G158" s="103" t="n">
        <f aca="false">IF(G$5&lt;=LastHist,G74,CHOOSE(Scen,G75,G74,G73))</f>
        <v>0</v>
      </c>
      <c r="H158" s="103" t="n">
        <f aca="false">IF(H$5&lt;=LastHist,H74,CHOOSE(Scen,H75,H74,H73))</f>
        <v>0</v>
      </c>
      <c r="I158" s="103" t="n">
        <f aca="false">IF(I$5&lt;=LastHist,I74,CHOOSE(Scen,I75,I74,I73))</f>
        <v>0</v>
      </c>
      <c r="J158" s="103" t="n">
        <f aca="false">IF(J$5&lt;=LastHist,J74,CHOOSE(Scen,J75,J74,J73))</f>
        <v>0</v>
      </c>
      <c r="K158" s="103" t="n">
        <f aca="false">IF(K$5&lt;=LastHist,K74,CHOOSE(Scen,K75,K74,K73))</f>
        <v>0</v>
      </c>
      <c r="L158" s="103" t="n">
        <f aca="false">IF(L$5&lt;=LastHist,L74,CHOOSE(Scen,L75,L74,L73))</f>
        <v>0</v>
      </c>
      <c r="M158" s="103" t="n">
        <f aca="false">IF(M$5&lt;=LastHist,M74,CHOOSE(Scen,M75,M74,M73))</f>
        <v>16</v>
      </c>
      <c r="N158" s="103" t="n">
        <f aca="false">IF(N$5&lt;=LastHist,N74,CHOOSE(Scen,N75,N74,N73))</f>
        <v>16</v>
      </c>
      <c r="O158" s="103" t="n">
        <f aca="false">IF(O$5&lt;=LastHist,O74,CHOOSE(Scen,O75,O74,O73))</f>
        <v>16</v>
      </c>
      <c r="P158" s="103" t="n">
        <f aca="false">IF(P$5&lt;=LastHist,P74,CHOOSE(Scen,P75,P74,P73))</f>
        <v>16</v>
      </c>
      <c r="Q158" s="103" t="n">
        <f aca="false">IF(Q$5&lt;=LastHist,Q74,CHOOSE(Scen,Q75,Q74,Q73))</f>
        <v>17.5</v>
      </c>
      <c r="R158" s="103" t="n">
        <f aca="false">IF(R$5&lt;=LastHist,R74,CHOOSE(Scen,R75,R74,R73))</f>
        <v>19</v>
      </c>
      <c r="S158" s="103" t="n">
        <f aca="false">IF(S$5&lt;=LastHist,S74,CHOOSE(Scen,S75,S74,S73))</f>
        <v>19</v>
      </c>
      <c r="T158" s="103" t="n">
        <f aca="false">IF(T$5&lt;=LastHist,T74,CHOOSE(Scen,T75,T74,T73))</f>
        <v>19</v>
      </c>
      <c r="U158" s="103" t="n">
        <f aca="false">IF(U$5&lt;=LastHist,U74,CHOOSE(Scen,U75,U74,U73))</f>
        <v>19</v>
      </c>
      <c r="V158" s="103" t="n">
        <f aca="false">IF(V$5&lt;=LastHist,V74,CHOOSE(Scen,V75,V74,V73))</f>
        <v>19</v>
      </c>
      <c r="W158" s="103" t="n">
        <f aca="false">IF(W$5&lt;=LastHist,W74,CHOOSE(Scen,W75,W74,W73))</f>
        <v>19</v>
      </c>
      <c r="X158" s="103" t="n">
        <f aca="false">IF(X$5&lt;=LastHist,X74,CHOOSE(Scen,X75,X74,X73))</f>
        <v>19</v>
      </c>
      <c r="Y158" s="103" t="n">
        <f aca="false">IF(Y$5&lt;=LastHist,Y74,CHOOSE(Scen,Y75,Y74,Y73))</f>
        <v>19</v>
      </c>
      <c r="Z158" s="103" t="n">
        <f aca="false">IF(Z$5&lt;=LastHist,Z74,CHOOSE(Scen,Z75,Z74,Z73))</f>
        <v>19</v>
      </c>
      <c r="AA158" s="103" t="n">
        <f aca="false">IF(AA$5&lt;=LastHist,AA74,CHOOSE(Scen,AA75,AA74,AA73))</f>
        <v>19</v>
      </c>
      <c r="AB158" s="103" t="n">
        <f aca="false">IF(AB$5&lt;=LastHist,AB74,CHOOSE(Scen,AB75,AB74,AB73))</f>
        <v>19</v>
      </c>
      <c r="AC158" s="103" t="n">
        <f aca="false">IF(AC$5&lt;=LastHist,AC74,CHOOSE(Scen,AC75,AC74,AC73))</f>
        <v>19</v>
      </c>
      <c r="AD158" s="103" t="n">
        <f aca="false">IF(AD$5&lt;=LastHist,AD74,CHOOSE(Scen,AD75,AD74,AD73))</f>
        <v>19</v>
      </c>
      <c r="AE158" s="103" t="n">
        <f aca="false">IF(AE$5&lt;=LastHist,AE74,CHOOSE(Scen,AE75,AE74,AE73))</f>
        <v>19</v>
      </c>
      <c r="AF158" s="103" t="n">
        <f aca="false">IF(AF$5&lt;=LastHist,AF74,CHOOSE(Scen,AF75,AF74,AF73))</f>
        <v>19</v>
      </c>
      <c r="AG158" s="103" t="n">
        <f aca="false">IF(AG$5&lt;=LastHist,AG74,CHOOSE(Scen,AG75,AG74,AG73))</f>
        <v>19</v>
      </c>
      <c r="AI158" s="103" t="n">
        <f aca="false">INDEX($F158:$AG158,1,MATCH(AI$7,$F$7:$AG$7,1))</f>
        <v>0</v>
      </c>
      <c r="AJ158" s="103" t="n">
        <f aca="false">INDEX($F158:$AG158,1,MATCH(AJ$7,$F$7:$AG$7,1))</f>
        <v>16</v>
      </c>
      <c r="AK158" s="103" t="n">
        <f aca="false">INDEX($F158:$AG158,1,MATCH(AK$7,$F$7:$AG$7,1))</f>
        <v>17.5</v>
      </c>
      <c r="AL158" s="103" t="n">
        <f aca="false">INDEX($F158:$AG158,1,MATCH(AL$7,$F$7:$AG$7,1))</f>
        <v>19</v>
      </c>
      <c r="AM158" s="103" t="n">
        <f aca="false">INDEX($F158:$AG158,1,MATCH(AM$7,$F$7:$AG$7,1))</f>
        <v>19</v>
      </c>
      <c r="AN158" s="103" t="n">
        <f aca="false">INDEX($F158:$AG158,1,MATCH(AN$7,$F$7:$AG$7,1))</f>
        <v>19</v>
      </c>
      <c r="AO158" s="103" t="n">
        <f aca="false">INDEX($F158:$AG158,1,MATCH(AO$7,$F$7:$AG$7,1))</f>
        <v>19</v>
      </c>
    </row>
    <row r="159" customFormat="false" ht="15" hidden="false" customHeight="false" outlineLevel="0" collapsed="false">
      <c r="A159" s="101" t="s">
        <v>1097</v>
      </c>
      <c r="B159" s="18" t="s">
        <v>415</v>
      </c>
      <c r="C159" s="18" t="s">
        <v>354</v>
      </c>
      <c r="D159" s="18"/>
      <c r="F159" s="103" t="n">
        <f aca="false">IF(F$5&lt;=LastHist,F77,CHOOSE(Scen,F78,F77,F76))</f>
        <v>0</v>
      </c>
      <c r="G159" s="103" t="n">
        <f aca="false">IF(G$5&lt;=LastHist,G77,CHOOSE(Scen,G78,G77,G76))</f>
        <v>0</v>
      </c>
      <c r="H159" s="103" t="n">
        <f aca="false">IF(H$5&lt;=LastHist,H77,CHOOSE(Scen,H78,H77,H76))</f>
        <v>0</v>
      </c>
      <c r="I159" s="103" t="n">
        <f aca="false">IF(I$5&lt;=LastHist,I77,CHOOSE(Scen,I78,I77,I76))</f>
        <v>0</v>
      </c>
      <c r="J159" s="103" t="n">
        <f aca="false">IF(J$5&lt;=LastHist,J77,CHOOSE(Scen,J78,J77,J76))</f>
        <v>0</v>
      </c>
      <c r="K159" s="103" t="n">
        <f aca="false">IF(K$5&lt;=LastHist,K77,CHOOSE(Scen,K78,K77,K76))</f>
        <v>0</v>
      </c>
      <c r="L159" s="103" t="n">
        <f aca="false">IF(L$5&lt;=LastHist,L77,CHOOSE(Scen,L78,L77,L76))</f>
        <v>0</v>
      </c>
      <c r="M159" s="103" t="n">
        <f aca="false">IF(M$5&lt;=LastHist,M77,CHOOSE(Scen,M78,M77,M76))</f>
        <v>0</v>
      </c>
      <c r="N159" s="103" t="n">
        <f aca="false">IF(N$5&lt;=LastHist,N77,CHOOSE(Scen,N78,N77,N76))</f>
        <v>0</v>
      </c>
      <c r="O159" s="103" t="n">
        <f aca="false">IF(O$5&lt;=LastHist,O77,CHOOSE(Scen,O78,O77,O76))</f>
        <v>0</v>
      </c>
      <c r="P159" s="103" t="n">
        <f aca="false">IF(P$5&lt;=LastHist,P77,CHOOSE(Scen,P78,P77,P76))</f>
        <v>0</v>
      </c>
      <c r="Q159" s="103" t="n">
        <f aca="false">IF(Q$5&lt;=LastHist,Q77,CHOOSE(Scen,Q78,Q77,Q76))</f>
        <v>2.2</v>
      </c>
      <c r="R159" s="103" t="n">
        <f aca="false">IF(R$5&lt;=LastHist,R77,CHOOSE(Scen,R78,R77,R76))</f>
        <v>13.2</v>
      </c>
      <c r="S159" s="103" t="n">
        <f aca="false">IF(S$5&lt;=LastHist,S77,CHOOSE(Scen,S78,S77,S76))</f>
        <v>13.2</v>
      </c>
      <c r="T159" s="103" t="n">
        <f aca="false">IF(T$5&lt;=LastHist,T77,CHOOSE(Scen,T78,T77,T76))</f>
        <v>22</v>
      </c>
      <c r="U159" s="103" t="n">
        <f aca="false">IF(U$5&lt;=LastHist,U77,CHOOSE(Scen,U78,U77,U76))</f>
        <v>22</v>
      </c>
      <c r="V159" s="103" t="n">
        <f aca="false">IF(V$5&lt;=LastHist,V77,CHOOSE(Scen,V78,V77,V76))</f>
        <v>22</v>
      </c>
      <c r="W159" s="103" t="n">
        <f aca="false">IF(W$5&lt;=LastHist,W77,CHOOSE(Scen,W78,W77,W76))</f>
        <v>22</v>
      </c>
      <c r="X159" s="103" t="n">
        <f aca="false">IF(X$5&lt;=LastHist,X77,CHOOSE(Scen,X78,X77,X76))</f>
        <v>22</v>
      </c>
      <c r="Y159" s="103" t="n">
        <f aca="false">IF(Y$5&lt;=LastHist,Y77,CHOOSE(Scen,Y78,Y77,Y76))</f>
        <v>22</v>
      </c>
      <c r="Z159" s="103" t="n">
        <f aca="false">IF(Z$5&lt;=LastHist,Z77,CHOOSE(Scen,Z78,Z77,Z76))</f>
        <v>22</v>
      </c>
      <c r="AA159" s="103" t="n">
        <f aca="false">IF(AA$5&lt;=LastHist,AA77,CHOOSE(Scen,AA78,AA77,AA76))</f>
        <v>22</v>
      </c>
      <c r="AB159" s="103" t="n">
        <f aca="false">IF(AB$5&lt;=LastHist,AB77,CHOOSE(Scen,AB78,AB77,AB76))</f>
        <v>22</v>
      </c>
      <c r="AC159" s="103" t="n">
        <f aca="false">IF(AC$5&lt;=LastHist,AC77,CHOOSE(Scen,AC78,AC77,AC76))</f>
        <v>22</v>
      </c>
      <c r="AD159" s="103" t="n">
        <f aca="false">IF(AD$5&lt;=LastHist,AD77,CHOOSE(Scen,AD78,AD77,AD76))</f>
        <v>22</v>
      </c>
      <c r="AE159" s="103" t="n">
        <f aca="false">IF(AE$5&lt;=LastHist,AE77,CHOOSE(Scen,AE78,AE77,AE76))</f>
        <v>22</v>
      </c>
      <c r="AF159" s="103" t="n">
        <f aca="false">IF(AF$5&lt;=LastHist,AF77,CHOOSE(Scen,AF78,AF77,AF76))</f>
        <v>22</v>
      </c>
      <c r="AG159" s="103" t="n">
        <f aca="false">IF(AG$5&lt;=LastHist,AG77,CHOOSE(Scen,AG78,AG77,AG76))</f>
        <v>22</v>
      </c>
      <c r="AI159" s="103" t="n">
        <f aca="false">INDEX($F159:$AG159,1,MATCH(AI$7,$F$7:$AG$7,1))</f>
        <v>0</v>
      </c>
      <c r="AJ159" s="103" t="n">
        <f aca="false">INDEX($F159:$AG159,1,MATCH(AJ$7,$F$7:$AG$7,1))</f>
        <v>0</v>
      </c>
      <c r="AK159" s="103" t="n">
        <f aca="false">INDEX($F159:$AG159,1,MATCH(AK$7,$F$7:$AG$7,1))</f>
        <v>2.2</v>
      </c>
      <c r="AL159" s="103" t="n">
        <f aca="false">INDEX($F159:$AG159,1,MATCH(AL$7,$F$7:$AG$7,1))</f>
        <v>22</v>
      </c>
      <c r="AM159" s="103" t="n">
        <f aca="false">INDEX($F159:$AG159,1,MATCH(AM$7,$F$7:$AG$7,1))</f>
        <v>22</v>
      </c>
      <c r="AN159" s="103" t="n">
        <f aca="false">INDEX($F159:$AG159,1,MATCH(AN$7,$F$7:$AG$7,1))</f>
        <v>22</v>
      </c>
      <c r="AO159" s="103" t="n">
        <f aca="false">INDEX($F159:$AG159,1,MATCH(AO$7,$F$7:$AG$7,1))</f>
        <v>22</v>
      </c>
    </row>
    <row r="160" customFormat="false" ht="15" hidden="false" customHeight="false" outlineLevel="0" collapsed="false">
      <c r="A160" s="101" t="s">
        <v>1098</v>
      </c>
      <c r="B160" s="18" t="s">
        <v>415</v>
      </c>
      <c r="C160" s="18" t="s">
        <v>354</v>
      </c>
      <c r="D160" s="18"/>
      <c r="F160" s="103" t="n">
        <f aca="false">IF(F$5&lt;=LastHist,F80,CHOOSE(Scen,F81,F80,F79))</f>
        <v>0</v>
      </c>
      <c r="G160" s="103" t="n">
        <f aca="false">IF(G$5&lt;=LastHist,G80,CHOOSE(Scen,G81,G80,G79))</f>
        <v>0</v>
      </c>
      <c r="H160" s="103" t="n">
        <f aca="false">IF(H$5&lt;=LastHist,H80,CHOOSE(Scen,H81,H80,H79))</f>
        <v>0</v>
      </c>
      <c r="I160" s="103" t="n">
        <f aca="false">IF(I$5&lt;=LastHist,I80,CHOOSE(Scen,I81,I80,I79))</f>
        <v>0</v>
      </c>
      <c r="J160" s="103" t="n">
        <f aca="false">IF(J$5&lt;=LastHist,J80,CHOOSE(Scen,J81,J80,J79))</f>
        <v>0</v>
      </c>
      <c r="K160" s="103" t="n">
        <f aca="false">IF(K$5&lt;=LastHist,K80,CHOOSE(Scen,K81,K80,K79))</f>
        <v>0</v>
      </c>
      <c r="L160" s="103" t="n">
        <f aca="false">IF(L$5&lt;=LastHist,L80,CHOOSE(Scen,L81,L80,L79))</f>
        <v>0</v>
      </c>
      <c r="M160" s="103" t="n">
        <f aca="false">IF(M$5&lt;=LastHist,M80,CHOOSE(Scen,M81,M80,M79))</f>
        <v>0</v>
      </c>
      <c r="N160" s="103" t="n">
        <f aca="false">IF(N$5&lt;=LastHist,N80,CHOOSE(Scen,N81,N80,N79))</f>
        <v>0</v>
      </c>
      <c r="O160" s="103" t="n">
        <f aca="false">IF(O$5&lt;=LastHist,O80,CHOOSE(Scen,O81,O80,O79))</f>
        <v>0</v>
      </c>
      <c r="P160" s="103" t="n">
        <f aca="false">IF(P$5&lt;=LastHist,P80,CHOOSE(Scen,P81,P80,P79))</f>
        <v>0</v>
      </c>
      <c r="Q160" s="103" t="n">
        <f aca="false">IF(Q$5&lt;=LastHist,Q80,CHOOSE(Scen,Q81,Q80,Q79))</f>
        <v>0</v>
      </c>
      <c r="R160" s="103" t="n">
        <f aca="false">IF(R$5&lt;=LastHist,R80,CHOOSE(Scen,R81,R80,R79))</f>
        <v>0</v>
      </c>
      <c r="S160" s="103" t="n">
        <f aca="false">IF(S$5&lt;=LastHist,S80,CHOOSE(Scen,S81,S80,S79))</f>
        <v>0</v>
      </c>
      <c r="T160" s="103" t="n">
        <f aca="false">IF(T$5&lt;=LastHist,T80,CHOOSE(Scen,T81,T80,T79))</f>
        <v>0</v>
      </c>
      <c r="U160" s="103" t="n">
        <f aca="false">IF(U$5&lt;=LastHist,U80,CHOOSE(Scen,U81,U80,U79))</f>
        <v>0</v>
      </c>
      <c r="V160" s="103" t="n">
        <f aca="false">IF(V$5&lt;=LastHist,V80,CHOOSE(Scen,V81,V80,V79))</f>
        <v>0</v>
      </c>
      <c r="W160" s="103" t="n">
        <f aca="false">IF(W$5&lt;=LastHist,W80,CHOOSE(Scen,W81,W80,W79))</f>
        <v>0</v>
      </c>
      <c r="X160" s="103" t="n">
        <f aca="false">IF(X$5&lt;=LastHist,X80,CHOOSE(Scen,X81,X80,X79))</f>
        <v>0</v>
      </c>
      <c r="Y160" s="103" t="n">
        <f aca="false">IF(Y$5&lt;=LastHist,Y80,CHOOSE(Scen,Y81,Y80,Y79))</f>
        <v>0</v>
      </c>
      <c r="Z160" s="103" t="n">
        <f aca="false">IF(Z$5&lt;=LastHist,Z80,CHOOSE(Scen,Z81,Z80,Z79))</f>
        <v>0</v>
      </c>
      <c r="AA160" s="103" t="n">
        <f aca="false">IF(AA$5&lt;=LastHist,AA80,CHOOSE(Scen,AA81,AA80,AA79))</f>
        <v>0</v>
      </c>
      <c r="AB160" s="103" t="n">
        <f aca="false">IF(AB$5&lt;=LastHist,AB80,CHOOSE(Scen,AB81,AB80,AB79))</f>
        <v>0</v>
      </c>
      <c r="AC160" s="103" t="n">
        <f aca="false">IF(AC$5&lt;=LastHist,AC80,CHOOSE(Scen,AC81,AC80,AC79))</f>
        <v>0</v>
      </c>
      <c r="AD160" s="103" t="n">
        <f aca="false">IF(AD$5&lt;=LastHist,AD80,CHOOSE(Scen,AD81,AD80,AD79))</f>
        <v>0</v>
      </c>
      <c r="AE160" s="103" t="n">
        <f aca="false">IF(AE$5&lt;=LastHist,AE80,CHOOSE(Scen,AE81,AE80,AE79))</f>
        <v>0</v>
      </c>
      <c r="AF160" s="103" t="n">
        <f aca="false">IF(AF$5&lt;=LastHist,AF80,CHOOSE(Scen,AF81,AF80,AF79))</f>
        <v>0</v>
      </c>
      <c r="AG160" s="103" t="n">
        <f aca="false">IF(AG$5&lt;=LastHist,AG80,CHOOSE(Scen,AG81,AG80,AG79))</f>
        <v>0</v>
      </c>
      <c r="AI160" s="103" t="n">
        <f aca="false">INDEX($F160:$AG160,1,MATCH(AI$7,$F$7:$AG$7,1))</f>
        <v>0</v>
      </c>
      <c r="AJ160" s="103" t="n">
        <f aca="false">INDEX($F160:$AG160,1,MATCH(AJ$7,$F$7:$AG$7,1))</f>
        <v>0</v>
      </c>
      <c r="AK160" s="103" t="n">
        <f aca="false">INDEX($F160:$AG160,1,MATCH(AK$7,$F$7:$AG$7,1))</f>
        <v>0</v>
      </c>
      <c r="AL160" s="103" t="n">
        <f aca="false">INDEX($F160:$AG160,1,MATCH(AL$7,$F$7:$AG$7,1))</f>
        <v>0</v>
      </c>
      <c r="AM160" s="103" t="n">
        <f aca="false">INDEX($F160:$AG160,1,MATCH(AM$7,$F$7:$AG$7,1))</f>
        <v>0</v>
      </c>
      <c r="AN160" s="103" t="n">
        <f aca="false">INDEX($F160:$AG160,1,MATCH(AN$7,$F$7:$AG$7,1))</f>
        <v>0</v>
      </c>
      <c r="AO160" s="103" t="n">
        <f aca="false">INDEX($F160:$AG160,1,MATCH(AO$7,$F$7:$AG$7,1))</f>
        <v>0</v>
      </c>
    </row>
    <row r="161" customFormat="false" ht="15" hidden="false" customHeight="false" outlineLevel="0" collapsed="false">
      <c r="A161" s="101" t="s">
        <v>1100</v>
      </c>
      <c r="B161" s="18" t="s">
        <v>415</v>
      </c>
      <c r="C161" s="18" t="s">
        <v>354</v>
      </c>
      <c r="D161" s="18"/>
      <c r="F161" s="103" t="n">
        <f aca="false">IF(F$5&lt;=LastHist,F83,CHOOSE(Scen,F84,F83,F82))</f>
        <v>0</v>
      </c>
      <c r="G161" s="103" t="n">
        <f aca="false">IF(G$5&lt;=LastHist,G83,CHOOSE(Scen,G84,G83,G82))</f>
        <v>0</v>
      </c>
      <c r="H161" s="103" t="n">
        <f aca="false">IF(H$5&lt;=LastHist,H83,CHOOSE(Scen,H84,H83,H82))</f>
        <v>0</v>
      </c>
      <c r="I161" s="103" t="n">
        <f aca="false">IF(I$5&lt;=LastHist,I83,CHOOSE(Scen,I84,I83,I82))</f>
        <v>0</v>
      </c>
      <c r="J161" s="103" t="n">
        <f aca="false">IF(J$5&lt;=LastHist,J83,CHOOSE(Scen,J84,J83,J82))</f>
        <v>0</v>
      </c>
      <c r="K161" s="103" t="n">
        <f aca="false">IF(K$5&lt;=LastHist,K83,CHOOSE(Scen,K84,K83,K82))</f>
        <v>0</v>
      </c>
      <c r="L161" s="103" t="n">
        <f aca="false">IF(L$5&lt;=LastHist,L83,CHOOSE(Scen,L84,L83,L82))</f>
        <v>0</v>
      </c>
      <c r="M161" s="103" t="n">
        <f aca="false">IF(M$5&lt;=LastHist,M83,CHOOSE(Scen,M84,M83,M82))</f>
        <v>8</v>
      </c>
      <c r="N161" s="103" t="n">
        <f aca="false">IF(N$5&lt;=LastHist,N83,CHOOSE(Scen,N84,N83,N82))</f>
        <v>8</v>
      </c>
      <c r="O161" s="103" t="n">
        <f aca="false">IF(O$5&lt;=LastHist,O83,CHOOSE(Scen,O84,O83,O82))</f>
        <v>8</v>
      </c>
      <c r="P161" s="103" t="n">
        <f aca="false">IF(P$5&lt;=LastHist,P83,CHOOSE(Scen,P84,P83,P82))</f>
        <v>8</v>
      </c>
      <c r="Q161" s="103" t="n">
        <f aca="false">IF(Q$5&lt;=LastHist,Q83,CHOOSE(Scen,Q84,Q83,Q82))</f>
        <v>8</v>
      </c>
      <c r="R161" s="103" t="n">
        <f aca="false">IF(R$5&lt;=LastHist,R83,CHOOSE(Scen,R84,R83,R82))</f>
        <v>8</v>
      </c>
      <c r="S161" s="103" t="n">
        <f aca="false">IF(S$5&lt;=LastHist,S83,CHOOSE(Scen,S84,S83,S82))</f>
        <v>8</v>
      </c>
      <c r="T161" s="103" t="n">
        <f aca="false">IF(T$5&lt;=LastHist,T83,CHOOSE(Scen,T84,T83,T82))</f>
        <v>8</v>
      </c>
      <c r="U161" s="103" t="n">
        <f aca="false">IF(U$5&lt;=LastHist,U83,CHOOSE(Scen,U84,U83,U82))</f>
        <v>8</v>
      </c>
      <c r="V161" s="103" t="n">
        <f aca="false">IF(V$5&lt;=LastHist,V83,CHOOSE(Scen,V84,V83,V82))</f>
        <v>8</v>
      </c>
      <c r="W161" s="103" t="n">
        <f aca="false">IF(W$5&lt;=LastHist,W83,CHOOSE(Scen,W84,W83,W82))</f>
        <v>8</v>
      </c>
      <c r="X161" s="103" t="n">
        <f aca="false">IF(X$5&lt;=LastHist,X83,CHOOSE(Scen,X84,X83,X82))</f>
        <v>8</v>
      </c>
      <c r="Y161" s="103" t="n">
        <f aca="false">IF(Y$5&lt;=LastHist,Y83,CHOOSE(Scen,Y84,Y83,Y82))</f>
        <v>8</v>
      </c>
      <c r="Z161" s="103" t="n">
        <f aca="false">IF(Z$5&lt;=LastHist,Z83,CHOOSE(Scen,Z84,Z83,Z82))</f>
        <v>8</v>
      </c>
      <c r="AA161" s="103" t="n">
        <f aca="false">IF(AA$5&lt;=LastHist,AA83,CHOOSE(Scen,AA84,AA83,AA82))</f>
        <v>8</v>
      </c>
      <c r="AB161" s="103" t="n">
        <f aca="false">IF(AB$5&lt;=LastHist,AB83,CHOOSE(Scen,AB84,AB83,AB82))</f>
        <v>8</v>
      </c>
      <c r="AC161" s="103" t="n">
        <f aca="false">IF(AC$5&lt;=LastHist,AC83,CHOOSE(Scen,AC84,AC83,AC82))</f>
        <v>8</v>
      </c>
      <c r="AD161" s="103" t="n">
        <f aca="false">IF(AD$5&lt;=LastHist,AD83,CHOOSE(Scen,AD84,AD83,AD82))</f>
        <v>8</v>
      </c>
      <c r="AE161" s="103" t="n">
        <f aca="false">IF(AE$5&lt;=LastHist,AE83,CHOOSE(Scen,AE84,AE83,AE82))</f>
        <v>8</v>
      </c>
      <c r="AF161" s="103" t="n">
        <f aca="false">IF(AF$5&lt;=LastHist,AF83,CHOOSE(Scen,AF84,AF83,AF82))</f>
        <v>8</v>
      </c>
      <c r="AG161" s="103" t="n">
        <f aca="false">IF(AG$5&lt;=LastHist,AG83,CHOOSE(Scen,AG84,AG83,AG82))</f>
        <v>8</v>
      </c>
      <c r="AI161" s="103" t="n">
        <f aca="false">INDEX($F161:$AG161,1,MATCH(AI$7,$F$7:$AG$7,1))</f>
        <v>0</v>
      </c>
      <c r="AJ161" s="103" t="n">
        <f aca="false">INDEX($F161:$AG161,1,MATCH(AJ$7,$F$7:$AG$7,1))</f>
        <v>8</v>
      </c>
      <c r="AK161" s="103" t="n">
        <f aca="false">INDEX($F161:$AG161,1,MATCH(AK$7,$F$7:$AG$7,1))</f>
        <v>8</v>
      </c>
      <c r="AL161" s="103" t="n">
        <f aca="false">INDEX($F161:$AG161,1,MATCH(AL$7,$F$7:$AG$7,1))</f>
        <v>8</v>
      </c>
      <c r="AM161" s="103" t="n">
        <f aca="false">INDEX($F161:$AG161,1,MATCH(AM$7,$F$7:$AG$7,1))</f>
        <v>8</v>
      </c>
      <c r="AN161" s="103" t="n">
        <f aca="false">INDEX($F161:$AG161,1,MATCH(AN$7,$F$7:$AG$7,1))</f>
        <v>8</v>
      </c>
      <c r="AO161" s="103" t="n">
        <f aca="false">INDEX($F161:$AG161,1,MATCH(AO$7,$F$7:$AG$7,1))</f>
        <v>8</v>
      </c>
    </row>
    <row r="162" customFormat="false" ht="15" hidden="false" customHeight="false" outlineLevel="0" collapsed="false">
      <c r="A162" s="101" t="s">
        <v>1102</v>
      </c>
      <c r="B162" s="18" t="s">
        <v>415</v>
      </c>
      <c r="C162" s="18" t="s">
        <v>354</v>
      </c>
      <c r="D162" s="18"/>
      <c r="F162" s="103" t="n">
        <f aca="false">IF(F$5&lt;=LastHist,F86,CHOOSE(Scen,F87,F86,F85))</f>
        <v>0</v>
      </c>
      <c r="G162" s="103" t="n">
        <f aca="false">IF(G$5&lt;=LastHist,G86,CHOOSE(Scen,G87,G86,G85))</f>
        <v>0</v>
      </c>
      <c r="H162" s="103" t="n">
        <f aca="false">IF(H$5&lt;=LastHist,H86,CHOOSE(Scen,H87,H86,H85))</f>
        <v>0</v>
      </c>
      <c r="I162" s="103" t="n">
        <f aca="false">IF(I$5&lt;=LastHist,I86,CHOOSE(Scen,I87,I86,I85))</f>
        <v>0</v>
      </c>
      <c r="J162" s="103" t="n">
        <f aca="false">IF(J$5&lt;=LastHist,J86,CHOOSE(Scen,J87,J86,J85))</f>
        <v>0</v>
      </c>
      <c r="K162" s="103" t="n">
        <f aca="false">IF(K$5&lt;=LastHist,K86,CHOOSE(Scen,K87,K86,K85))</f>
        <v>0</v>
      </c>
      <c r="L162" s="103" t="n">
        <f aca="false">IF(L$5&lt;=LastHist,L86,CHOOSE(Scen,L87,L86,L85))</f>
        <v>0</v>
      </c>
      <c r="M162" s="103" t="n">
        <f aca="false">IF(M$5&lt;=LastHist,M86,CHOOSE(Scen,M87,M86,M85))</f>
        <v>0</v>
      </c>
      <c r="N162" s="103" t="n">
        <f aca="false">IF(N$5&lt;=LastHist,N86,CHOOSE(Scen,N87,N86,N85))</f>
        <v>0</v>
      </c>
      <c r="O162" s="103" t="n">
        <f aca="false">IF(O$5&lt;=LastHist,O86,CHOOSE(Scen,O87,O86,O85))</f>
        <v>0</v>
      </c>
      <c r="P162" s="103" t="n">
        <f aca="false">IF(P$5&lt;=LastHist,P86,CHOOSE(Scen,P87,P86,P85))</f>
        <v>0</v>
      </c>
      <c r="Q162" s="103" t="n">
        <f aca="false">IF(Q$5&lt;=LastHist,Q86,CHOOSE(Scen,Q87,Q86,Q85))</f>
        <v>11</v>
      </c>
      <c r="R162" s="103" t="n">
        <f aca="false">IF(R$5&lt;=LastHist,R86,CHOOSE(Scen,R87,R86,R85))</f>
        <v>16.5</v>
      </c>
      <c r="S162" s="103" t="n">
        <f aca="false">IF(S$5&lt;=LastHist,S86,CHOOSE(Scen,S87,S86,S85))</f>
        <v>22</v>
      </c>
      <c r="T162" s="103" t="n">
        <f aca="false">IF(T$5&lt;=LastHist,T86,CHOOSE(Scen,T87,T86,T85))</f>
        <v>22</v>
      </c>
      <c r="U162" s="103" t="n">
        <f aca="false">IF(U$5&lt;=LastHist,U86,CHOOSE(Scen,U87,U86,U85))</f>
        <v>22</v>
      </c>
      <c r="V162" s="103" t="n">
        <f aca="false">IF(V$5&lt;=LastHist,V86,CHOOSE(Scen,V87,V86,V85))</f>
        <v>22</v>
      </c>
      <c r="W162" s="103" t="n">
        <f aca="false">IF(W$5&lt;=LastHist,W86,CHOOSE(Scen,W87,W86,W85))</f>
        <v>22</v>
      </c>
      <c r="X162" s="103" t="n">
        <f aca="false">IF(X$5&lt;=LastHist,X86,CHOOSE(Scen,X87,X86,X85))</f>
        <v>22</v>
      </c>
      <c r="Y162" s="103" t="n">
        <f aca="false">IF(Y$5&lt;=LastHist,Y86,CHOOSE(Scen,Y87,Y86,Y85))</f>
        <v>22</v>
      </c>
      <c r="Z162" s="103" t="n">
        <f aca="false">IF(Z$5&lt;=LastHist,Z86,CHOOSE(Scen,Z87,Z86,Z85))</f>
        <v>22</v>
      </c>
      <c r="AA162" s="103" t="n">
        <f aca="false">IF(AA$5&lt;=LastHist,AA86,CHOOSE(Scen,AA87,AA86,AA85))</f>
        <v>22</v>
      </c>
      <c r="AB162" s="103" t="n">
        <f aca="false">IF(AB$5&lt;=LastHist,AB86,CHOOSE(Scen,AB87,AB86,AB85))</f>
        <v>22</v>
      </c>
      <c r="AC162" s="103" t="n">
        <f aca="false">IF(AC$5&lt;=LastHist,AC86,CHOOSE(Scen,AC87,AC86,AC85))</f>
        <v>22</v>
      </c>
      <c r="AD162" s="103" t="n">
        <f aca="false">IF(AD$5&lt;=LastHist,AD86,CHOOSE(Scen,AD87,AD86,AD85))</f>
        <v>22</v>
      </c>
      <c r="AE162" s="103" t="n">
        <f aca="false">IF(AE$5&lt;=LastHist,AE86,CHOOSE(Scen,AE87,AE86,AE85))</f>
        <v>22</v>
      </c>
      <c r="AF162" s="103" t="n">
        <f aca="false">IF(AF$5&lt;=LastHist,AF86,CHOOSE(Scen,AF87,AF86,AF85))</f>
        <v>22</v>
      </c>
      <c r="AG162" s="103" t="n">
        <f aca="false">IF(AG$5&lt;=LastHist,AG86,CHOOSE(Scen,AG87,AG86,AG85))</f>
        <v>22</v>
      </c>
      <c r="AI162" s="103" t="n">
        <f aca="false">INDEX($F162:$AG162,1,MATCH(AI$7,$F$7:$AG$7,1))</f>
        <v>0</v>
      </c>
      <c r="AJ162" s="103" t="n">
        <f aca="false">INDEX($F162:$AG162,1,MATCH(AJ$7,$F$7:$AG$7,1))</f>
        <v>0</v>
      </c>
      <c r="AK162" s="103" t="n">
        <f aca="false">INDEX($F162:$AG162,1,MATCH(AK$7,$F$7:$AG$7,1))</f>
        <v>11</v>
      </c>
      <c r="AL162" s="103" t="n">
        <f aca="false">INDEX($F162:$AG162,1,MATCH(AL$7,$F$7:$AG$7,1))</f>
        <v>22</v>
      </c>
      <c r="AM162" s="103" t="n">
        <f aca="false">INDEX($F162:$AG162,1,MATCH(AM$7,$F$7:$AG$7,1))</f>
        <v>22</v>
      </c>
      <c r="AN162" s="103" t="n">
        <f aca="false">INDEX($F162:$AG162,1,MATCH(AN$7,$F$7:$AG$7,1))</f>
        <v>22</v>
      </c>
      <c r="AO162" s="103" t="n">
        <f aca="false">INDEX($F162:$AG162,1,MATCH(AO$7,$F$7:$AG$7,1))</f>
        <v>22</v>
      </c>
    </row>
    <row r="163" customFormat="false" ht="15" hidden="false" customHeight="false" outlineLevel="0" collapsed="false">
      <c r="A163" s="101" t="s">
        <v>1103</v>
      </c>
      <c r="B163" s="18" t="s">
        <v>415</v>
      </c>
      <c r="C163" s="18" t="s">
        <v>354</v>
      </c>
      <c r="D163" s="18"/>
      <c r="F163" s="103" t="n">
        <f aca="false">IF(F$5&lt;=LastHist,F89,CHOOSE(Scen,F90,F89,F88))</f>
        <v>0</v>
      </c>
      <c r="G163" s="103" t="n">
        <f aca="false">IF(G$5&lt;=LastHist,G89,CHOOSE(Scen,G90,G89,G88))</f>
        <v>0</v>
      </c>
      <c r="H163" s="103" t="n">
        <f aca="false">IF(H$5&lt;=LastHist,H89,CHOOSE(Scen,H90,H89,H88))</f>
        <v>0</v>
      </c>
      <c r="I163" s="103" t="n">
        <f aca="false">IF(I$5&lt;=LastHist,I89,CHOOSE(Scen,I90,I89,I88))</f>
        <v>0</v>
      </c>
      <c r="J163" s="103" t="n">
        <f aca="false">IF(J$5&lt;=LastHist,J89,CHOOSE(Scen,J90,J89,J88))</f>
        <v>0</v>
      </c>
      <c r="K163" s="103" t="n">
        <f aca="false">IF(K$5&lt;=LastHist,K89,CHOOSE(Scen,K90,K89,K88))</f>
        <v>0</v>
      </c>
      <c r="L163" s="103" t="n">
        <f aca="false">IF(L$5&lt;=LastHist,L89,CHOOSE(Scen,L90,L89,L88))</f>
        <v>0</v>
      </c>
      <c r="M163" s="103" t="n">
        <f aca="false">IF(M$5&lt;=LastHist,M89,CHOOSE(Scen,M90,M89,M88))</f>
        <v>0</v>
      </c>
      <c r="N163" s="103" t="n">
        <f aca="false">IF(N$5&lt;=LastHist,N89,CHOOSE(Scen,N90,N89,N88))</f>
        <v>0</v>
      </c>
      <c r="O163" s="103" t="n">
        <f aca="false">IF(O$5&lt;=LastHist,O89,CHOOSE(Scen,O90,O89,O88))</f>
        <v>0</v>
      </c>
      <c r="P163" s="103" t="n">
        <f aca="false">IF(P$5&lt;=LastHist,P89,CHOOSE(Scen,P90,P89,P88))</f>
        <v>0</v>
      </c>
      <c r="Q163" s="103" t="n">
        <f aca="false">IF(Q$5&lt;=LastHist,Q89,CHOOSE(Scen,Q90,Q89,Q88))</f>
        <v>19.5</v>
      </c>
      <c r="R163" s="103" t="n">
        <f aca="false">IF(R$5&lt;=LastHist,R89,CHOOSE(Scen,R90,R89,R88))</f>
        <v>39</v>
      </c>
      <c r="S163" s="103" t="n">
        <f aca="false">IF(S$5&lt;=LastHist,S89,CHOOSE(Scen,S90,S89,S88))</f>
        <v>48.5</v>
      </c>
      <c r="T163" s="103" t="n">
        <f aca="false">IF(T$5&lt;=LastHist,T89,CHOOSE(Scen,T90,T89,T88))</f>
        <v>58</v>
      </c>
      <c r="U163" s="103" t="n">
        <f aca="false">IF(U$5&lt;=LastHist,U89,CHOOSE(Scen,U90,U89,U88))</f>
        <v>58</v>
      </c>
      <c r="V163" s="103" t="n">
        <f aca="false">IF(V$5&lt;=LastHist,V89,CHOOSE(Scen,V90,V89,V88))</f>
        <v>58</v>
      </c>
      <c r="W163" s="103" t="n">
        <f aca="false">IF(W$5&lt;=LastHist,W89,CHOOSE(Scen,W90,W89,W88))</f>
        <v>58</v>
      </c>
      <c r="X163" s="103" t="n">
        <f aca="false">IF(X$5&lt;=LastHist,X89,CHOOSE(Scen,X90,X89,X88))</f>
        <v>58</v>
      </c>
      <c r="Y163" s="103" t="n">
        <f aca="false">IF(Y$5&lt;=LastHist,Y89,CHOOSE(Scen,Y90,Y89,Y88))</f>
        <v>58</v>
      </c>
      <c r="Z163" s="103" t="n">
        <f aca="false">IF(Z$5&lt;=LastHist,Z89,CHOOSE(Scen,Z90,Z89,Z88))</f>
        <v>58</v>
      </c>
      <c r="AA163" s="103" t="n">
        <f aca="false">IF(AA$5&lt;=LastHist,AA89,CHOOSE(Scen,AA90,AA89,AA88))</f>
        <v>58</v>
      </c>
      <c r="AB163" s="103" t="n">
        <f aca="false">IF(AB$5&lt;=LastHist,AB89,CHOOSE(Scen,AB90,AB89,AB88))</f>
        <v>58</v>
      </c>
      <c r="AC163" s="103" t="n">
        <f aca="false">IF(AC$5&lt;=LastHist,AC89,CHOOSE(Scen,AC90,AC89,AC88))</f>
        <v>58</v>
      </c>
      <c r="AD163" s="103" t="n">
        <f aca="false">IF(AD$5&lt;=LastHist,AD89,CHOOSE(Scen,AD90,AD89,AD88))</f>
        <v>58</v>
      </c>
      <c r="AE163" s="103" t="n">
        <f aca="false">IF(AE$5&lt;=LastHist,AE89,CHOOSE(Scen,AE90,AE89,AE88))</f>
        <v>58</v>
      </c>
      <c r="AF163" s="103" t="n">
        <f aca="false">IF(AF$5&lt;=LastHist,AF89,CHOOSE(Scen,AF90,AF89,AF88))</f>
        <v>58</v>
      </c>
      <c r="AG163" s="103" t="n">
        <f aca="false">IF(AG$5&lt;=LastHist,AG89,CHOOSE(Scen,AG90,AG89,AG88))</f>
        <v>58</v>
      </c>
      <c r="AI163" s="103" t="n">
        <f aca="false">INDEX($F163:$AG163,1,MATCH(AI$7,$F$7:$AG$7,1))</f>
        <v>0</v>
      </c>
      <c r="AJ163" s="103" t="n">
        <f aca="false">INDEX($F163:$AG163,1,MATCH(AJ$7,$F$7:$AG$7,1))</f>
        <v>0</v>
      </c>
      <c r="AK163" s="103" t="n">
        <f aca="false">INDEX($F163:$AG163,1,MATCH(AK$7,$F$7:$AG$7,1))</f>
        <v>19.5</v>
      </c>
      <c r="AL163" s="103" t="n">
        <f aca="false">INDEX($F163:$AG163,1,MATCH(AL$7,$F$7:$AG$7,1))</f>
        <v>58</v>
      </c>
      <c r="AM163" s="103" t="n">
        <f aca="false">INDEX($F163:$AG163,1,MATCH(AM$7,$F$7:$AG$7,1))</f>
        <v>58</v>
      </c>
      <c r="AN163" s="103" t="n">
        <f aca="false">INDEX($F163:$AG163,1,MATCH(AN$7,$F$7:$AG$7,1))</f>
        <v>58</v>
      </c>
      <c r="AO163" s="103" t="n">
        <f aca="false">INDEX($F163:$AG163,1,MATCH(AO$7,$F$7:$AG$7,1))</f>
        <v>58</v>
      </c>
    </row>
    <row r="164" customFormat="false" ht="15" hidden="false" customHeight="false" outlineLevel="0" collapsed="false">
      <c r="A164" s="101" t="s">
        <v>1104</v>
      </c>
      <c r="B164" s="18" t="s">
        <v>415</v>
      </c>
      <c r="C164" s="18" t="s">
        <v>354</v>
      </c>
      <c r="D164" s="18"/>
      <c r="F164" s="103" t="n">
        <f aca="false">IF(F$5&lt;=LastHist,F92,CHOOSE(Scen,F93,F92,F91))</f>
        <v>0</v>
      </c>
      <c r="G164" s="103" t="n">
        <f aca="false">IF(G$5&lt;=LastHist,G92,CHOOSE(Scen,G93,G92,G91))</f>
        <v>0</v>
      </c>
      <c r="H164" s="103" t="n">
        <f aca="false">IF(H$5&lt;=LastHist,H92,CHOOSE(Scen,H93,H92,H91))</f>
        <v>0</v>
      </c>
      <c r="I164" s="103" t="n">
        <f aca="false">IF(I$5&lt;=LastHist,I92,CHOOSE(Scen,I93,I92,I91))</f>
        <v>0</v>
      </c>
      <c r="J164" s="103" t="n">
        <f aca="false">IF(J$5&lt;=LastHist,J92,CHOOSE(Scen,J93,J92,J91))</f>
        <v>0</v>
      </c>
      <c r="K164" s="103" t="n">
        <f aca="false">IF(K$5&lt;=LastHist,K92,CHOOSE(Scen,K93,K92,K91))</f>
        <v>0</v>
      </c>
      <c r="L164" s="103" t="n">
        <f aca="false">IF(L$5&lt;=LastHist,L92,CHOOSE(Scen,L93,L92,L91))</f>
        <v>0</v>
      </c>
      <c r="M164" s="103" t="n">
        <f aca="false">IF(M$5&lt;=LastHist,M92,CHOOSE(Scen,M93,M92,M91))</f>
        <v>0</v>
      </c>
      <c r="N164" s="103" t="n">
        <f aca="false">IF(N$5&lt;=LastHist,N92,CHOOSE(Scen,N93,N92,N91))</f>
        <v>0</v>
      </c>
      <c r="O164" s="103" t="n">
        <f aca="false">IF(O$5&lt;=LastHist,O92,CHOOSE(Scen,O93,O92,O91))</f>
        <v>0</v>
      </c>
      <c r="P164" s="103" t="n">
        <f aca="false">IF(P$5&lt;=LastHist,P92,CHOOSE(Scen,P93,P92,P91))</f>
        <v>7.5</v>
      </c>
      <c r="Q164" s="103" t="n">
        <f aca="false">IF(Q$5&lt;=LastHist,Q92,CHOOSE(Scen,Q93,Q92,Q91))</f>
        <v>13.5</v>
      </c>
      <c r="R164" s="103" t="n">
        <f aca="false">IF(R$5&lt;=LastHist,R92,CHOOSE(Scen,R93,R92,R91))</f>
        <v>18</v>
      </c>
      <c r="S164" s="103" t="n">
        <f aca="false">IF(S$5&lt;=LastHist,S92,CHOOSE(Scen,S93,S92,S91))</f>
        <v>18</v>
      </c>
      <c r="T164" s="103" t="n">
        <f aca="false">IF(T$5&lt;=LastHist,T92,CHOOSE(Scen,T93,T92,T91))</f>
        <v>18</v>
      </c>
      <c r="U164" s="103" t="n">
        <f aca="false">IF(U$5&lt;=LastHist,U92,CHOOSE(Scen,U93,U92,U91))</f>
        <v>18</v>
      </c>
      <c r="V164" s="103" t="n">
        <f aca="false">IF(V$5&lt;=LastHist,V92,CHOOSE(Scen,V93,V92,V91))</f>
        <v>18</v>
      </c>
      <c r="W164" s="103" t="n">
        <f aca="false">IF(W$5&lt;=LastHist,W92,CHOOSE(Scen,W93,W92,W91))</f>
        <v>18</v>
      </c>
      <c r="X164" s="103" t="n">
        <f aca="false">IF(X$5&lt;=LastHist,X92,CHOOSE(Scen,X93,X92,X91))</f>
        <v>18</v>
      </c>
      <c r="Y164" s="103" t="n">
        <f aca="false">IF(Y$5&lt;=LastHist,Y92,CHOOSE(Scen,Y93,Y92,Y91))</f>
        <v>18</v>
      </c>
      <c r="Z164" s="103" t="n">
        <f aca="false">IF(Z$5&lt;=LastHist,Z92,CHOOSE(Scen,Z93,Z92,Z91))</f>
        <v>18</v>
      </c>
      <c r="AA164" s="103" t="n">
        <f aca="false">IF(AA$5&lt;=LastHist,AA92,CHOOSE(Scen,AA93,AA92,AA91))</f>
        <v>18</v>
      </c>
      <c r="AB164" s="103" t="n">
        <f aca="false">IF(AB$5&lt;=LastHist,AB92,CHOOSE(Scen,AB93,AB92,AB91))</f>
        <v>18</v>
      </c>
      <c r="AC164" s="103" t="n">
        <f aca="false">IF(AC$5&lt;=LastHist,AC92,CHOOSE(Scen,AC93,AC92,AC91))</f>
        <v>18</v>
      </c>
      <c r="AD164" s="103" t="n">
        <f aca="false">IF(AD$5&lt;=LastHist,AD92,CHOOSE(Scen,AD93,AD92,AD91))</f>
        <v>18</v>
      </c>
      <c r="AE164" s="103" t="n">
        <f aca="false">IF(AE$5&lt;=LastHist,AE92,CHOOSE(Scen,AE93,AE92,AE91))</f>
        <v>18</v>
      </c>
      <c r="AF164" s="103" t="n">
        <f aca="false">IF(AF$5&lt;=LastHist,AF92,CHOOSE(Scen,AF93,AF92,AF91))</f>
        <v>18</v>
      </c>
      <c r="AG164" s="103" t="n">
        <f aca="false">IF(AG$5&lt;=LastHist,AG92,CHOOSE(Scen,AG93,AG92,AG91))</f>
        <v>18</v>
      </c>
      <c r="AI164" s="103" t="n">
        <f aca="false">INDEX($F164:$AG164,1,MATCH(AI$7,$F$7:$AG$7,1))</f>
        <v>0</v>
      </c>
      <c r="AJ164" s="103" t="n">
        <f aca="false">INDEX($F164:$AG164,1,MATCH(AJ$7,$F$7:$AG$7,1))</f>
        <v>0</v>
      </c>
      <c r="AK164" s="103" t="n">
        <f aca="false">INDEX($F164:$AG164,1,MATCH(AK$7,$F$7:$AG$7,1))</f>
        <v>13.5</v>
      </c>
      <c r="AL164" s="103" t="n">
        <f aca="false">INDEX($F164:$AG164,1,MATCH(AL$7,$F$7:$AG$7,1))</f>
        <v>18</v>
      </c>
      <c r="AM164" s="103" t="n">
        <f aca="false">INDEX($F164:$AG164,1,MATCH(AM$7,$F$7:$AG$7,1))</f>
        <v>18</v>
      </c>
      <c r="AN164" s="103" t="n">
        <f aca="false">INDEX($F164:$AG164,1,MATCH(AN$7,$F$7:$AG$7,1))</f>
        <v>18</v>
      </c>
      <c r="AO164" s="103" t="n">
        <f aca="false">INDEX($F164:$AG164,1,MATCH(AO$7,$F$7:$AG$7,1))</f>
        <v>18</v>
      </c>
    </row>
    <row r="165" customFormat="false" ht="15" hidden="false" customHeight="false" outlineLevel="0" collapsed="false">
      <c r="A165" s="101" t="s">
        <v>1105</v>
      </c>
      <c r="B165" s="18" t="s">
        <v>415</v>
      </c>
      <c r="C165" s="18" t="s">
        <v>354</v>
      </c>
      <c r="D165" s="18"/>
      <c r="F165" s="103" t="n">
        <f aca="false">IF(F$5&lt;=LastHist,F95,CHOOSE(Scen,F96,F95,F94))</f>
        <v>0</v>
      </c>
      <c r="G165" s="103" t="n">
        <f aca="false">IF(G$5&lt;=LastHist,G95,CHOOSE(Scen,G96,G95,G94))</f>
        <v>0</v>
      </c>
      <c r="H165" s="103" t="n">
        <f aca="false">IF(H$5&lt;=LastHist,H95,CHOOSE(Scen,H96,H95,H94))</f>
        <v>0</v>
      </c>
      <c r="I165" s="103" t="n">
        <f aca="false">IF(I$5&lt;=LastHist,I95,CHOOSE(Scen,I96,I95,I94))</f>
        <v>0</v>
      </c>
      <c r="J165" s="103" t="n">
        <f aca="false">IF(J$5&lt;=LastHist,J95,CHOOSE(Scen,J96,J95,J94))</f>
        <v>0</v>
      </c>
      <c r="K165" s="103" t="n">
        <f aca="false">IF(K$5&lt;=LastHist,K95,CHOOSE(Scen,K96,K95,K94))</f>
        <v>0</v>
      </c>
      <c r="L165" s="103" t="n">
        <f aca="false">IF(L$5&lt;=LastHist,L95,CHOOSE(Scen,L96,L95,L94))</f>
        <v>0</v>
      </c>
      <c r="M165" s="103" t="n">
        <f aca="false">IF(M$5&lt;=LastHist,M95,CHOOSE(Scen,M96,M95,M94))</f>
        <v>0</v>
      </c>
      <c r="N165" s="103" t="n">
        <f aca="false">IF(N$5&lt;=LastHist,N95,CHOOSE(Scen,N96,N95,N94))</f>
        <v>0</v>
      </c>
      <c r="O165" s="103" t="n">
        <f aca="false">IF(O$5&lt;=LastHist,O95,CHOOSE(Scen,O96,O95,O94))</f>
        <v>0</v>
      </c>
      <c r="P165" s="103" t="n">
        <f aca="false">IF(P$5&lt;=LastHist,P95,CHOOSE(Scen,P96,P95,P94))</f>
        <v>0</v>
      </c>
      <c r="Q165" s="103" t="n">
        <f aca="false">IF(Q$5&lt;=LastHist,Q95,CHOOSE(Scen,Q96,Q95,Q94))</f>
        <v>11</v>
      </c>
      <c r="R165" s="103" t="n">
        <f aca="false">IF(R$5&lt;=LastHist,R95,CHOOSE(Scen,R96,R95,R94))</f>
        <v>16.5</v>
      </c>
      <c r="S165" s="103" t="n">
        <f aca="false">IF(S$5&lt;=LastHist,S95,CHOOSE(Scen,S96,S95,S94))</f>
        <v>22</v>
      </c>
      <c r="T165" s="103" t="n">
        <f aca="false">IF(T$5&lt;=LastHist,T95,CHOOSE(Scen,T96,T95,T94))</f>
        <v>22</v>
      </c>
      <c r="U165" s="103" t="n">
        <f aca="false">IF(U$5&lt;=LastHist,U95,CHOOSE(Scen,U96,U95,U94))</f>
        <v>22</v>
      </c>
      <c r="V165" s="103" t="n">
        <f aca="false">IF(V$5&lt;=LastHist,V95,CHOOSE(Scen,V96,V95,V94))</f>
        <v>22</v>
      </c>
      <c r="W165" s="103" t="n">
        <f aca="false">IF(W$5&lt;=LastHist,W95,CHOOSE(Scen,W96,W95,W94))</f>
        <v>22</v>
      </c>
      <c r="X165" s="103" t="n">
        <f aca="false">IF(X$5&lt;=LastHist,X95,CHOOSE(Scen,X96,X95,X94))</f>
        <v>22</v>
      </c>
      <c r="Y165" s="103" t="n">
        <f aca="false">IF(Y$5&lt;=LastHist,Y95,CHOOSE(Scen,Y96,Y95,Y94))</f>
        <v>22</v>
      </c>
      <c r="Z165" s="103" t="n">
        <f aca="false">IF(Z$5&lt;=LastHist,Z95,CHOOSE(Scen,Z96,Z95,Z94))</f>
        <v>22</v>
      </c>
      <c r="AA165" s="103" t="n">
        <f aca="false">IF(AA$5&lt;=LastHist,AA95,CHOOSE(Scen,AA96,AA95,AA94))</f>
        <v>22</v>
      </c>
      <c r="AB165" s="103" t="n">
        <f aca="false">IF(AB$5&lt;=LastHist,AB95,CHOOSE(Scen,AB96,AB95,AB94))</f>
        <v>22</v>
      </c>
      <c r="AC165" s="103" t="n">
        <f aca="false">IF(AC$5&lt;=LastHist,AC95,CHOOSE(Scen,AC96,AC95,AC94))</f>
        <v>22</v>
      </c>
      <c r="AD165" s="103" t="n">
        <f aca="false">IF(AD$5&lt;=LastHist,AD95,CHOOSE(Scen,AD96,AD95,AD94))</f>
        <v>22</v>
      </c>
      <c r="AE165" s="103" t="n">
        <f aca="false">IF(AE$5&lt;=LastHist,AE95,CHOOSE(Scen,AE96,AE95,AE94))</f>
        <v>22</v>
      </c>
      <c r="AF165" s="103" t="n">
        <f aca="false">IF(AF$5&lt;=LastHist,AF95,CHOOSE(Scen,AF96,AF95,AF94))</f>
        <v>22</v>
      </c>
      <c r="AG165" s="103" t="n">
        <f aca="false">IF(AG$5&lt;=LastHist,AG95,CHOOSE(Scen,AG96,AG95,AG94))</f>
        <v>22</v>
      </c>
      <c r="AI165" s="103" t="n">
        <f aca="false">INDEX($F165:$AG165,1,MATCH(AI$7,$F$7:$AG$7,1))</f>
        <v>0</v>
      </c>
      <c r="AJ165" s="103" t="n">
        <f aca="false">INDEX($F165:$AG165,1,MATCH(AJ$7,$F$7:$AG$7,1))</f>
        <v>0</v>
      </c>
      <c r="AK165" s="103" t="n">
        <f aca="false">INDEX($F165:$AG165,1,MATCH(AK$7,$F$7:$AG$7,1))</f>
        <v>11</v>
      </c>
      <c r="AL165" s="103" t="n">
        <f aca="false">INDEX($F165:$AG165,1,MATCH(AL$7,$F$7:$AG$7,1))</f>
        <v>22</v>
      </c>
      <c r="AM165" s="103" t="n">
        <f aca="false">INDEX($F165:$AG165,1,MATCH(AM$7,$F$7:$AG$7,1))</f>
        <v>22</v>
      </c>
      <c r="AN165" s="103" t="n">
        <f aca="false">INDEX($F165:$AG165,1,MATCH(AN$7,$F$7:$AG$7,1))</f>
        <v>22</v>
      </c>
      <c r="AO165" s="103" t="n">
        <f aca="false">INDEX($F165:$AG165,1,MATCH(AO$7,$F$7:$AG$7,1))</f>
        <v>22</v>
      </c>
    </row>
    <row r="166" customFormat="false" ht="15" hidden="false" customHeight="false" outlineLevel="0" collapsed="false">
      <c r="A166" s="101" t="s">
        <v>1106</v>
      </c>
      <c r="B166" s="18" t="s">
        <v>415</v>
      </c>
      <c r="C166" s="18" t="s">
        <v>354</v>
      </c>
      <c r="D166" s="18"/>
      <c r="F166" s="103" t="n">
        <f aca="false">IF(F$5&lt;=LastHist,F98,CHOOSE(Scen,F99,F98,F97))</f>
        <v>0</v>
      </c>
      <c r="G166" s="103" t="n">
        <f aca="false">IF(G$5&lt;=LastHist,G98,CHOOSE(Scen,G99,G98,G97))</f>
        <v>0</v>
      </c>
      <c r="H166" s="103" t="n">
        <f aca="false">IF(H$5&lt;=LastHist,H98,CHOOSE(Scen,H99,H98,H97))</f>
        <v>0</v>
      </c>
      <c r="I166" s="103" t="n">
        <f aca="false">IF(I$5&lt;=LastHist,I98,CHOOSE(Scen,I99,I98,I97))</f>
        <v>0</v>
      </c>
      <c r="J166" s="103" t="n">
        <f aca="false">IF(J$5&lt;=LastHist,J98,CHOOSE(Scen,J99,J98,J97))</f>
        <v>0</v>
      </c>
      <c r="K166" s="103" t="n">
        <f aca="false">IF(K$5&lt;=LastHist,K98,CHOOSE(Scen,K99,K98,K97))</f>
        <v>0</v>
      </c>
      <c r="L166" s="103" t="n">
        <f aca="false">IF(L$5&lt;=LastHist,L98,CHOOSE(Scen,L99,L98,L97))</f>
        <v>0</v>
      </c>
      <c r="M166" s="103" t="n">
        <f aca="false">IF(M$5&lt;=LastHist,M98,CHOOSE(Scen,M99,M98,M97))</f>
        <v>0</v>
      </c>
      <c r="N166" s="103" t="n">
        <f aca="false">IF(N$5&lt;=LastHist,N98,CHOOSE(Scen,N99,N98,N97))</f>
        <v>0</v>
      </c>
      <c r="O166" s="103" t="n">
        <f aca="false">IF(O$5&lt;=LastHist,O98,CHOOSE(Scen,O99,O98,O97))</f>
        <v>0</v>
      </c>
      <c r="P166" s="103" t="n">
        <f aca="false">IF(P$5&lt;=LastHist,P98,CHOOSE(Scen,P99,P98,P97))</f>
        <v>0</v>
      </c>
      <c r="Q166" s="103" t="n">
        <f aca="false">IF(Q$5&lt;=LastHist,Q98,CHOOSE(Scen,Q99,Q98,Q97))</f>
        <v>0</v>
      </c>
      <c r="R166" s="103" t="n">
        <f aca="false">IF(R$5&lt;=LastHist,R98,CHOOSE(Scen,R99,R98,R97))</f>
        <v>0</v>
      </c>
      <c r="S166" s="103" t="n">
        <f aca="false">IF(S$5&lt;=LastHist,S98,CHOOSE(Scen,S99,S98,S97))</f>
        <v>0</v>
      </c>
      <c r="T166" s="103" t="n">
        <f aca="false">IF(T$5&lt;=LastHist,T98,CHOOSE(Scen,T99,T98,T97))</f>
        <v>0</v>
      </c>
      <c r="U166" s="103" t="n">
        <f aca="false">IF(U$5&lt;=LastHist,U98,CHOOSE(Scen,U99,U98,U97))</f>
        <v>0</v>
      </c>
      <c r="V166" s="103" t="n">
        <f aca="false">IF(V$5&lt;=LastHist,V98,CHOOSE(Scen,V99,V98,V97))</f>
        <v>0</v>
      </c>
      <c r="W166" s="103" t="n">
        <f aca="false">IF(W$5&lt;=LastHist,W98,CHOOSE(Scen,W99,W98,W97))</f>
        <v>0</v>
      </c>
      <c r="X166" s="103" t="n">
        <f aca="false">IF(X$5&lt;=LastHist,X98,CHOOSE(Scen,X99,X98,X97))</f>
        <v>0</v>
      </c>
      <c r="Y166" s="103" t="n">
        <f aca="false">IF(Y$5&lt;=LastHist,Y98,CHOOSE(Scen,Y99,Y98,Y97))</f>
        <v>0</v>
      </c>
      <c r="Z166" s="103" t="n">
        <f aca="false">IF(Z$5&lt;=LastHist,Z98,CHOOSE(Scen,Z99,Z98,Z97))</f>
        <v>0</v>
      </c>
      <c r="AA166" s="103" t="n">
        <f aca="false">IF(AA$5&lt;=LastHist,AA98,CHOOSE(Scen,AA99,AA98,AA97))</f>
        <v>0</v>
      </c>
      <c r="AB166" s="103" t="n">
        <f aca="false">IF(AB$5&lt;=LastHist,AB98,CHOOSE(Scen,AB99,AB98,AB97))</f>
        <v>0</v>
      </c>
      <c r="AC166" s="103" t="n">
        <f aca="false">IF(AC$5&lt;=LastHist,AC98,CHOOSE(Scen,AC99,AC98,AC97))</f>
        <v>0</v>
      </c>
      <c r="AD166" s="103" t="n">
        <f aca="false">IF(AD$5&lt;=LastHist,AD98,CHOOSE(Scen,AD99,AD98,AD97))</f>
        <v>0</v>
      </c>
      <c r="AE166" s="103" t="n">
        <f aca="false">IF(AE$5&lt;=LastHist,AE98,CHOOSE(Scen,AE99,AE98,AE97))</f>
        <v>0</v>
      </c>
      <c r="AF166" s="103" t="n">
        <f aca="false">IF(AF$5&lt;=LastHist,AF98,CHOOSE(Scen,AF99,AF98,AF97))</f>
        <v>0</v>
      </c>
      <c r="AG166" s="103" t="n">
        <f aca="false">IF(AG$5&lt;=LastHist,AG98,CHOOSE(Scen,AG99,AG98,AG97))</f>
        <v>0</v>
      </c>
      <c r="AI166" s="103" t="n">
        <f aca="false">INDEX($F166:$AG166,1,MATCH(AI$7,$F$7:$AG$7,1))</f>
        <v>0</v>
      </c>
      <c r="AJ166" s="103" t="n">
        <f aca="false">INDEX($F166:$AG166,1,MATCH(AJ$7,$F$7:$AG$7,1))</f>
        <v>0</v>
      </c>
      <c r="AK166" s="103" t="n">
        <f aca="false">INDEX($F166:$AG166,1,MATCH(AK$7,$F$7:$AG$7,1))</f>
        <v>0</v>
      </c>
      <c r="AL166" s="103" t="n">
        <f aca="false">INDEX($F166:$AG166,1,MATCH(AL$7,$F$7:$AG$7,1))</f>
        <v>0</v>
      </c>
      <c r="AM166" s="103" t="n">
        <f aca="false">INDEX($F166:$AG166,1,MATCH(AM$7,$F$7:$AG$7,1))</f>
        <v>0</v>
      </c>
      <c r="AN166" s="103" t="n">
        <f aca="false">INDEX($F166:$AG166,1,MATCH(AN$7,$F$7:$AG$7,1))</f>
        <v>0</v>
      </c>
      <c r="AO166" s="103" t="n">
        <f aca="false">INDEX($F166:$AG166,1,MATCH(AO$7,$F$7:$AG$7,1))</f>
        <v>0</v>
      </c>
    </row>
    <row r="167" customFormat="false" ht="15" hidden="false" customHeight="false" outlineLevel="0" collapsed="false">
      <c r="A167" s="101" t="s">
        <v>1108</v>
      </c>
      <c r="B167" s="18" t="s">
        <v>415</v>
      </c>
      <c r="C167" s="18" t="s">
        <v>354</v>
      </c>
      <c r="D167" s="18"/>
      <c r="F167" s="103" t="n">
        <f aca="false">IF(F$5&lt;=LastHist,F101,CHOOSE(Scen,F102,F101,F100))</f>
        <v>0</v>
      </c>
      <c r="G167" s="103" t="n">
        <f aca="false">IF(G$5&lt;=LastHist,G101,CHOOSE(Scen,G102,G101,G100))</f>
        <v>0</v>
      </c>
      <c r="H167" s="103" t="n">
        <f aca="false">IF(H$5&lt;=LastHist,H101,CHOOSE(Scen,H102,H101,H100))</f>
        <v>0</v>
      </c>
      <c r="I167" s="103" t="n">
        <f aca="false">IF(I$5&lt;=LastHist,I101,CHOOSE(Scen,I102,I101,I100))</f>
        <v>0</v>
      </c>
      <c r="J167" s="103" t="n">
        <f aca="false">IF(J$5&lt;=LastHist,J101,CHOOSE(Scen,J102,J101,J100))</f>
        <v>0</v>
      </c>
      <c r="K167" s="103" t="n">
        <f aca="false">IF(K$5&lt;=LastHist,K101,CHOOSE(Scen,K102,K101,K100))</f>
        <v>0</v>
      </c>
      <c r="L167" s="103" t="n">
        <f aca="false">IF(L$5&lt;=LastHist,L101,CHOOSE(Scen,L102,L101,L100))</f>
        <v>0</v>
      </c>
      <c r="M167" s="103" t="n">
        <f aca="false">IF(M$5&lt;=LastHist,M101,CHOOSE(Scen,M102,M101,M100))</f>
        <v>0</v>
      </c>
      <c r="N167" s="103" t="n">
        <f aca="false">IF(N$5&lt;=LastHist,N101,CHOOSE(Scen,N102,N101,N100))</f>
        <v>0</v>
      </c>
      <c r="O167" s="103" t="n">
        <f aca="false">IF(O$5&lt;=LastHist,O101,CHOOSE(Scen,O102,O101,O100))</f>
        <v>0</v>
      </c>
      <c r="P167" s="103" t="n">
        <f aca="false">IF(P$5&lt;=LastHist,P101,CHOOSE(Scen,P102,P101,P100))</f>
        <v>0</v>
      </c>
      <c r="Q167" s="103" t="n">
        <f aca="false">IF(Q$5&lt;=LastHist,Q101,CHOOSE(Scen,Q102,Q101,Q100))</f>
        <v>0</v>
      </c>
      <c r="R167" s="103" t="n">
        <f aca="false">IF(R$5&lt;=LastHist,R101,CHOOSE(Scen,R102,R101,R100))</f>
        <v>0</v>
      </c>
      <c r="S167" s="103" t="n">
        <f aca="false">IF(S$5&lt;=LastHist,S101,CHOOSE(Scen,S102,S101,S100))</f>
        <v>0</v>
      </c>
      <c r="T167" s="103" t="n">
        <f aca="false">IF(T$5&lt;=LastHist,T101,CHOOSE(Scen,T102,T101,T100))</f>
        <v>0</v>
      </c>
      <c r="U167" s="103" t="n">
        <f aca="false">IF(U$5&lt;=LastHist,U101,CHOOSE(Scen,U102,U101,U100))</f>
        <v>0</v>
      </c>
      <c r="V167" s="103" t="n">
        <f aca="false">IF(V$5&lt;=LastHist,V101,CHOOSE(Scen,V102,V101,V100))</f>
        <v>0</v>
      </c>
      <c r="W167" s="103" t="n">
        <f aca="false">IF(W$5&lt;=LastHist,W101,CHOOSE(Scen,W102,W101,W100))</f>
        <v>0</v>
      </c>
      <c r="X167" s="103" t="n">
        <f aca="false">IF(X$5&lt;=LastHist,X101,CHOOSE(Scen,X102,X101,X100))</f>
        <v>0</v>
      </c>
      <c r="Y167" s="103" t="n">
        <f aca="false">IF(Y$5&lt;=LastHist,Y101,CHOOSE(Scen,Y102,Y101,Y100))</f>
        <v>0</v>
      </c>
      <c r="Z167" s="103" t="n">
        <f aca="false">IF(Z$5&lt;=LastHist,Z101,CHOOSE(Scen,Z102,Z101,Z100))</f>
        <v>0</v>
      </c>
      <c r="AA167" s="103" t="n">
        <f aca="false">IF(AA$5&lt;=LastHist,AA101,CHOOSE(Scen,AA102,AA101,AA100))</f>
        <v>0</v>
      </c>
      <c r="AB167" s="103" t="n">
        <f aca="false">IF(AB$5&lt;=LastHist,AB101,CHOOSE(Scen,AB102,AB101,AB100))</f>
        <v>0</v>
      </c>
      <c r="AC167" s="103" t="n">
        <f aca="false">IF(AC$5&lt;=LastHist,AC101,CHOOSE(Scen,AC102,AC101,AC100))</f>
        <v>0</v>
      </c>
      <c r="AD167" s="103" t="n">
        <f aca="false">IF(AD$5&lt;=LastHist,AD101,CHOOSE(Scen,AD102,AD101,AD100))</f>
        <v>0</v>
      </c>
      <c r="AE167" s="103" t="n">
        <f aca="false">IF(AE$5&lt;=LastHist,AE101,CHOOSE(Scen,AE102,AE101,AE100))</f>
        <v>0</v>
      </c>
      <c r="AF167" s="103" t="n">
        <f aca="false">IF(AF$5&lt;=LastHist,AF101,CHOOSE(Scen,AF102,AF101,AF100))</f>
        <v>0</v>
      </c>
      <c r="AG167" s="103" t="n">
        <f aca="false">IF(AG$5&lt;=LastHist,AG101,CHOOSE(Scen,AG102,AG101,AG100))</f>
        <v>0</v>
      </c>
      <c r="AI167" s="103" t="n">
        <f aca="false">INDEX($F167:$AG167,1,MATCH(AI$7,$F$7:$AG$7,1))</f>
        <v>0</v>
      </c>
      <c r="AJ167" s="103" t="n">
        <f aca="false">INDEX($F167:$AG167,1,MATCH(AJ$7,$F$7:$AG$7,1))</f>
        <v>0</v>
      </c>
      <c r="AK167" s="103" t="n">
        <f aca="false">INDEX($F167:$AG167,1,MATCH(AK$7,$F$7:$AG$7,1))</f>
        <v>0</v>
      </c>
      <c r="AL167" s="103" t="n">
        <f aca="false">INDEX($F167:$AG167,1,MATCH(AL$7,$F$7:$AG$7,1))</f>
        <v>0</v>
      </c>
      <c r="AM167" s="103" t="n">
        <f aca="false">INDEX($F167:$AG167,1,MATCH(AM$7,$F$7:$AG$7,1))</f>
        <v>0</v>
      </c>
      <c r="AN167" s="103" t="n">
        <f aca="false">INDEX($F167:$AG167,1,MATCH(AN$7,$F$7:$AG$7,1))</f>
        <v>0</v>
      </c>
      <c r="AO167" s="103" t="n">
        <f aca="false">INDEX($F167:$AG167,1,MATCH(AO$7,$F$7:$AG$7,1))</f>
        <v>0</v>
      </c>
    </row>
    <row r="168" customFormat="false" ht="15" hidden="false" customHeight="false" outlineLevel="0" collapsed="false">
      <c r="A168" s="101" t="s">
        <v>1109</v>
      </c>
      <c r="B168" s="18" t="s">
        <v>415</v>
      </c>
      <c r="C168" s="18" t="s">
        <v>354</v>
      </c>
      <c r="D168" s="18"/>
      <c r="F168" s="103" t="n">
        <f aca="false">IF(F$5&lt;=LastHist,F104,CHOOSE(Scen,F105,F104,F103))</f>
        <v>0</v>
      </c>
      <c r="G168" s="103" t="n">
        <f aca="false">IF(G$5&lt;=LastHist,G104,CHOOSE(Scen,G105,G104,G103))</f>
        <v>0</v>
      </c>
      <c r="H168" s="103" t="n">
        <f aca="false">IF(H$5&lt;=LastHist,H104,CHOOSE(Scen,H105,H104,H103))</f>
        <v>0</v>
      </c>
      <c r="I168" s="103" t="n">
        <f aca="false">IF(I$5&lt;=LastHist,I104,CHOOSE(Scen,I105,I104,I103))</f>
        <v>0</v>
      </c>
      <c r="J168" s="103" t="n">
        <f aca="false">IF(J$5&lt;=LastHist,J104,CHOOSE(Scen,J105,J104,J103))</f>
        <v>0</v>
      </c>
      <c r="K168" s="103" t="n">
        <f aca="false">IF(K$5&lt;=LastHist,K104,CHOOSE(Scen,K105,K104,K103))</f>
        <v>0</v>
      </c>
      <c r="L168" s="103" t="n">
        <f aca="false">IF(L$5&lt;=LastHist,L104,CHOOSE(Scen,L105,L104,L103))</f>
        <v>0</v>
      </c>
      <c r="M168" s="103" t="n">
        <f aca="false">IF(M$5&lt;=LastHist,M104,CHOOSE(Scen,M105,M104,M103))</f>
        <v>0</v>
      </c>
      <c r="N168" s="103" t="n">
        <f aca="false">IF(N$5&lt;=LastHist,N104,CHOOSE(Scen,N105,N104,N103))</f>
        <v>0</v>
      </c>
      <c r="O168" s="103" t="n">
        <f aca="false">IF(O$5&lt;=LastHist,O104,CHOOSE(Scen,O105,O104,O103))</f>
        <v>0</v>
      </c>
      <c r="P168" s="103" t="n">
        <f aca="false">IF(P$5&lt;=LastHist,P104,CHOOSE(Scen,P105,P104,P103))</f>
        <v>0</v>
      </c>
      <c r="Q168" s="103" t="n">
        <f aca="false">IF(Q$5&lt;=LastHist,Q104,CHOOSE(Scen,Q105,Q104,Q103))</f>
        <v>0</v>
      </c>
      <c r="R168" s="103" t="n">
        <f aca="false">IF(R$5&lt;=LastHist,R104,CHOOSE(Scen,R105,R104,R103))</f>
        <v>0</v>
      </c>
      <c r="S168" s="103" t="n">
        <f aca="false">IF(S$5&lt;=LastHist,S104,CHOOSE(Scen,S105,S104,S103))</f>
        <v>0</v>
      </c>
      <c r="T168" s="103" t="n">
        <f aca="false">IF(T$5&lt;=LastHist,T104,CHOOSE(Scen,T105,T104,T103))</f>
        <v>0</v>
      </c>
      <c r="U168" s="103" t="n">
        <f aca="false">IF(U$5&lt;=LastHist,U104,CHOOSE(Scen,U105,U104,U103))</f>
        <v>0</v>
      </c>
      <c r="V168" s="103" t="n">
        <f aca="false">IF(V$5&lt;=LastHist,V104,CHOOSE(Scen,V105,V104,V103))</f>
        <v>0</v>
      </c>
      <c r="W168" s="103" t="n">
        <f aca="false">IF(W$5&lt;=LastHist,W104,CHOOSE(Scen,W105,W104,W103))</f>
        <v>0</v>
      </c>
      <c r="X168" s="103" t="n">
        <f aca="false">IF(X$5&lt;=LastHist,X104,CHOOSE(Scen,X105,X104,X103))</f>
        <v>0</v>
      </c>
      <c r="Y168" s="103" t="n">
        <f aca="false">IF(Y$5&lt;=LastHist,Y104,CHOOSE(Scen,Y105,Y104,Y103))</f>
        <v>0</v>
      </c>
      <c r="Z168" s="103" t="n">
        <f aca="false">IF(Z$5&lt;=LastHist,Z104,CHOOSE(Scen,Z105,Z104,Z103))</f>
        <v>0</v>
      </c>
      <c r="AA168" s="103" t="n">
        <f aca="false">IF(AA$5&lt;=LastHist,AA104,CHOOSE(Scen,AA105,AA104,AA103))</f>
        <v>0</v>
      </c>
      <c r="AB168" s="103" t="n">
        <f aca="false">IF(AB$5&lt;=LastHist,AB104,CHOOSE(Scen,AB105,AB104,AB103))</f>
        <v>0</v>
      </c>
      <c r="AC168" s="103" t="n">
        <f aca="false">IF(AC$5&lt;=LastHist,AC104,CHOOSE(Scen,AC105,AC104,AC103))</f>
        <v>0</v>
      </c>
      <c r="AD168" s="103" t="n">
        <f aca="false">IF(AD$5&lt;=LastHist,AD104,CHOOSE(Scen,AD105,AD104,AD103))</f>
        <v>0</v>
      </c>
      <c r="AE168" s="103" t="n">
        <f aca="false">IF(AE$5&lt;=LastHist,AE104,CHOOSE(Scen,AE105,AE104,AE103))</f>
        <v>0</v>
      </c>
      <c r="AF168" s="103" t="n">
        <f aca="false">IF(AF$5&lt;=LastHist,AF104,CHOOSE(Scen,AF105,AF104,AF103))</f>
        <v>0</v>
      </c>
      <c r="AG168" s="103" t="n">
        <f aca="false">IF(AG$5&lt;=LastHist,AG104,CHOOSE(Scen,AG105,AG104,AG103))</f>
        <v>0</v>
      </c>
      <c r="AI168" s="103" t="n">
        <f aca="false">INDEX($F168:$AG168,1,MATCH(AI$7,$F$7:$AG$7,1))</f>
        <v>0</v>
      </c>
      <c r="AJ168" s="103" t="n">
        <f aca="false">INDEX($F168:$AG168,1,MATCH(AJ$7,$F$7:$AG$7,1))</f>
        <v>0</v>
      </c>
      <c r="AK168" s="103" t="n">
        <f aca="false">INDEX($F168:$AG168,1,MATCH(AK$7,$F$7:$AG$7,1))</f>
        <v>0</v>
      </c>
      <c r="AL168" s="103" t="n">
        <f aca="false">INDEX($F168:$AG168,1,MATCH(AL$7,$F$7:$AG$7,1))</f>
        <v>0</v>
      </c>
      <c r="AM168" s="103" t="n">
        <f aca="false">INDEX($F168:$AG168,1,MATCH(AM$7,$F$7:$AG$7,1))</f>
        <v>0</v>
      </c>
      <c r="AN168" s="103" t="n">
        <f aca="false">INDEX($F168:$AG168,1,MATCH(AN$7,$F$7:$AG$7,1))</f>
        <v>0</v>
      </c>
      <c r="AO168" s="103" t="n">
        <f aca="false">INDEX($F168:$AG168,1,MATCH(AO$7,$F$7:$AG$7,1))</f>
        <v>0</v>
      </c>
    </row>
    <row r="169" customFormat="false" ht="15" hidden="false" customHeight="false" outlineLevel="0" collapsed="false">
      <c r="A169" s="101" t="s">
        <v>1110</v>
      </c>
      <c r="B169" s="18" t="s">
        <v>415</v>
      </c>
      <c r="C169" s="18" t="s">
        <v>354</v>
      </c>
      <c r="D169" s="18"/>
      <c r="F169" s="103" t="n">
        <f aca="false">IF(F$5&lt;=LastHist,F107,CHOOSE(Scen,F108,F107,F106))</f>
        <v>0</v>
      </c>
      <c r="G169" s="103" t="n">
        <f aca="false">IF(G$5&lt;=LastHist,G107,CHOOSE(Scen,G108,G107,G106))</f>
        <v>0</v>
      </c>
      <c r="H169" s="103" t="n">
        <f aca="false">IF(H$5&lt;=LastHist,H107,CHOOSE(Scen,H108,H107,H106))</f>
        <v>0</v>
      </c>
      <c r="I169" s="103" t="n">
        <f aca="false">IF(I$5&lt;=LastHist,I107,CHOOSE(Scen,I108,I107,I106))</f>
        <v>0</v>
      </c>
      <c r="J169" s="103" t="n">
        <f aca="false">IF(J$5&lt;=LastHist,J107,CHOOSE(Scen,J108,J107,J106))</f>
        <v>0</v>
      </c>
      <c r="K169" s="103" t="n">
        <f aca="false">IF(K$5&lt;=LastHist,K107,CHOOSE(Scen,K108,K107,K106))</f>
        <v>0</v>
      </c>
      <c r="L169" s="103" t="n">
        <f aca="false">IF(L$5&lt;=LastHist,L107,CHOOSE(Scen,L108,L107,L106))</f>
        <v>0</v>
      </c>
      <c r="M169" s="103" t="n">
        <f aca="false">IF(M$5&lt;=LastHist,M107,CHOOSE(Scen,M108,M107,M106))</f>
        <v>0</v>
      </c>
      <c r="N169" s="103" t="n">
        <f aca="false">IF(N$5&lt;=LastHist,N107,CHOOSE(Scen,N108,N107,N106))</f>
        <v>0</v>
      </c>
      <c r="O169" s="103" t="n">
        <f aca="false">IF(O$5&lt;=LastHist,O107,CHOOSE(Scen,O108,O107,O106))</f>
        <v>0</v>
      </c>
      <c r="P169" s="103" t="n">
        <f aca="false">IF(P$5&lt;=LastHist,P107,CHOOSE(Scen,P108,P107,P106))</f>
        <v>0</v>
      </c>
      <c r="Q169" s="103" t="n">
        <f aca="false">IF(Q$5&lt;=LastHist,Q107,CHOOSE(Scen,Q108,Q107,Q106))</f>
        <v>0</v>
      </c>
      <c r="R169" s="103" t="n">
        <f aca="false">IF(R$5&lt;=LastHist,R107,CHOOSE(Scen,R108,R107,R106))</f>
        <v>0</v>
      </c>
      <c r="S169" s="103" t="n">
        <f aca="false">IF(S$5&lt;=LastHist,S107,CHOOSE(Scen,S108,S107,S106))</f>
        <v>0</v>
      </c>
      <c r="T169" s="103" t="n">
        <f aca="false">IF(T$5&lt;=LastHist,T107,CHOOSE(Scen,T108,T107,T106))</f>
        <v>12.5</v>
      </c>
      <c r="U169" s="103" t="n">
        <f aca="false">IF(U$5&lt;=LastHist,U107,CHOOSE(Scen,U108,U107,U106))</f>
        <v>25</v>
      </c>
      <c r="V169" s="103" t="n">
        <f aca="false">IF(V$5&lt;=LastHist,V107,CHOOSE(Scen,V108,V107,V106))</f>
        <v>37.5</v>
      </c>
      <c r="W169" s="103" t="n">
        <f aca="false">IF(W$5&lt;=LastHist,W107,CHOOSE(Scen,W108,W107,W106))</f>
        <v>37.5</v>
      </c>
      <c r="X169" s="103" t="n">
        <f aca="false">IF(X$5&lt;=LastHist,X107,CHOOSE(Scen,X108,X107,X106))</f>
        <v>50</v>
      </c>
      <c r="Y169" s="103" t="n">
        <f aca="false">IF(Y$5&lt;=LastHist,Y107,CHOOSE(Scen,Y108,Y107,Y106))</f>
        <v>50</v>
      </c>
      <c r="Z169" s="103" t="n">
        <f aca="false">IF(Z$5&lt;=LastHist,Z107,CHOOSE(Scen,Z108,Z107,Z106))</f>
        <v>50</v>
      </c>
      <c r="AA169" s="103" t="n">
        <f aca="false">IF(AA$5&lt;=LastHist,AA107,CHOOSE(Scen,AA108,AA107,AA106))</f>
        <v>50</v>
      </c>
      <c r="AB169" s="103" t="n">
        <f aca="false">IF(AB$5&lt;=LastHist,AB107,CHOOSE(Scen,AB108,AB107,AB106))</f>
        <v>50</v>
      </c>
      <c r="AC169" s="103" t="n">
        <f aca="false">IF(AC$5&lt;=LastHist,AC107,CHOOSE(Scen,AC108,AC107,AC106))</f>
        <v>50</v>
      </c>
      <c r="AD169" s="103" t="n">
        <f aca="false">IF(AD$5&lt;=LastHist,AD107,CHOOSE(Scen,AD108,AD107,AD106))</f>
        <v>50</v>
      </c>
      <c r="AE169" s="103" t="n">
        <f aca="false">IF(AE$5&lt;=LastHist,AE107,CHOOSE(Scen,AE108,AE107,AE106))</f>
        <v>50</v>
      </c>
      <c r="AF169" s="103" t="n">
        <f aca="false">IF(AF$5&lt;=LastHist,AF107,CHOOSE(Scen,AF108,AF107,AF106))</f>
        <v>50</v>
      </c>
      <c r="AG169" s="103" t="n">
        <f aca="false">IF(AG$5&lt;=LastHist,AG107,CHOOSE(Scen,AG108,AG107,AG106))</f>
        <v>50</v>
      </c>
      <c r="AI169" s="103" t="n">
        <f aca="false">INDEX($F169:$AG169,1,MATCH(AI$7,$F$7:$AG$7,1))</f>
        <v>0</v>
      </c>
      <c r="AJ169" s="103" t="n">
        <f aca="false">INDEX($F169:$AG169,1,MATCH(AJ$7,$F$7:$AG$7,1))</f>
        <v>0</v>
      </c>
      <c r="AK169" s="103" t="n">
        <f aca="false">INDEX($F169:$AG169,1,MATCH(AK$7,$F$7:$AG$7,1))</f>
        <v>0</v>
      </c>
      <c r="AL169" s="103" t="n">
        <f aca="false">INDEX($F169:$AG169,1,MATCH(AL$7,$F$7:$AG$7,1))</f>
        <v>25</v>
      </c>
      <c r="AM169" s="103" t="n">
        <f aca="false">INDEX($F169:$AG169,1,MATCH(AM$7,$F$7:$AG$7,1))</f>
        <v>50</v>
      </c>
      <c r="AN169" s="103" t="n">
        <f aca="false">INDEX($F169:$AG169,1,MATCH(AN$7,$F$7:$AG$7,1))</f>
        <v>50</v>
      </c>
      <c r="AO169" s="103" t="n">
        <f aca="false">INDEX($F169:$AG169,1,MATCH(AO$7,$F$7:$AG$7,1))</f>
        <v>50</v>
      </c>
    </row>
    <row r="170" customFormat="false" ht="15" hidden="false" customHeight="false" outlineLevel="0" collapsed="false">
      <c r="A170" s="101" t="s">
        <v>1111</v>
      </c>
      <c r="B170" s="18" t="s">
        <v>415</v>
      </c>
      <c r="C170" s="18" t="s">
        <v>354</v>
      </c>
      <c r="D170" s="18"/>
      <c r="F170" s="103" t="n">
        <f aca="false">IF(F$5&lt;=LastHist,F110,CHOOSE(Scen,F111,F110,F109))</f>
        <v>0</v>
      </c>
      <c r="G170" s="103" t="n">
        <f aca="false">IF(G$5&lt;=LastHist,G110,CHOOSE(Scen,G111,G110,G109))</f>
        <v>0</v>
      </c>
      <c r="H170" s="103" t="n">
        <f aca="false">IF(H$5&lt;=LastHist,H110,CHOOSE(Scen,H111,H110,H109))</f>
        <v>0</v>
      </c>
      <c r="I170" s="103" t="n">
        <f aca="false">IF(I$5&lt;=LastHist,I110,CHOOSE(Scen,I111,I110,I109))</f>
        <v>0</v>
      </c>
      <c r="J170" s="103" t="n">
        <f aca="false">IF(J$5&lt;=LastHist,J110,CHOOSE(Scen,J111,J110,J109))</f>
        <v>0</v>
      </c>
      <c r="K170" s="103" t="n">
        <f aca="false">IF(K$5&lt;=LastHist,K110,CHOOSE(Scen,K111,K110,K109))</f>
        <v>0</v>
      </c>
      <c r="L170" s="103" t="n">
        <f aca="false">IF(L$5&lt;=LastHist,L110,CHOOSE(Scen,L111,L110,L109))</f>
        <v>0</v>
      </c>
      <c r="M170" s="103" t="n">
        <f aca="false">IF(M$5&lt;=LastHist,M110,CHOOSE(Scen,M111,M110,M109))</f>
        <v>0</v>
      </c>
      <c r="N170" s="103" t="n">
        <f aca="false">IF(N$5&lt;=LastHist,N110,CHOOSE(Scen,N111,N110,N109))</f>
        <v>0</v>
      </c>
      <c r="O170" s="103" t="n">
        <f aca="false">IF(O$5&lt;=LastHist,O110,CHOOSE(Scen,O111,O110,O109))</f>
        <v>0</v>
      </c>
      <c r="P170" s="103" t="n">
        <f aca="false">IF(P$5&lt;=LastHist,P110,CHOOSE(Scen,P111,P110,P109))</f>
        <v>0</v>
      </c>
      <c r="Q170" s="103" t="n">
        <f aca="false">IF(Q$5&lt;=LastHist,Q110,CHOOSE(Scen,Q111,Q110,Q109))</f>
        <v>0</v>
      </c>
      <c r="R170" s="103" t="n">
        <f aca="false">IF(R$5&lt;=LastHist,R110,CHOOSE(Scen,R111,R110,R109))</f>
        <v>0</v>
      </c>
      <c r="S170" s="103" t="n">
        <f aca="false">IF(S$5&lt;=LastHist,S110,CHOOSE(Scen,S111,S110,S109))</f>
        <v>0</v>
      </c>
      <c r="T170" s="103" t="n">
        <f aca="false">IF(T$5&lt;=LastHist,T110,CHOOSE(Scen,T111,T110,T109))</f>
        <v>0</v>
      </c>
      <c r="U170" s="103" t="n">
        <f aca="false">IF(U$5&lt;=LastHist,U110,CHOOSE(Scen,U111,U110,U109))</f>
        <v>0</v>
      </c>
      <c r="V170" s="103" t="n">
        <f aca="false">IF(V$5&lt;=LastHist,V110,CHOOSE(Scen,V111,V110,V109))</f>
        <v>0</v>
      </c>
      <c r="W170" s="103" t="n">
        <f aca="false">IF(W$5&lt;=LastHist,W110,CHOOSE(Scen,W111,W110,W109))</f>
        <v>0</v>
      </c>
      <c r="X170" s="103" t="n">
        <f aca="false">IF(X$5&lt;=LastHist,X110,CHOOSE(Scen,X111,X110,X109))</f>
        <v>0</v>
      </c>
      <c r="Y170" s="103" t="n">
        <f aca="false">IF(Y$5&lt;=LastHist,Y110,CHOOSE(Scen,Y111,Y110,Y109))</f>
        <v>0</v>
      </c>
      <c r="Z170" s="103" t="n">
        <f aca="false">IF(Z$5&lt;=LastHist,Z110,CHOOSE(Scen,Z111,Z110,Z109))</f>
        <v>0</v>
      </c>
      <c r="AA170" s="103" t="n">
        <f aca="false">IF(AA$5&lt;=LastHist,AA110,CHOOSE(Scen,AA111,AA110,AA109))</f>
        <v>0</v>
      </c>
      <c r="AB170" s="103" t="n">
        <f aca="false">IF(AB$5&lt;=LastHist,AB110,CHOOSE(Scen,AB111,AB110,AB109))</f>
        <v>0</v>
      </c>
      <c r="AC170" s="103" t="n">
        <f aca="false">IF(AC$5&lt;=LastHist,AC110,CHOOSE(Scen,AC111,AC110,AC109))</f>
        <v>0</v>
      </c>
      <c r="AD170" s="103" t="n">
        <f aca="false">IF(AD$5&lt;=LastHist,AD110,CHOOSE(Scen,AD111,AD110,AD109))</f>
        <v>0</v>
      </c>
      <c r="AE170" s="103" t="n">
        <f aca="false">IF(AE$5&lt;=LastHist,AE110,CHOOSE(Scen,AE111,AE110,AE109))</f>
        <v>0</v>
      </c>
      <c r="AF170" s="103" t="n">
        <f aca="false">IF(AF$5&lt;=LastHist,AF110,CHOOSE(Scen,AF111,AF110,AF109))</f>
        <v>0</v>
      </c>
      <c r="AG170" s="103" t="n">
        <f aca="false">IF(AG$5&lt;=LastHist,AG110,CHOOSE(Scen,AG111,AG110,AG109))</f>
        <v>0</v>
      </c>
      <c r="AI170" s="103" t="n">
        <f aca="false">INDEX($F170:$AG170,1,MATCH(AI$7,$F$7:$AG$7,1))</f>
        <v>0</v>
      </c>
      <c r="AJ170" s="103" t="n">
        <f aca="false">INDEX($F170:$AG170,1,MATCH(AJ$7,$F$7:$AG$7,1))</f>
        <v>0</v>
      </c>
      <c r="AK170" s="103" t="n">
        <f aca="false">INDEX($F170:$AG170,1,MATCH(AK$7,$F$7:$AG$7,1))</f>
        <v>0</v>
      </c>
      <c r="AL170" s="103" t="n">
        <f aca="false">INDEX($F170:$AG170,1,MATCH(AL$7,$F$7:$AG$7,1))</f>
        <v>0</v>
      </c>
      <c r="AM170" s="103" t="n">
        <f aca="false">INDEX($F170:$AG170,1,MATCH(AM$7,$F$7:$AG$7,1))</f>
        <v>0</v>
      </c>
      <c r="AN170" s="103" t="n">
        <f aca="false">INDEX($F170:$AG170,1,MATCH(AN$7,$F$7:$AG$7,1))</f>
        <v>0</v>
      </c>
      <c r="AO170" s="103" t="n">
        <f aca="false">INDEX($F170:$AG170,1,MATCH(AO$7,$F$7:$AG$7,1))</f>
        <v>0</v>
      </c>
    </row>
    <row r="171" customFormat="false" ht="15" hidden="false" customHeight="false" outlineLevel="0" collapsed="false">
      <c r="A171" s="101" t="s">
        <v>1204</v>
      </c>
      <c r="B171" s="18" t="s">
        <v>415</v>
      </c>
      <c r="C171" s="18" t="s">
        <v>354</v>
      </c>
      <c r="D171" s="18" t="s">
        <v>1205</v>
      </c>
      <c r="E171" s="0" t="s">
        <v>1070</v>
      </c>
      <c r="AI171" s="103" t="n">
        <f aca="false">INDEX($F171:$AG171,1,MATCH(AI$7,$F$7:$AG$7,1))</f>
        <v>0</v>
      </c>
      <c r="AJ171" s="103" t="n">
        <f aca="false">INDEX($F171:$AG171,1,MATCH(AJ$7,$F$7:$AG$7,1))</f>
        <v>0</v>
      </c>
      <c r="AK171" s="103" t="n">
        <f aca="false">INDEX($F171:$AG171,1,MATCH(AK$7,$F$7:$AG$7,1))</f>
        <v>0</v>
      </c>
      <c r="AL171" s="103" t="n">
        <f aca="false">INDEX($F171:$AG171,1,MATCH(AL$7,$F$7:$AG$7,1))</f>
        <v>0</v>
      </c>
      <c r="AM171" s="103" t="n">
        <f aca="false">INDEX($F171:$AG171,1,MATCH(AM$7,$F$7:$AG$7,1))</f>
        <v>0</v>
      </c>
      <c r="AN171" s="103" t="n">
        <f aca="false">INDEX($F171:$AG171,1,MATCH(AN$7,$F$7:$AG$7,1))</f>
        <v>0</v>
      </c>
      <c r="AO171" s="103" t="n">
        <f aca="false">INDEX($F171:$AG171,1,MATCH(AO$7,$F$7:$AG$7,1))</f>
        <v>0</v>
      </c>
    </row>
    <row r="172" customFormat="false" ht="15" hidden="false" customHeight="false" outlineLevel="0" collapsed="false">
      <c r="A172" s="101" t="s">
        <v>1198</v>
      </c>
      <c r="B172" s="18" t="s">
        <v>415</v>
      </c>
      <c r="C172" s="18" t="s">
        <v>336</v>
      </c>
      <c r="D172" s="18" t="s">
        <v>1199</v>
      </c>
      <c r="F172" s="106" t="n">
        <f aca="false">MAX(0,N(F171)*1-SUMPRODUCT(F147:F170,$F$12:$F$35))</f>
        <v>0</v>
      </c>
      <c r="G172" s="106" t="n">
        <f aca="false">MAX(0,N(G171)*1-SUMPRODUCT(G147:G170,$F$12:$F$35))</f>
        <v>0</v>
      </c>
      <c r="H172" s="106" t="n">
        <f aca="false">MAX(0,N(H171)*1-SUMPRODUCT(H147:H170,$F$12:$F$35))</f>
        <v>0</v>
      </c>
      <c r="I172" s="106" t="n">
        <f aca="false">MAX(0,N(I171)*1-SUMPRODUCT(I147:I170,$F$12:$F$35))</f>
        <v>0</v>
      </c>
      <c r="J172" s="106" t="n">
        <f aca="false">MAX(0,N(J171)*1-SUMPRODUCT(J147:J170,$F$12:$F$35))</f>
        <v>0</v>
      </c>
      <c r="K172" s="106" t="n">
        <f aca="false">MAX(0,N(K171)*1-SUMPRODUCT(K147:K170,$F$12:$F$35))</f>
        <v>0</v>
      </c>
      <c r="L172" s="106" t="n">
        <f aca="false">MAX(0,N(L171)*1-SUMPRODUCT(L147:L170,$F$12:$F$35))</f>
        <v>0</v>
      </c>
      <c r="M172" s="106" t="n">
        <f aca="false">MAX(0,N(M171)*1-SUMPRODUCT(M147:M170,$F$12:$F$35))</f>
        <v>0</v>
      </c>
      <c r="N172" s="106" t="n">
        <f aca="false">MAX(0,N(N171)*1-SUMPRODUCT(N147:N170,$F$12:$F$35))</f>
        <v>0</v>
      </c>
      <c r="O172" s="106" t="n">
        <f aca="false">MAX(0,N(O171)*1-SUMPRODUCT(O147:O170,$F$12:$F$35))</f>
        <v>0</v>
      </c>
      <c r="P172" s="103" t="n">
        <f aca="false">MAX(0,N(P171)*1-SUMPRODUCT(P147:P170,$F$12:$F$35))</f>
        <v>0</v>
      </c>
      <c r="Q172" s="103" t="n">
        <f aca="false">MAX(0,N(Q171)*1-SUMPRODUCT(Q147:Q170,$F$12:$F$35))</f>
        <v>0</v>
      </c>
      <c r="R172" s="103" t="n">
        <f aca="false">MAX(0,N(R171)*1-SUMPRODUCT(R147:R170,$F$12:$F$35))</f>
        <v>0</v>
      </c>
      <c r="S172" s="103" t="n">
        <f aca="false">MAX(0,N(S171)*1-SUMPRODUCT(S147:S170,$F$12:$F$35))</f>
        <v>0</v>
      </c>
      <c r="T172" s="103" t="n">
        <f aca="false">MAX(0,N(T171)*1-SUMPRODUCT(T147:T170,$F$12:$F$35))</f>
        <v>0</v>
      </c>
      <c r="U172" s="103" t="n">
        <f aca="false">MAX(0,N(U171)*1-SUMPRODUCT(U147:U170,$F$12:$F$35))</f>
        <v>0</v>
      </c>
      <c r="V172" s="103" t="n">
        <f aca="false">MAX(0,N(V171)*1-SUMPRODUCT(V147:V170,$F$12:$F$35))</f>
        <v>0</v>
      </c>
      <c r="W172" s="103" t="n">
        <f aca="false">MAX(0,N(W171)*1-SUMPRODUCT(W147:W170,$F$12:$F$35))</f>
        <v>0</v>
      </c>
      <c r="X172" s="103" t="n">
        <f aca="false">MAX(0,N(X171)*1-SUMPRODUCT(X147:X170,$F$12:$F$35))</f>
        <v>0</v>
      </c>
      <c r="Y172" s="103" t="n">
        <f aca="false">MAX(0,N(Y171)*1-SUMPRODUCT(Y147:Y170,$F$12:$F$35))</f>
        <v>0</v>
      </c>
      <c r="Z172" s="103" t="n">
        <f aca="false">MAX(0,N(Z171)*1-SUMPRODUCT(Z147:Z170,$F$12:$F$35))</f>
        <v>0</v>
      </c>
      <c r="AA172" s="103" t="n">
        <f aca="false">MAX(0,N(AA171)*1-SUMPRODUCT(AA147:AA170,$F$12:$F$35))</f>
        <v>0</v>
      </c>
      <c r="AB172" s="103" t="n">
        <f aca="false">MAX(0,N(AB171)*1-SUMPRODUCT(AB147:AB170,$F$12:$F$35))</f>
        <v>0</v>
      </c>
      <c r="AC172" s="103" t="n">
        <f aca="false">MAX(0,N(AC171)*1-SUMPRODUCT(AC147:AC170,$F$12:$F$35))</f>
        <v>0</v>
      </c>
      <c r="AD172" s="103" t="n">
        <f aca="false">MAX(0,N(AD171)*1-SUMPRODUCT(AD147:AD170,$F$12:$F$35))</f>
        <v>0</v>
      </c>
      <c r="AE172" s="103" t="n">
        <f aca="false">MAX(0,N(AE171)*1-SUMPRODUCT(AE147:AE170,$F$12:$F$35))</f>
        <v>0</v>
      </c>
      <c r="AF172" s="103" t="n">
        <f aca="false">MAX(0,N(AF171)*1-SUMPRODUCT(AF147:AF170,$F$12:$F$35))</f>
        <v>0</v>
      </c>
      <c r="AG172" s="103" t="n">
        <f aca="false">MAX(0,N(AG171)*1-SUMPRODUCT(AG147:AG170,$F$12:$F$35))</f>
        <v>0</v>
      </c>
      <c r="AI172" s="103" t="n">
        <f aca="false">INDEX($F172:$AG172,1,MATCH(AI$7,$F$7:$AG$7,1))</f>
        <v>0</v>
      </c>
      <c r="AJ172" s="103" t="n">
        <f aca="false">INDEX($F172:$AG172,1,MATCH(AJ$7,$F$7:$AG$7,1))</f>
        <v>0</v>
      </c>
      <c r="AK172" s="103" t="n">
        <f aca="false">INDEX($F172:$AG172,1,MATCH(AK$7,$F$7:$AG$7,1))</f>
        <v>0</v>
      </c>
      <c r="AL172" s="103" t="n">
        <f aca="false">INDEX($F172:$AG172,1,MATCH(AL$7,$F$7:$AG$7,1))</f>
        <v>0</v>
      </c>
      <c r="AM172" s="103" t="n">
        <f aca="false">INDEX($F172:$AG172,1,MATCH(AM$7,$F$7:$AG$7,1))</f>
        <v>0</v>
      </c>
      <c r="AN172" s="103" t="n">
        <f aca="false">INDEX($F172:$AG172,1,MATCH(AN$7,$F$7:$AG$7,1))</f>
        <v>0</v>
      </c>
      <c r="AO172" s="103" t="n">
        <f aca="false">INDEX($F172:$AG172,1,MATCH(AO$7,$F$7:$AG$7,1))</f>
        <v>0</v>
      </c>
    </row>
    <row r="173" customFormat="false" ht="15" hidden="false" customHeight="false" outlineLevel="0" collapsed="false">
      <c r="A173" s="3" t="s">
        <v>1206</v>
      </c>
      <c r="B173" s="18" t="s">
        <v>415</v>
      </c>
      <c r="C173" s="18" t="s">
        <v>336</v>
      </c>
      <c r="D173" s="18" t="s">
        <v>1201</v>
      </c>
      <c r="F173" s="108" t="n">
        <f aca="false">SUMPRODUCT(F147:F170,$F$12:$F$35)+F172</f>
        <v>25</v>
      </c>
      <c r="G173" s="108" t="n">
        <f aca="false">SUMPRODUCT(G147:G170,$F$12:$F$35)+G172</f>
        <v>25</v>
      </c>
      <c r="H173" s="108" t="n">
        <f aca="false">SUMPRODUCT(H147:H170,$F$12:$F$35)+H172</f>
        <v>25</v>
      </c>
      <c r="I173" s="108" t="n">
        <f aca="false">SUMPRODUCT(I147:I170,$F$12:$F$35)+I172</f>
        <v>30</v>
      </c>
      <c r="J173" s="108" t="n">
        <f aca="false">SUMPRODUCT(J147:J170,$F$12:$F$35)+J172</f>
        <v>40</v>
      </c>
      <c r="K173" s="108" t="n">
        <f aca="false">SUMPRODUCT(K147:K170,$F$12:$F$35)+K172</f>
        <v>45</v>
      </c>
      <c r="L173" s="108" t="n">
        <f aca="false">SUMPRODUCT(L147:L170,$F$12:$F$35)+L172</f>
        <v>62.5</v>
      </c>
      <c r="M173" s="108" t="n">
        <f aca="false">SUMPRODUCT(M147:M170,$F$12:$F$35)+M172</f>
        <v>147.7</v>
      </c>
      <c r="N173" s="108" t="n">
        <f aca="false">SUMPRODUCT(N147:N170,$F$12:$F$35)+N172</f>
        <v>171.5</v>
      </c>
      <c r="O173" s="108" t="n">
        <f aca="false">SUMPRODUCT(O147:O170,$F$12:$F$35)+O172</f>
        <v>173</v>
      </c>
      <c r="P173" s="109" t="n">
        <f aca="false">SUMPRODUCT(P147:P170,$F$12:$F$35)+P172</f>
        <v>207.5</v>
      </c>
      <c r="Q173" s="109" t="n">
        <f aca="false">SUMPRODUCT(Q147:Q170,$F$12:$F$35)+Q172</f>
        <v>292.4</v>
      </c>
      <c r="R173" s="109" t="n">
        <f aca="false">SUMPRODUCT(R147:R170,$F$12:$F$35)+R172</f>
        <v>416.4</v>
      </c>
      <c r="S173" s="109" t="n">
        <f aca="false">SUMPRODUCT(S147:S170,$F$12:$F$35)+S172</f>
        <v>545.1</v>
      </c>
      <c r="T173" s="109" t="n">
        <f aca="false">SUMPRODUCT(T147:T170,$F$12:$F$35)+T172</f>
        <v>684.5</v>
      </c>
      <c r="U173" s="109" t="n">
        <f aca="false">SUMPRODUCT(U147:U170,$F$12:$F$35)+U172</f>
        <v>950</v>
      </c>
      <c r="V173" s="109" t="n">
        <f aca="false">SUMPRODUCT(V147:V170,$F$12:$F$35)+V172</f>
        <v>1042.5</v>
      </c>
      <c r="W173" s="109" t="n">
        <f aca="false">SUMPRODUCT(W147:W170,$F$12:$F$35)+W172</f>
        <v>1198.5</v>
      </c>
      <c r="X173" s="109" t="n">
        <f aca="false">SUMPRODUCT(X147:X170,$F$12:$F$35)+X172</f>
        <v>1211</v>
      </c>
      <c r="Y173" s="109" t="n">
        <f aca="false">SUMPRODUCT(Y147:Y170,$F$12:$F$35)+Y172</f>
        <v>1539</v>
      </c>
      <c r="Z173" s="109" t="n">
        <f aca="false">SUMPRODUCT(Z147:Z170,$F$12:$F$35)+Z172</f>
        <v>1539</v>
      </c>
      <c r="AA173" s="109" t="n">
        <f aca="false">SUMPRODUCT(AA147:AA170,$F$12:$F$35)+AA172</f>
        <v>1875</v>
      </c>
      <c r="AB173" s="109" t="n">
        <f aca="false">SUMPRODUCT(AB147:AB170,$F$12:$F$35)+AB172</f>
        <v>1875</v>
      </c>
      <c r="AC173" s="109" t="n">
        <f aca="false">SUMPRODUCT(AC147:AC170,$F$12:$F$35)+AC172</f>
        <v>2343</v>
      </c>
      <c r="AD173" s="109" t="n">
        <f aca="false">SUMPRODUCT(AD147:AD170,$F$12:$F$35)+AD172</f>
        <v>2343</v>
      </c>
      <c r="AE173" s="109" t="n">
        <f aca="false">SUMPRODUCT(AE147:AE170,$F$12:$F$35)+AE172</f>
        <v>2343</v>
      </c>
      <c r="AF173" s="109" t="n">
        <f aca="false">SUMPRODUCT(AF147:AF170,$F$12:$F$35)+AF172</f>
        <v>2343</v>
      </c>
      <c r="AG173" s="109" t="n">
        <f aca="false">SUMPRODUCT(AG147:AG170,$F$12:$F$35)+AG172</f>
        <v>2803</v>
      </c>
      <c r="AI173" s="109" t="n">
        <f aca="false">INDEX($F173:$AG173,1,MATCH(AI$7,$F$7:$AG$7,1))</f>
        <v>30</v>
      </c>
      <c r="AJ173" s="109" t="n">
        <f aca="false">INDEX($F173:$AG173,1,MATCH(AJ$7,$F$7:$AG$7,1))</f>
        <v>147.7</v>
      </c>
      <c r="AK173" s="109" t="n">
        <f aca="false">INDEX($F173:$AG173,1,MATCH(AK$7,$F$7:$AG$7,1))</f>
        <v>292.4</v>
      </c>
      <c r="AL173" s="109" t="n">
        <f aca="false">INDEX($F173:$AG173,1,MATCH(AL$7,$F$7:$AG$7,1))</f>
        <v>950</v>
      </c>
      <c r="AM173" s="109" t="n">
        <f aca="false">INDEX($F173:$AG173,1,MATCH(AM$7,$F$7:$AG$7,1))</f>
        <v>1539</v>
      </c>
      <c r="AN173" s="109" t="n">
        <f aca="false">INDEX($F173:$AG173,1,MATCH(AN$7,$F$7:$AG$7,1))</f>
        <v>2343</v>
      </c>
      <c r="AO173" s="109" t="n">
        <f aca="false">INDEX($F173:$AG173,1,MATCH(AO$7,$F$7:$AG$7,1))</f>
        <v>2803</v>
      </c>
    </row>
    <row r="174" customFormat="false" ht="15" hidden="false" customHeight="false" outlineLevel="0" collapsed="false">
      <c r="A174" s="101" t="s">
        <v>1207</v>
      </c>
      <c r="B174" s="18" t="s">
        <v>415</v>
      </c>
      <c r="C174" s="18" t="s">
        <v>336</v>
      </c>
      <c r="D174" s="18"/>
      <c r="F174" s="106" t="n">
        <f aca="false">SUMPRODUCT(F147:F170,$F$12:$F$35,$G$12:$G$35)+F172*INDEX(OwnedSh,1,F$7-FYBase)</f>
        <v>25</v>
      </c>
      <c r="G174" s="106" t="n">
        <f aca="false">SUMPRODUCT(G147:G170,$F$12:$F$35,$G$12:$G$35)+G172*INDEX(OwnedSh,1,G$7-FYBase)</f>
        <v>25</v>
      </c>
      <c r="H174" s="106" t="n">
        <f aca="false">SUMPRODUCT(H147:H170,$F$12:$F$35,$G$12:$G$35)+H172*INDEX(OwnedSh,1,H$7-FYBase)</f>
        <v>25</v>
      </c>
      <c r="I174" s="106" t="n">
        <f aca="false">SUMPRODUCT(I147:I170,$F$12:$F$35,$G$12:$G$35)+I172*INDEX(OwnedSh,1,I$7-FYBase)</f>
        <v>25</v>
      </c>
      <c r="J174" s="106" t="n">
        <f aca="false">SUMPRODUCT(J147:J170,$F$12:$F$35,$G$12:$G$35)+J172*INDEX(OwnedSh,1,J$7-FYBase)</f>
        <v>25</v>
      </c>
      <c r="K174" s="106" t="n">
        <f aca="false">SUMPRODUCT(K147:K170,$F$12:$F$35,$G$12:$G$35)+K172*INDEX(OwnedSh,1,K$7-FYBase)</f>
        <v>25</v>
      </c>
      <c r="L174" s="106" t="n">
        <f aca="false">SUMPRODUCT(L147:L170,$F$12:$F$35,$G$12:$G$35)+L172*INDEX(OwnedSh,1,L$7-FYBase)</f>
        <v>37.5</v>
      </c>
      <c r="M174" s="106" t="n">
        <f aca="false">SUMPRODUCT(M147:M170,$F$12:$F$35,$G$12:$G$35)+M172*INDEX(OwnedSh,1,M$7-FYBase)</f>
        <v>62.5</v>
      </c>
      <c r="N174" s="106" t="n">
        <f aca="false">SUMPRODUCT(N147:N170,$F$12:$F$35,$G$12:$G$35)+N172*INDEX(OwnedSh,1,N$7-FYBase)</f>
        <v>75</v>
      </c>
      <c r="O174" s="106" t="n">
        <f aca="false">SUMPRODUCT(O147:O170,$F$12:$F$35,$G$12:$G$35)+O172*INDEX(OwnedSh,1,O$7-FYBase)</f>
        <v>75</v>
      </c>
      <c r="P174" s="103" t="n">
        <f aca="false">SUMPRODUCT(P147:P170,$F$12:$F$35,$G$12:$G$35)+P172*INDEX(OwnedSh,1,P$7-FYBase)</f>
        <v>75</v>
      </c>
      <c r="Q174" s="103" t="n">
        <f aca="false">SUMPRODUCT(Q147:Q170,$F$12:$F$35,$G$12:$G$35)+Q172*INDEX(OwnedSh,1,Q$7-FYBase)</f>
        <v>75</v>
      </c>
      <c r="R174" s="103" t="n">
        <f aca="false">SUMPRODUCT(R147:R170,$F$12:$F$35,$G$12:$G$35)+R172*INDEX(OwnedSh,1,R$7-FYBase)</f>
        <v>85</v>
      </c>
      <c r="S174" s="103" t="n">
        <f aca="false">SUMPRODUCT(S147:S170,$F$12:$F$35,$G$12:$G$35)+S172*INDEX(OwnedSh,1,S$7-FYBase)</f>
        <v>109</v>
      </c>
      <c r="T174" s="103" t="n">
        <f aca="false">SUMPRODUCT(T147:T170,$F$12:$F$35,$G$12:$G$35)+T172*INDEX(OwnedSh,1,T$7-FYBase)</f>
        <v>183</v>
      </c>
      <c r="U174" s="103" t="n">
        <f aca="false">SUMPRODUCT(U147:U170,$F$12:$F$35,$G$12:$G$35)+U172*INDEX(OwnedSh,1,U$7-FYBase)</f>
        <v>343</v>
      </c>
      <c r="V174" s="103" t="n">
        <f aca="false">SUMPRODUCT(V147:V170,$F$12:$F$35,$G$12:$G$35)+V172*INDEX(OwnedSh,1,V$7-FYBase)</f>
        <v>423</v>
      </c>
      <c r="W174" s="103" t="n">
        <f aca="false">SUMPRODUCT(W147:W170,$F$12:$F$35,$G$12:$G$35)+W172*INDEX(OwnedSh,1,W$7-FYBase)</f>
        <v>579</v>
      </c>
      <c r="X174" s="103" t="n">
        <f aca="false">SUMPRODUCT(X147:X170,$F$12:$F$35,$G$12:$G$35)+X172*INDEX(OwnedSh,1,X$7-FYBase)</f>
        <v>579</v>
      </c>
      <c r="Y174" s="103" t="n">
        <f aca="false">SUMPRODUCT(Y147:Y170,$F$12:$F$35,$G$12:$G$35)+Y172*INDEX(OwnedSh,1,Y$7-FYBase)</f>
        <v>859</v>
      </c>
      <c r="Z174" s="103" t="n">
        <f aca="false">SUMPRODUCT(Z147:Z170,$F$12:$F$35,$G$12:$G$35)+Z172*INDEX(OwnedSh,1,Z$7-FYBase)</f>
        <v>859</v>
      </c>
      <c r="AA174" s="103" t="n">
        <f aca="false">SUMPRODUCT(AA147:AA170,$F$12:$F$35,$G$12:$G$35)+AA172*INDEX(OwnedSh,1,AA$7-FYBase)</f>
        <v>1195</v>
      </c>
      <c r="AB174" s="103" t="n">
        <f aca="false">SUMPRODUCT(AB147:AB170,$F$12:$F$35,$G$12:$G$35)+AB172*INDEX(OwnedSh,1,AB$7-FYBase)</f>
        <v>1195</v>
      </c>
      <c r="AC174" s="103" t="n">
        <f aca="false">SUMPRODUCT(AC147:AC170,$F$12:$F$35,$G$12:$G$35)+AC172*INDEX(OwnedSh,1,AC$7-FYBase)</f>
        <v>1663</v>
      </c>
      <c r="AD174" s="103" t="n">
        <f aca="false">SUMPRODUCT(AD147:AD170,$F$12:$F$35,$G$12:$G$35)+AD172*INDEX(OwnedSh,1,AD$7-FYBase)</f>
        <v>1663</v>
      </c>
      <c r="AE174" s="103" t="n">
        <f aca="false">SUMPRODUCT(AE147:AE170,$F$12:$F$35,$G$12:$G$35)+AE172*INDEX(OwnedSh,1,AE$7-FYBase)</f>
        <v>1663</v>
      </c>
      <c r="AF174" s="103" t="n">
        <f aca="false">SUMPRODUCT(AF147:AF170,$F$12:$F$35,$G$12:$G$35)+AF172*INDEX(OwnedSh,1,AF$7-FYBase)</f>
        <v>1663</v>
      </c>
      <c r="AG174" s="103" t="n">
        <f aca="false">SUMPRODUCT(AG147:AG170,$F$12:$F$35,$G$12:$G$35)+AG172*INDEX(OwnedSh,1,AG$7-FYBase)</f>
        <v>2123</v>
      </c>
      <c r="AI174" s="103" t="n">
        <f aca="false">INDEX($F174:$AG174,1,MATCH(AI$7,$F$7:$AG$7,1))</f>
        <v>25</v>
      </c>
      <c r="AJ174" s="103" t="n">
        <f aca="false">INDEX($F174:$AG174,1,MATCH(AJ$7,$F$7:$AG$7,1))</f>
        <v>62.5</v>
      </c>
      <c r="AK174" s="103" t="n">
        <f aca="false">INDEX($F174:$AG174,1,MATCH(AK$7,$F$7:$AG$7,1))</f>
        <v>75</v>
      </c>
      <c r="AL174" s="103" t="n">
        <f aca="false">INDEX($F174:$AG174,1,MATCH(AL$7,$F$7:$AG$7,1))</f>
        <v>343</v>
      </c>
      <c r="AM174" s="103" t="n">
        <f aca="false">INDEX($F174:$AG174,1,MATCH(AM$7,$F$7:$AG$7,1))</f>
        <v>859</v>
      </c>
      <c r="AN174" s="103" t="n">
        <f aca="false">INDEX($F174:$AG174,1,MATCH(AN$7,$F$7:$AG$7,1))</f>
        <v>1663</v>
      </c>
      <c r="AO174" s="103" t="n">
        <f aca="false">INDEX($F174:$AG174,1,MATCH(AO$7,$F$7:$AG$7,1))</f>
        <v>2123</v>
      </c>
    </row>
    <row r="176" customFormat="false" ht="15" hidden="false" customHeight="false" outlineLevel="0" collapsed="false">
      <c r="A176" s="48" t="s">
        <v>1208</v>
      </c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</row>
    <row r="177" customFormat="false" ht="15" hidden="false" customHeight="false" outlineLevel="0" collapsed="false">
      <c r="A177" s="101" t="s">
        <v>1209</v>
      </c>
      <c r="B177" s="18" t="s">
        <v>400</v>
      </c>
      <c r="C177" s="18" t="s">
        <v>354</v>
      </c>
      <c r="D177" s="18" t="s">
        <v>1210</v>
      </c>
      <c r="F177" s="105" t="n">
        <f aca="false">SUMPRODUCT(((F147:F170-E147:E170)&gt;0)*(F147:F170-E147:E170),$F$12:$F$35,$O$12:$O$35-$P$12:$P$35)</f>
        <v>1043.75</v>
      </c>
      <c r="G177" s="105" t="n">
        <f aca="false">SUMPRODUCT(((G147:G170-F147:F170)&gt;0)*(G147:G170-F147:F170),$F$12:$F$35,$O$12:$O$35-$P$12:$P$35)</f>
        <v>0</v>
      </c>
      <c r="H177" s="105" t="n">
        <f aca="false">SUMPRODUCT(((H147:H170-G147:G170)&gt;0)*(H147:H170-G147:G170),$F$12:$F$35,$O$12:$O$35-$P$12:$P$35)</f>
        <v>0</v>
      </c>
      <c r="I177" s="105" t="n">
        <f aca="false">SUMPRODUCT(((I147:I170-H147:H170)&gt;0)*(I147:I170-H147:H170),$F$12:$F$35,$O$12:$O$35-$P$12:$P$35)</f>
        <v>150</v>
      </c>
      <c r="J177" s="105" t="n">
        <f aca="false">SUMPRODUCT(((J147:J170-I147:I170)&gt;0)*(J147:J170-I147:I170),$F$12:$F$35,$O$12:$O$35-$P$12:$P$35)</f>
        <v>300</v>
      </c>
      <c r="K177" s="105" t="n">
        <f aca="false">SUMPRODUCT(((K147:K170-J147:J170)&gt;0)*(K147:K170-J147:J170),$F$12:$F$35,$O$12:$O$35-$P$12:$P$35)</f>
        <v>150</v>
      </c>
      <c r="L177" s="105" t="n">
        <f aca="false">SUMPRODUCT(((L147:L170-K147:K170)&gt;0)*(L147:L170-K147:K170),$F$12:$F$35,$O$12:$O$35-$P$12:$P$35)</f>
        <v>671.875</v>
      </c>
      <c r="M177" s="105" t="n">
        <f aca="false">SUMPRODUCT(((M147:M170-L147:L170)&gt;0)*(M147:M170-L147:L170),$F$12:$F$35,$O$12:$O$35-$P$12:$P$35)</f>
        <v>3137.95</v>
      </c>
      <c r="N177" s="105" t="n">
        <f aca="false">SUMPRODUCT(((N147:N170-M147:M170)&gt;0)*(N147:N170-M147:M170),$F$12:$F$35,$O$12:$O$35-$P$12:$P$35)</f>
        <v>985.175</v>
      </c>
      <c r="O177" s="105" t="n">
        <f aca="false">SUMPRODUCT(((O147:O170-N147:N170)&gt;0)*(O147:O170-N147:N170),$F$12:$F$35,$O$12:$O$35-$P$12:$P$35)</f>
        <v>61.5</v>
      </c>
      <c r="P177" s="25" t="n">
        <f aca="false">SUMPRODUCT(((P147:P170-O147:O170)&gt;0)*(P147:P170-O147:O170),$F$12:$F$35,$O$12:$O$35-$P$12:$P$35)</f>
        <v>1332</v>
      </c>
      <c r="Q177" s="25" t="n">
        <f aca="false">SUMPRODUCT(((Q147:Q170-P147:P170)&gt;0)*(Q147:Q170-P147:P170),$F$12:$F$35,$O$12:$O$35-$P$12:$P$35)</f>
        <v>3374.2</v>
      </c>
      <c r="R177" s="25" t="n">
        <f aca="false">SUMPRODUCT(((R147:R170-Q147:Q170)&gt;0)*(R147:R170-Q147:Q170),$F$12:$F$35,$O$12:$O$35-$P$12:$P$35)</f>
        <v>4804.5</v>
      </c>
      <c r="S177" s="25" t="n">
        <f aca="false">SUMPRODUCT(((S147:S170-R147:R170)&gt;0)*(S147:S170-R147:R170),$F$12:$F$35,$O$12:$O$35-$P$12:$P$35)</f>
        <v>5054.7</v>
      </c>
      <c r="T177" s="25" t="n">
        <f aca="false">SUMPRODUCT(((T147:T170-S147:S170)&gt;0)*(T147:T170-S147:S170),$F$12:$F$35,$O$12:$O$35-$P$12:$P$35)</f>
        <v>4821.6</v>
      </c>
      <c r="U177" s="25" t="n">
        <f aca="false">SUMPRODUCT(((U147:U170-T147:T170)&gt;0)*(U147:U170-T147:T170),$F$12:$F$35,$O$12:$O$35-$P$12:$P$35)</f>
        <v>9183</v>
      </c>
      <c r="V177" s="25" t="n">
        <f aca="false">SUMPRODUCT(((V147:V170-U147:U170)&gt;0)*(V147:V170-U147:U170),$F$12:$F$35,$O$12:$O$35-$P$12:$P$35)</f>
        <v>2940</v>
      </c>
      <c r="W177" s="25" t="n">
        <f aca="false">SUMPRODUCT(((W147:W170-V147:V170)&gt;0)*(W147:W170-V147:V170),$F$12:$F$35,$O$12:$O$35-$P$12:$P$35)</f>
        <v>4953</v>
      </c>
      <c r="X177" s="25" t="n">
        <f aca="false">SUMPRODUCT(((X147:X170-W147:W170)&gt;0)*(X147:X170-W147:W170),$F$12:$F$35,$O$12:$O$35-$P$12:$P$35)</f>
        <v>400</v>
      </c>
      <c r="Y177" s="25" t="n">
        <f aca="false">SUMPRODUCT(((Y147:Y170-X147:X170)&gt;0)*(Y147:Y170-X147:X170),$F$12:$F$35,$O$12:$O$35-$P$12:$P$35)</f>
        <v>10858</v>
      </c>
      <c r="Z177" s="25" t="n">
        <f aca="false">SUMPRODUCT(((Z147:Z170-Y147:Y170)&gt;0)*(Z147:Z170-Y147:Y170),$F$12:$F$35,$O$12:$O$35-$P$12:$P$35)</f>
        <v>0</v>
      </c>
      <c r="AA177" s="25" t="n">
        <f aca="false">SUMPRODUCT(((AA147:AA170-Z147:Z170)&gt;0)*(AA147:AA170-Z147:Z170),$F$12:$F$35,$O$12:$O$35-$P$12:$P$35)</f>
        <v>10668</v>
      </c>
      <c r="AB177" s="25" t="n">
        <f aca="false">SUMPRODUCT(((AB147:AB170-AA147:AA170)&gt;0)*(AB147:AB170-AA147:AA170),$F$12:$F$35,$O$12:$O$35-$P$12:$P$35)</f>
        <v>0</v>
      </c>
      <c r="AC177" s="25" t="n">
        <f aca="false">SUMPRODUCT(((AC147:AC170-AB147:AB170)&gt;0)*(AC147:AC170-AB147:AB170),$F$12:$F$35,$O$12:$O$35-$P$12:$P$35)</f>
        <v>14859</v>
      </c>
      <c r="AD177" s="25" t="n">
        <f aca="false">SUMPRODUCT(((AD147:AD170-AC147:AC170)&gt;0)*(AD147:AD170-AC147:AC170),$F$12:$F$35,$O$12:$O$35-$P$12:$P$35)</f>
        <v>0</v>
      </c>
      <c r="AE177" s="25" t="n">
        <f aca="false">SUMPRODUCT(((AE147:AE170-AD147:AD170)&gt;0)*(AE147:AE170-AD147:AD170),$F$12:$F$35,$O$12:$O$35-$P$12:$P$35)</f>
        <v>0</v>
      </c>
      <c r="AF177" s="25" t="n">
        <f aca="false">SUMPRODUCT(((AF147:AF170-AE147:AE170)&gt;0)*(AF147:AF170-AE147:AE170),$F$12:$F$35,$O$12:$O$35-$P$12:$P$35)</f>
        <v>0</v>
      </c>
      <c r="AG177" s="25" t="n">
        <f aca="false">SUMPRODUCT(((AG147:AG170-AF147:AF170)&gt;0)*(AG147:AG170-AF147:AF170),$F$12:$F$35,$O$12:$O$35-$P$12:$P$35)</f>
        <v>14605</v>
      </c>
      <c r="AI177" s="25" t="n">
        <f aca="false">SUMIF($F$7:$AG$7,AI$7,$F177:$AG177)</f>
        <v>1193.75</v>
      </c>
      <c r="AJ177" s="25" t="n">
        <f aca="false">SUMIF($F$7:$AG$7,AJ$7,$F177:$AG177)</f>
        <v>4259.825</v>
      </c>
      <c r="AK177" s="25" t="n">
        <f aca="false">SUMIF($F$7:$AG$7,AK$7,$F177:$AG177)</f>
        <v>5752.875</v>
      </c>
      <c r="AL177" s="25" t="n">
        <f aca="false">SUMIF($F$7:$AG$7,AL$7,$F177:$AG177)</f>
        <v>23863.8</v>
      </c>
      <c r="AM177" s="25" t="n">
        <f aca="false">SUMIF($F$7:$AG$7,AM$7,$F177:$AG177)</f>
        <v>19151</v>
      </c>
      <c r="AN177" s="25" t="n">
        <f aca="false">SUMIF($F$7:$AG$7,AN$7,$F177:$AG177)</f>
        <v>25527</v>
      </c>
      <c r="AO177" s="25" t="n">
        <f aca="false">SUMIF($F$7:$AG$7,AO$7,$F177:$AG177)</f>
        <v>14605</v>
      </c>
    </row>
    <row r="178" customFormat="false" ht="15" hidden="false" customHeight="false" outlineLevel="0" collapsed="false">
      <c r="A178" s="101" t="s">
        <v>1211</v>
      </c>
      <c r="B178" s="18" t="s">
        <v>400</v>
      </c>
      <c r="C178" s="18" t="s">
        <v>354</v>
      </c>
      <c r="D178" s="18"/>
      <c r="F178" s="105" t="n">
        <f aca="false">SUMPRODUCT(((F147:F170-E147:E170)&gt;0)*(F147:F170-E147:E170),$F$12:$F$35,$P$12:$P$35)</f>
        <v>281.25</v>
      </c>
      <c r="G178" s="105" t="n">
        <f aca="false">SUMPRODUCT(((G147:G170-F147:F170)&gt;0)*(G147:G170-F147:F170),$F$12:$F$35,$P$12:$P$35)</f>
        <v>0</v>
      </c>
      <c r="H178" s="105" t="n">
        <f aca="false">SUMPRODUCT(((H147:H170-G147:G170)&gt;0)*(H147:H170-G147:G170),$F$12:$F$35,$P$12:$P$35)</f>
        <v>0</v>
      </c>
      <c r="I178" s="105" t="n">
        <f aca="false">SUMPRODUCT(((I147:I170-H147:H170)&gt;0)*(I147:I170-H147:H170),$F$12:$F$35,$P$12:$P$35)</f>
        <v>0</v>
      </c>
      <c r="J178" s="105" t="n">
        <f aca="false">SUMPRODUCT(((J147:J170-I147:I170)&gt;0)*(J147:J170-I147:I170),$F$12:$F$35,$P$12:$P$35)</f>
        <v>0</v>
      </c>
      <c r="K178" s="105" t="n">
        <f aca="false">SUMPRODUCT(((K147:K170-J147:J170)&gt;0)*(K147:K170-J147:J170),$F$12:$F$35,$P$12:$P$35)</f>
        <v>0</v>
      </c>
      <c r="L178" s="105" t="n">
        <f aca="false">SUMPRODUCT(((L147:L170-K147:K170)&gt;0)*(L147:L170-K147:K170),$F$12:$F$35,$P$12:$P$35)</f>
        <v>140.625</v>
      </c>
      <c r="M178" s="105" t="n">
        <f aca="false">SUMPRODUCT(((M147:M170-L147:L170)&gt;0)*(M147:M170-L147:L170),$F$12:$F$35,$P$12:$P$35)</f>
        <v>281.25</v>
      </c>
      <c r="N178" s="105" t="n">
        <f aca="false">SUMPRODUCT(((N147:N170-M147:M170)&gt;0)*(N147:N170-M147:M170),$F$12:$F$35,$P$12:$P$35)</f>
        <v>140.625</v>
      </c>
      <c r="O178" s="105" t="n">
        <f aca="false">SUMPRODUCT(((O147:O170-N147:N170)&gt;0)*(O147:O170-N147:N170),$F$12:$F$35,$P$12:$P$35)</f>
        <v>0</v>
      </c>
      <c r="P178" s="25" t="n">
        <f aca="false">SUMPRODUCT(((P147:P170-O147:O170)&gt;0)*(P147:P170-O147:O170),$F$12:$F$35,$P$12:$P$35)</f>
        <v>0</v>
      </c>
      <c r="Q178" s="25" t="n">
        <f aca="false">SUMPRODUCT(((Q147:Q170-P147:P170)&gt;0)*(Q147:Q170-P147:P170),$F$12:$F$35,$P$12:$P$35)</f>
        <v>0</v>
      </c>
      <c r="R178" s="25" t="n">
        <f aca="false">SUMPRODUCT(((R147:R170-Q147:Q170)&gt;0)*(R147:R170-Q147:Q170),$F$12:$F$35,$P$12:$P$35)</f>
        <v>112.5</v>
      </c>
      <c r="S178" s="25" t="n">
        <f aca="false">SUMPRODUCT(((S147:S170-R147:R170)&gt;0)*(S147:S170-R147:R170),$F$12:$F$35,$P$12:$P$35)</f>
        <v>270</v>
      </c>
      <c r="T178" s="25" t="n">
        <f aca="false">SUMPRODUCT(((T147:T170-S147:S170)&gt;0)*(T147:T170-S147:S170),$F$12:$F$35,$P$12:$P$35)</f>
        <v>832.5</v>
      </c>
      <c r="U178" s="25" t="n">
        <f aca="false">SUMPRODUCT(((U147:U170-T147:T170)&gt;0)*(U147:U170-T147:T170),$F$12:$F$35,$P$12:$P$35)</f>
        <v>1800</v>
      </c>
      <c r="V178" s="25" t="n">
        <f aca="false">SUMPRODUCT(((V147:V170-U147:U170)&gt;0)*(V147:V170-U147:U170),$F$12:$F$35,$P$12:$P$35)</f>
        <v>900</v>
      </c>
      <c r="W178" s="25" t="n">
        <f aca="false">SUMPRODUCT(((W147:W170-V147:V170)&gt;0)*(W147:W170-V147:V170),$F$12:$F$35,$P$12:$P$35)</f>
        <v>1755</v>
      </c>
      <c r="X178" s="25" t="n">
        <f aca="false">SUMPRODUCT(((X147:X170-W147:W170)&gt;0)*(X147:X170-W147:W170),$F$12:$F$35,$P$12:$P$35)</f>
        <v>0</v>
      </c>
      <c r="Y178" s="25" t="n">
        <f aca="false">SUMPRODUCT(((Y147:Y170-X147:X170)&gt;0)*(Y147:Y170-X147:X170),$F$12:$F$35,$P$12:$P$35)</f>
        <v>3150</v>
      </c>
      <c r="Z178" s="25" t="n">
        <f aca="false">SUMPRODUCT(((Z147:Z170-Y147:Y170)&gt;0)*(Z147:Z170-Y147:Y170),$F$12:$F$35,$P$12:$P$35)</f>
        <v>0</v>
      </c>
      <c r="AA178" s="25" t="n">
        <f aca="false">SUMPRODUCT(((AA147:AA170-Z147:Z170)&gt;0)*(AA147:AA170-Z147:Z170),$F$12:$F$35,$P$12:$P$35)</f>
        <v>3780</v>
      </c>
      <c r="AB178" s="25" t="n">
        <f aca="false">SUMPRODUCT(((AB147:AB170-AA147:AA170)&gt;0)*(AB147:AB170-AA147:AA170),$F$12:$F$35,$P$12:$P$35)</f>
        <v>0</v>
      </c>
      <c r="AC178" s="25" t="n">
        <f aca="false">SUMPRODUCT(((AC147:AC170-AB147:AB170)&gt;0)*(AC147:AC170-AB147:AB170),$F$12:$F$35,$P$12:$P$35)</f>
        <v>5265</v>
      </c>
      <c r="AD178" s="25" t="n">
        <f aca="false">SUMPRODUCT(((AD147:AD170-AC147:AC170)&gt;0)*(AD147:AD170-AC147:AC170),$F$12:$F$35,$P$12:$P$35)</f>
        <v>0</v>
      </c>
      <c r="AE178" s="25" t="n">
        <f aca="false">SUMPRODUCT(((AE147:AE170-AD147:AD170)&gt;0)*(AE147:AE170-AD147:AD170),$F$12:$F$35,$P$12:$P$35)</f>
        <v>0</v>
      </c>
      <c r="AF178" s="25" t="n">
        <f aca="false">SUMPRODUCT(((AF147:AF170-AE147:AE170)&gt;0)*(AF147:AF170-AE147:AE170),$F$12:$F$35,$P$12:$P$35)</f>
        <v>0</v>
      </c>
      <c r="AG178" s="25" t="n">
        <f aca="false">SUMPRODUCT(((AG147:AG170-AF147:AF170)&gt;0)*(AG147:AG170-AF147:AF170),$F$12:$F$35,$P$12:$P$35)</f>
        <v>5175</v>
      </c>
      <c r="AI178" s="25" t="n">
        <f aca="false">SUMIF($F$7:$AG$7,AI$7,$F178:$AG178)</f>
        <v>281.25</v>
      </c>
      <c r="AJ178" s="25" t="n">
        <f aca="false">SUMIF($F$7:$AG$7,AJ$7,$F178:$AG178)</f>
        <v>421.875</v>
      </c>
      <c r="AK178" s="25" t="n">
        <f aca="false">SUMIF($F$7:$AG$7,AK$7,$F178:$AG178)</f>
        <v>140.625</v>
      </c>
      <c r="AL178" s="25" t="n">
        <f aca="false">SUMIF($F$7:$AG$7,AL$7,$F178:$AG178)</f>
        <v>3015</v>
      </c>
      <c r="AM178" s="25" t="n">
        <f aca="false">SUMIF($F$7:$AG$7,AM$7,$F178:$AG178)</f>
        <v>5805</v>
      </c>
      <c r="AN178" s="25" t="n">
        <f aca="false">SUMIF($F$7:$AG$7,AN$7,$F178:$AG178)</f>
        <v>9045</v>
      </c>
      <c r="AO178" s="25" t="n">
        <f aca="false">SUMIF($F$7:$AG$7,AO$7,$F178:$AG178)</f>
        <v>5175</v>
      </c>
    </row>
    <row r="179" customFormat="false" ht="15" hidden="false" customHeight="false" outlineLevel="0" collapsed="false">
      <c r="A179" s="101" t="s">
        <v>1212</v>
      </c>
      <c r="B179" s="18" t="s">
        <v>415</v>
      </c>
      <c r="C179" s="18" t="s">
        <v>354</v>
      </c>
      <c r="D179" s="18"/>
      <c r="F179" s="110" t="n">
        <f aca="false">SUMPRODUCT(((F147:F170-E147:E170)&gt;0)*(F147:F170-E147:E170),$F$12:$F$35)</f>
        <v>25</v>
      </c>
      <c r="G179" s="110" t="n">
        <f aca="false">SUMPRODUCT(((G147:G170-F147:F170)&gt;0)*(G147:G170-F147:F170),$F$12:$F$35)</f>
        <v>0</v>
      </c>
      <c r="H179" s="110" t="n">
        <f aca="false">SUMPRODUCT(((H147:H170-G147:G170)&gt;0)*(H147:H170-G147:G170),$F$12:$F$35)</f>
        <v>0</v>
      </c>
      <c r="I179" s="110" t="n">
        <f aca="false">SUMPRODUCT(((I147:I170-H147:H170)&gt;0)*(I147:I170-H147:H170),$F$12:$F$35)</f>
        <v>5</v>
      </c>
      <c r="J179" s="110" t="n">
        <f aca="false">SUMPRODUCT(((J147:J170-I147:I170)&gt;0)*(J147:J170-I147:I170),$F$12:$F$35)</f>
        <v>10</v>
      </c>
      <c r="K179" s="110" t="n">
        <f aca="false">SUMPRODUCT(((K147:K170-J147:J170)&gt;0)*(K147:K170-J147:J170),$F$12:$F$35)</f>
        <v>5</v>
      </c>
      <c r="L179" s="110" t="n">
        <f aca="false">SUMPRODUCT(((L147:L170-K147:K170)&gt;0)*(L147:L170-K147:K170),$F$12:$F$35)</f>
        <v>17.5</v>
      </c>
      <c r="M179" s="110" t="n">
        <f aca="false">SUMPRODUCT(((M147:M170-L147:L170)&gt;0)*(M147:M170-L147:L170),$F$12:$F$35)</f>
        <v>85.2</v>
      </c>
      <c r="N179" s="110" t="n">
        <f aca="false">SUMPRODUCT(((N147:N170-M147:M170)&gt;0)*(N147:N170-M147:M170),$F$12:$F$35)</f>
        <v>23.8</v>
      </c>
      <c r="O179" s="110" t="n">
        <f aca="false">SUMPRODUCT(((O147:O170-N147:N170)&gt;0)*(O147:O170-N147:N170),$F$12:$F$35)</f>
        <v>1.5</v>
      </c>
      <c r="P179" s="21" t="n">
        <f aca="false">SUMPRODUCT(((P147:P170-O147:O170)&gt;0)*(P147:P170-O147:O170),$F$12:$F$35)</f>
        <v>34.5</v>
      </c>
      <c r="Q179" s="21" t="n">
        <f aca="false">SUMPRODUCT(((Q147:Q170-P147:P170)&gt;0)*(Q147:Q170-P147:P170),$F$12:$F$35)</f>
        <v>84.9</v>
      </c>
      <c r="R179" s="21" t="n">
        <f aca="false">SUMPRODUCT(((R147:R170-Q147:Q170)&gt;0)*(R147:R170-Q147:Q170),$F$12:$F$35)</f>
        <v>124</v>
      </c>
      <c r="S179" s="21" t="n">
        <f aca="false">SUMPRODUCT(((S147:S170-R147:R170)&gt;0)*(S147:S170-R147:R170),$F$12:$F$35)</f>
        <v>128.7</v>
      </c>
      <c r="T179" s="21" t="n">
        <f aca="false">SUMPRODUCT(((T147:T170-S147:S170)&gt;0)*(T147:T170-S147:S170),$F$12:$F$35)</f>
        <v>139.4</v>
      </c>
      <c r="U179" s="21" t="n">
        <f aca="false">SUMPRODUCT(((U147:U170-T147:T170)&gt;0)*(U147:U170-T147:T170),$F$12:$F$35)</f>
        <v>265.5</v>
      </c>
      <c r="V179" s="21" t="n">
        <f aca="false">SUMPRODUCT(((V147:V170-U147:U170)&gt;0)*(V147:V170-U147:U170),$F$12:$F$35)</f>
        <v>92.5</v>
      </c>
      <c r="W179" s="21" t="n">
        <f aca="false">SUMPRODUCT(((W147:W170-V147:V170)&gt;0)*(W147:W170-V147:V170),$F$12:$F$35)</f>
        <v>156</v>
      </c>
      <c r="X179" s="21" t="n">
        <f aca="false">SUMPRODUCT(((X147:X170-W147:W170)&gt;0)*(X147:X170-W147:W170),$F$12:$F$35)</f>
        <v>12.5</v>
      </c>
      <c r="Y179" s="21" t="n">
        <f aca="false">SUMPRODUCT(((Y147:Y170-X147:X170)&gt;0)*(Y147:Y170-X147:X170),$F$12:$F$35)</f>
        <v>328</v>
      </c>
      <c r="Z179" s="21" t="n">
        <f aca="false">SUMPRODUCT(((Z147:Z170-Y147:Y170)&gt;0)*(Z147:Z170-Y147:Y170),$F$12:$F$35)</f>
        <v>0</v>
      </c>
      <c r="AA179" s="21" t="n">
        <f aca="false">SUMPRODUCT(((AA147:AA170-Z147:Z170)&gt;0)*(AA147:AA170-Z147:Z170),$F$12:$F$35)</f>
        <v>336</v>
      </c>
      <c r="AB179" s="21" t="n">
        <f aca="false">SUMPRODUCT(((AB147:AB170-AA147:AA170)&gt;0)*(AB147:AB170-AA147:AA170),$F$12:$F$35)</f>
        <v>0</v>
      </c>
      <c r="AC179" s="21" t="n">
        <f aca="false">SUMPRODUCT(((AC147:AC170-AB147:AB170)&gt;0)*(AC147:AC170-AB147:AB170),$F$12:$F$35)</f>
        <v>468</v>
      </c>
      <c r="AD179" s="21" t="n">
        <f aca="false">SUMPRODUCT(((AD147:AD170-AC147:AC170)&gt;0)*(AD147:AD170-AC147:AC170),$F$12:$F$35)</f>
        <v>0</v>
      </c>
      <c r="AE179" s="21" t="n">
        <f aca="false">SUMPRODUCT(((AE147:AE170-AD147:AD170)&gt;0)*(AE147:AE170-AD147:AD170),$F$12:$F$35)</f>
        <v>0</v>
      </c>
      <c r="AF179" s="21" t="n">
        <f aca="false">SUMPRODUCT(((AF147:AF170-AE147:AE170)&gt;0)*(AF147:AF170-AE147:AE170),$F$12:$F$35)</f>
        <v>0</v>
      </c>
      <c r="AG179" s="21" t="n">
        <f aca="false">SUMPRODUCT(((AG147:AG170-AF147:AF170)&gt;0)*(AG147:AG170-AF147:AF170),$F$12:$F$35)</f>
        <v>460</v>
      </c>
      <c r="AI179" s="21" t="n">
        <f aca="false">SUMIF($F$7:$AG$7,AI$7,$F179:$AG179)</f>
        <v>30</v>
      </c>
      <c r="AJ179" s="21" t="n">
        <f aca="false">SUMIF($F$7:$AG$7,AJ$7,$F179:$AG179)</f>
        <v>117.7</v>
      </c>
      <c r="AK179" s="21" t="n">
        <f aca="false">SUMIF($F$7:$AG$7,AK$7,$F179:$AG179)</f>
        <v>144.7</v>
      </c>
      <c r="AL179" s="21" t="n">
        <f aca="false">SUMIF($F$7:$AG$7,AL$7,$F179:$AG179)</f>
        <v>657.6</v>
      </c>
      <c r="AM179" s="21" t="n">
        <f aca="false">SUMIF($F$7:$AG$7,AM$7,$F179:$AG179)</f>
        <v>589</v>
      </c>
      <c r="AN179" s="21" t="n">
        <f aca="false">SUMIF($F$7:$AG$7,AN$7,$F179:$AG179)</f>
        <v>804</v>
      </c>
      <c r="AO179" s="21" t="n">
        <f aca="false">SUMIF($F$7:$AG$7,AO$7,$F179:$AG179)</f>
        <v>460</v>
      </c>
    </row>
    <row r="180" customFormat="false" ht="15" hidden="false" customHeight="false" outlineLevel="0" collapsed="false">
      <c r="A180" s="101" t="s">
        <v>1213</v>
      </c>
      <c r="B180" s="18" t="s">
        <v>360</v>
      </c>
      <c r="C180" s="18" t="s">
        <v>354</v>
      </c>
      <c r="D180" s="18" t="s">
        <v>1214</v>
      </c>
      <c r="F180" s="111" t="n">
        <f aca="false">IF(F179&gt;0.01,F177/F179,IFERROR(SUMPRODUCT((Q_Idx&gt;LastHist)*PathIT)/SUMPRODUCT((Q_Idx&gt;LastHist)*EnNewIT),CPM_Lease_GB300))</f>
        <v>41.75</v>
      </c>
      <c r="G180" s="111" t="n">
        <f aca="false">IF(G179&gt;0.01,G177/G179,IFERROR(SUMPRODUCT((Q_Idx&gt;LastHist)*PathIT)/SUMPRODUCT((Q_Idx&gt;LastHist)*EnNewIT),CPM_Lease_GB300))</f>
        <v>33.4041825095057</v>
      </c>
      <c r="H180" s="111" t="n">
        <f aca="false">IF(H179&gt;0.01,H177/H179,IFERROR(SUMPRODUCT((Q_Idx&gt;LastHist)*PathIT)/SUMPRODUCT((Q_Idx&gt;LastHist)*EnNewIT),CPM_Lease_GB300))</f>
        <v>33.4041825095057</v>
      </c>
      <c r="I180" s="111" t="n">
        <f aca="false">IF(I179&gt;0.01,I177/I179,IFERROR(SUMPRODUCT((Q_Idx&gt;LastHist)*PathIT)/SUMPRODUCT((Q_Idx&gt;LastHist)*EnNewIT),CPM_Lease_GB300))</f>
        <v>30</v>
      </c>
      <c r="J180" s="111" t="n">
        <f aca="false">IF(J179&gt;0.01,J177/J179,IFERROR(SUMPRODUCT((Q_Idx&gt;LastHist)*PathIT)/SUMPRODUCT((Q_Idx&gt;LastHist)*EnNewIT),CPM_Lease_GB300))</f>
        <v>30</v>
      </c>
      <c r="K180" s="111" t="n">
        <f aca="false">IF(K179&gt;0.01,K177/K179,IFERROR(SUMPRODUCT((Q_Idx&gt;LastHist)*PathIT)/SUMPRODUCT((Q_Idx&gt;LastHist)*EnNewIT),CPM_Lease_GB300))</f>
        <v>30</v>
      </c>
      <c r="L180" s="111" t="n">
        <f aca="false">IF(L179&gt;0.01,L177/L179,IFERROR(SUMPRODUCT((Q_Idx&gt;LastHist)*PathIT)/SUMPRODUCT((Q_Idx&gt;LastHist)*EnNewIT),CPM_Lease_GB300))</f>
        <v>38.3928571428571</v>
      </c>
      <c r="M180" s="111" t="n">
        <f aca="false">IF(M179&gt;0.01,M177/M179,IFERROR(SUMPRODUCT((Q_Idx&gt;LastHist)*PathIT)/SUMPRODUCT((Q_Idx&gt;LastHist)*EnNewIT),CPM_Lease_GB300))</f>
        <v>36.8303990610329</v>
      </c>
      <c r="N180" s="111" t="n">
        <f aca="false">IF(N179&gt;0.01,N177/N179,IFERROR(SUMPRODUCT((Q_Idx&gt;LastHist)*PathIT)/SUMPRODUCT((Q_Idx&gt;LastHist)*EnNewIT),CPM_Lease_GB300))</f>
        <v>41.3939075630252</v>
      </c>
      <c r="O180" s="111" t="n">
        <f aca="false">IF(O179&gt;0.01,O177/O179,IFERROR(SUMPRODUCT((Q_Idx&gt;LastHist)*PathIT)/SUMPRODUCT((Q_Idx&gt;LastHist)*EnNewIT),CPM_Lease_GB300))</f>
        <v>41</v>
      </c>
      <c r="P180" s="35" t="n">
        <f aca="false">IF(P179&gt;0.01,P177/P179,IFERROR(SUMPRODUCT((Q_Idx&gt;LastHist)*PathIT)/SUMPRODUCT((Q_Idx&gt;LastHist)*EnNewIT),CPM_Lease_GB300))</f>
        <v>38.6086956521739</v>
      </c>
      <c r="Q180" s="35" t="n">
        <f aca="false">IF(Q179&gt;0.01,Q177/Q179,IFERROR(SUMPRODUCT((Q_Idx&gt;LastHist)*PathIT)/SUMPRODUCT((Q_Idx&gt;LastHist)*EnNewIT),CPM_Lease_GB300))</f>
        <v>39.7432273262662</v>
      </c>
      <c r="R180" s="35" t="n">
        <f aca="false">IF(R179&gt;0.01,R177/R179,IFERROR(SUMPRODUCT((Q_Idx&gt;LastHist)*PathIT)/SUMPRODUCT((Q_Idx&gt;LastHist)*EnNewIT),CPM_Lease_GB300))</f>
        <v>38.7459677419355</v>
      </c>
      <c r="S180" s="35" t="n">
        <f aca="false">IF(S179&gt;0.01,S177/S179,IFERROR(SUMPRODUCT((Q_Idx&gt;LastHist)*PathIT)/SUMPRODUCT((Q_Idx&gt;LastHist)*EnNewIT),CPM_Lease_GB300))</f>
        <v>39.2750582750583</v>
      </c>
      <c r="T180" s="35" t="n">
        <f aca="false">IF(T179&gt;0.01,T177/T179,IFERROR(SUMPRODUCT((Q_Idx&gt;LastHist)*PathIT)/SUMPRODUCT((Q_Idx&gt;LastHist)*EnNewIT),CPM_Lease_GB300))</f>
        <v>34.5882352941176</v>
      </c>
      <c r="U180" s="35" t="n">
        <f aca="false">IF(U179&gt;0.01,U177/U179,IFERROR(SUMPRODUCT((Q_Idx&gt;LastHist)*PathIT)/SUMPRODUCT((Q_Idx&gt;LastHist)*EnNewIT),CPM_Lease_GB300))</f>
        <v>34.5875706214689</v>
      </c>
      <c r="V180" s="35" t="n">
        <f aca="false">IF(V179&gt;0.01,V177/V179,IFERROR(SUMPRODUCT((Q_Idx&gt;LastHist)*PathIT)/SUMPRODUCT((Q_Idx&gt;LastHist)*EnNewIT),CPM_Lease_GB300))</f>
        <v>31.7837837837838</v>
      </c>
      <c r="W180" s="35" t="n">
        <f aca="false">IF(W179&gt;0.01,W177/W179,IFERROR(SUMPRODUCT((Q_Idx&gt;LastHist)*PathIT)/SUMPRODUCT((Q_Idx&gt;LastHist)*EnNewIT),CPM_Lease_GB300))</f>
        <v>31.75</v>
      </c>
      <c r="X180" s="35" t="n">
        <f aca="false">IF(X179&gt;0.01,X177/X179,IFERROR(SUMPRODUCT((Q_Idx&gt;LastHist)*PathIT)/SUMPRODUCT((Q_Idx&gt;LastHist)*EnNewIT),CPM_Lease_GB300))</f>
        <v>32</v>
      </c>
      <c r="Y180" s="35" t="n">
        <f aca="false">IF(Y179&gt;0.01,Y177/Y179,IFERROR(SUMPRODUCT((Q_Idx&gt;LastHist)*PathIT)/SUMPRODUCT((Q_Idx&gt;LastHist)*EnNewIT),CPM_Lease_GB300))</f>
        <v>33.1036585365854</v>
      </c>
      <c r="Z180" s="35" t="n">
        <f aca="false">IF(Z179&gt;0.01,Z177/Z179,IFERROR(SUMPRODUCT((Q_Idx&gt;LastHist)*PathIT)/SUMPRODUCT((Q_Idx&gt;LastHist)*EnNewIT),CPM_Lease_GB300))</f>
        <v>33.4041825095057</v>
      </c>
      <c r="AA180" s="35" t="n">
        <f aca="false">IF(AA179&gt;0.01,AA177/AA179,IFERROR(SUMPRODUCT((Q_Idx&gt;LastHist)*PathIT)/SUMPRODUCT((Q_Idx&gt;LastHist)*EnNewIT),CPM_Lease_GB300))</f>
        <v>31.75</v>
      </c>
      <c r="AB180" s="35" t="n">
        <f aca="false">IF(AB179&gt;0.01,AB177/AB179,IFERROR(SUMPRODUCT((Q_Idx&gt;LastHist)*PathIT)/SUMPRODUCT((Q_Idx&gt;LastHist)*EnNewIT),CPM_Lease_GB300))</f>
        <v>33.4041825095057</v>
      </c>
      <c r="AC180" s="35" t="n">
        <f aca="false">IF(AC179&gt;0.01,AC177/AC179,IFERROR(SUMPRODUCT((Q_Idx&gt;LastHist)*PathIT)/SUMPRODUCT((Q_Idx&gt;LastHist)*EnNewIT),CPM_Lease_GB300))</f>
        <v>31.75</v>
      </c>
      <c r="AD180" s="35" t="n">
        <f aca="false">IF(AD179&gt;0.01,AD177/AD179,IFERROR(SUMPRODUCT((Q_Idx&gt;LastHist)*PathIT)/SUMPRODUCT((Q_Idx&gt;LastHist)*EnNewIT),CPM_Lease_GB300))</f>
        <v>33.4041825095057</v>
      </c>
      <c r="AE180" s="35" t="n">
        <f aca="false">IF(AE179&gt;0.01,AE177/AE179,IFERROR(SUMPRODUCT((Q_Idx&gt;LastHist)*PathIT)/SUMPRODUCT((Q_Idx&gt;LastHist)*EnNewIT),CPM_Lease_GB300))</f>
        <v>33.4041825095057</v>
      </c>
      <c r="AF180" s="35" t="n">
        <f aca="false">IF(AF179&gt;0.01,AF177/AF179,IFERROR(SUMPRODUCT((Q_Idx&gt;LastHist)*PathIT)/SUMPRODUCT((Q_Idx&gt;LastHist)*EnNewIT),CPM_Lease_GB300))</f>
        <v>33.4041825095057</v>
      </c>
      <c r="AG180" s="35" t="n">
        <f aca="false">IF(AG179&gt;0.01,AG177/AG179,IFERROR(SUMPRODUCT((Q_Idx&gt;LastHist)*PathIT)/SUMPRODUCT((Q_Idx&gt;LastHist)*EnNewIT),CPM_Lease_GB300))</f>
        <v>31.75</v>
      </c>
      <c r="AI180" s="35" t="n">
        <f aca="false">SUMIF($F$7:$AG$7,AI$7,$F180:$AG180)</f>
        <v>138.558365019011</v>
      </c>
      <c r="AJ180" s="35" t="n">
        <f aca="false">SUMIF($F$7:$AG$7,AJ$7,$F180:$AG180)</f>
        <v>135.22325620389</v>
      </c>
      <c r="AK180" s="35" t="n">
        <f aca="false">SUMIF($F$7:$AG$7,AK$7,$F180:$AG180)</f>
        <v>160.745830541465</v>
      </c>
      <c r="AL180" s="35" t="n">
        <f aca="false">SUMIF($F$7:$AG$7,AL$7,$F180:$AG180)</f>
        <v>147.19683193258</v>
      </c>
      <c r="AM180" s="35" t="n">
        <f aca="false">SUMIF($F$7:$AG$7,AM$7,$F180:$AG180)</f>
        <v>128.637442320369</v>
      </c>
      <c r="AN180" s="35" t="n">
        <f aca="false">SUMIF($F$7:$AG$7,AN$7,$F180:$AG180)</f>
        <v>130.308365019011</v>
      </c>
      <c r="AO180" s="35" t="n">
        <f aca="false">SUMIF($F$7:$AG$7,AO$7,$F180:$AG180)</f>
        <v>131.962547528517</v>
      </c>
    </row>
    <row r="181" customFormat="false" ht="15" hidden="false" customHeight="false" outlineLevel="0" collapsed="false">
      <c r="A181" s="101" t="s">
        <v>1215</v>
      </c>
      <c r="B181" s="18" t="s">
        <v>360</v>
      </c>
      <c r="C181" s="18" t="s">
        <v>354</v>
      </c>
      <c r="D181" s="18"/>
      <c r="F181" s="111" t="n">
        <f aca="false">IF(F179&gt;0.01,F178/F179,IFERROR(SUMPRODUCT((Q_Idx&gt;LastHist)*PathSP)/SUMPRODUCT((Q_Idx&gt;LastHist)*EnNewIT),0))</f>
        <v>11.25</v>
      </c>
      <c r="G181" s="111" t="n">
        <f aca="false">IF(G179&gt;0.01,G178/G179,IFERROR(SUMPRODUCT((Q_Idx&gt;LastHist)*PathSP)/SUMPRODUCT((Q_Idx&gt;LastHist)*EnNewIT),0))</f>
        <v>8.76045627376426</v>
      </c>
      <c r="H181" s="111" t="n">
        <f aca="false">IF(H179&gt;0.01,H178/H179,IFERROR(SUMPRODUCT((Q_Idx&gt;LastHist)*PathSP)/SUMPRODUCT((Q_Idx&gt;LastHist)*EnNewIT),0))</f>
        <v>8.76045627376426</v>
      </c>
      <c r="I181" s="111" t="n">
        <f aca="false">IF(I179&gt;0.01,I178/I179,IFERROR(SUMPRODUCT((Q_Idx&gt;LastHist)*PathSP)/SUMPRODUCT((Q_Idx&gt;LastHist)*EnNewIT),0))</f>
        <v>0</v>
      </c>
      <c r="J181" s="111" t="n">
        <f aca="false">IF(J179&gt;0.01,J178/J179,IFERROR(SUMPRODUCT((Q_Idx&gt;LastHist)*PathSP)/SUMPRODUCT((Q_Idx&gt;LastHist)*EnNewIT),0))</f>
        <v>0</v>
      </c>
      <c r="K181" s="111" t="n">
        <f aca="false">IF(K179&gt;0.01,K178/K179,IFERROR(SUMPRODUCT((Q_Idx&gt;LastHist)*PathSP)/SUMPRODUCT((Q_Idx&gt;LastHist)*EnNewIT),0))</f>
        <v>0</v>
      </c>
      <c r="L181" s="111" t="n">
        <f aca="false">IF(L179&gt;0.01,L178/L179,IFERROR(SUMPRODUCT((Q_Idx&gt;LastHist)*PathSP)/SUMPRODUCT((Q_Idx&gt;LastHist)*EnNewIT),0))</f>
        <v>8.03571428571429</v>
      </c>
      <c r="M181" s="111" t="n">
        <f aca="false">IF(M179&gt;0.01,M178/M179,IFERROR(SUMPRODUCT((Q_Idx&gt;LastHist)*PathSP)/SUMPRODUCT((Q_Idx&gt;LastHist)*EnNewIT),0))</f>
        <v>3.30105633802817</v>
      </c>
      <c r="N181" s="111" t="n">
        <f aca="false">IF(N179&gt;0.01,N178/N179,IFERROR(SUMPRODUCT((Q_Idx&gt;LastHist)*PathSP)/SUMPRODUCT((Q_Idx&gt;LastHist)*EnNewIT),0))</f>
        <v>5.90861344537815</v>
      </c>
      <c r="O181" s="111" t="n">
        <f aca="false">IF(O179&gt;0.01,O178/O179,IFERROR(SUMPRODUCT((Q_Idx&gt;LastHist)*PathSP)/SUMPRODUCT((Q_Idx&gt;LastHist)*EnNewIT),0))</f>
        <v>0</v>
      </c>
      <c r="P181" s="35" t="n">
        <f aca="false">IF(P179&gt;0.01,P178/P179,IFERROR(SUMPRODUCT((Q_Idx&gt;LastHist)*PathSP)/SUMPRODUCT((Q_Idx&gt;LastHist)*EnNewIT),0))</f>
        <v>0</v>
      </c>
      <c r="Q181" s="35" t="n">
        <f aca="false">IF(Q179&gt;0.01,Q178/Q179,IFERROR(SUMPRODUCT((Q_Idx&gt;LastHist)*PathSP)/SUMPRODUCT((Q_Idx&gt;LastHist)*EnNewIT),0))</f>
        <v>0</v>
      </c>
      <c r="R181" s="35" t="n">
        <f aca="false">IF(R179&gt;0.01,R178/R179,IFERROR(SUMPRODUCT((Q_Idx&gt;LastHist)*PathSP)/SUMPRODUCT((Q_Idx&gt;LastHist)*EnNewIT),0))</f>
        <v>0.907258064516129</v>
      </c>
      <c r="S181" s="35" t="n">
        <f aca="false">IF(S179&gt;0.01,S178/S179,IFERROR(SUMPRODUCT((Q_Idx&gt;LastHist)*PathSP)/SUMPRODUCT((Q_Idx&gt;LastHist)*EnNewIT),0))</f>
        <v>2.0979020979021</v>
      </c>
      <c r="T181" s="35" t="n">
        <f aca="false">IF(T179&gt;0.01,T178/T179,IFERROR(SUMPRODUCT((Q_Idx&gt;LastHist)*PathSP)/SUMPRODUCT((Q_Idx&gt;LastHist)*EnNewIT),0))</f>
        <v>5.97202295552367</v>
      </c>
      <c r="U181" s="35" t="n">
        <f aca="false">IF(U179&gt;0.01,U178/U179,IFERROR(SUMPRODUCT((Q_Idx&gt;LastHist)*PathSP)/SUMPRODUCT((Q_Idx&gt;LastHist)*EnNewIT),0))</f>
        <v>6.77966101694915</v>
      </c>
      <c r="V181" s="35" t="n">
        <f aca="false">IF(V179&gt;0.01,V178/V179,IFERROR(SUMPRODUCT((Q_Idx&gt;LastHist)*PathSP)/SUMPRODUCT((Q_Idx&gt;LastHist)*EnNewIT),0))</f>
        <v>9.72972972972973</v>
      </c>
      <c r="W181" s="35" t="n">
        <f aca="false">IF(W179&gt;0.01,W178/W179,IFERROR(SUMPRODUCT((Q_Idx&gt;LastHist)*PathSP)/SUMPRODUCT((Q_Idx&gt;LastHist)*EnNewIT),0))</f>
        <v>11.25</v>
      </c>
      <c r="X181" s="35" t="n">
        <f aca="false">IF(X179&gt;0.01,X178/X179,IFERROR(SUMPRODUCT((Q_Idx&gt;LastHist)*PathSP)/SUMPRODUCT((Q_Idx&gt;LastHist)*EnNewIT),0))</f>
        <v>0</v>
      </c>
      <c r="Y181" s="35" t="n">
        <f aca="false">IF(Y179&gt;0.01,Y178/Y179,IFERROR(SUMPRODUCT((Q_Idx&gt;LastHist)*PathSP)/SUMPRODUCT((Q_Idx&gt;LastHist)*EnNewIT),0))</f>
        <v>9.60365853658537</v>
      </c>
      <c r="Z181" s="35" t="n">
        <f aca="false">IF(Z179&gt;0.01,Z178/Z179,IFERROR(SUMPRODUCT((Q_Idx&gt;LastHist)*PathSP)/SUMPRODUCT((Q_Idx&gt;LastHist)*EnNewIT),0))</f>
        <v>8.76045627376426</v>
      </c>
      <c r="AA181" s="35" t="n">
        <f aca="false">IF(AA179&gt;0.01,AA178/AA179,IFERROR(SUMPRODUCT((Q_Idx&gt;LastHist)*PathSP)/SUMPRODUCT((Q_Idx&gt;LastHist)*EnNewIT),0))</f>
        <v>11.25</v>
      </c>
      <c r="AB181" s="35" t="n">
        <f aca="false">IF(AB179&gt;0.01,AB178/AB179,IFERROR(SUMPRODUCT((Q_Idx&gt;LastHist)*PathSP)/SUMPRODUCT((Q_Idx&gt;LastHist)*EnNewIT),0))</f>
        <v>8.76045627376426</v>
      </c>
      <c r="AC181" s="35" t="n">
        <f aca="false">IF(AC179&gt;0.01,AC178/AC179,IFERROR(SUMPRODUCT((Q_Idx&gt;LastHist)*PathSP)/SUMPRODUCT((Q_Idx&gt;LastHist)*EnNewIT),0))</f>
        <v>11.25</v>
      </c>
      <c r="AD181" s="35" t="n">
        <f aca="false">IF(AD179&gt;0.01,AD178/AD179,IFERROR(SUMPRODUCT((Q_Idx&gt;LastHist)*PathSP)/SUMPRODUCT((Q_Idx&gt;LastHist)*EnNewIT),0))</f>
        <v>8.76045627376426</v>
      </c>
      <c r="AE181" s="35" t="n">
        <f aca="false">IF(AE179&gt;0.01,AE178/AE179,IFERROR(SUMPRODUCT((Q_Idx&gt;LastHist)*PathSP)/SUMPRODUCT((Q_Idx&gt;LastHist)*EnNewIT),0))</f>
        <v>8.76045627376426</v>
      </c>
      <c r="AF181" s="35" t="n">
        <f aca="false">IF(AF179&gt;0.01,AF178/AF179,IFERROR(SUMPRODUCT((Q_Idx&gt;LastHist)*PathSP)/SUMPRODUCT((Q_Idx&gt;LastHist)*EnNewIT),0))</f>
        <v>8.76045627376426</v>
      </c>
      <c r="AG181" s="35" t="n">
        <f aca="false">IF(AG179&gt;0.01,AG178/AG179,IFERROR(SUMPRODUCT((Q_Idx&gt;LastHist)*PathSP)/SUMPRODUCT((Q_Idx&gt;LastHist)*EnNewIT),0))</f>
        <v>11.25</v>
      </c>
      <c r="AI181" s="35" t="n">
        <f aca="false">SUMIF($F$7:$AG$7,AI$7,$F181:$AG181)</f>
        <v>28.7709125475285</v>
      </c>
      <c r="AJ181" s="35" t="n">
        <f aca="false">SUMIF($F$7:$AG$7,AJ$7,$F181:$AG181)</f>
        <v>11.3367706237425</v>
      </c>
      <c r="AK181" s="35" t="n">
        <f aca="false">SUMIF($F$7:$AG$7,AK$7,$F181:$AG181)</f>
        <v>5.90861344537815</v>
      </c>
      <c r="AL181" s="35" t="n">
        <f aca="false">SUMIF($F$7:$AG$7,AL$7,$F181:$AG181)</f>
        <v>15.7568441348911</v>
      </c>
      <c r="AM181" s="35" t="n">
        <f aca="false">SUMIF($F$7:$AG$7,AM$7,$F181:$AG181)</f>
        <v>30.5833882663151</v>
      </c>
      <c r="AN181" s="35" t="n">
        <f aca="false">SUMIF($F$7:$AG$7,AN$7,$F181:$AG181)</f>
        <v>40.0209125475285</v>
      </c>
      <c r="AO181" s="35" t="n">
        <f aca="false">SUMIF($F$7:$AG$7,AO$7,$F181:$AG181)</f>
        <v>37.5313688212928</v>
      </c>
    </row>
    <row r="182" customFormat="false" ht="15" hidden="false" customHeight="false" outlineLevel="0" collapsed="false">
      <c r="A182" s="101" t="s">
        <v>1216</v>
      </c>
      <c r="B182" s="18" t="s">
        <v>415</v>
      </c>
      <c r="C182" s="18" t="s">
        <v>354</v>
      </c>
      <c r="D182" s="18" t="s">
        <v>1217</v>
      </c>
      <c r="F182" s="110" t="n">
        <f aca="false">F147*$F$12</f>
        <v>0</v>
      </c>
      <c r="G182" s="110" t="n">
        <f aca="false">G147*$F$12</f>
        <v>0</v>
      </c>
      <c r="H182" s="110" t="n">
        <f aca="false">H147*$F$12</f>
        <v>0</v>
      </c>
      <c r="I182" s="110" t="n">
        <f aca="false">I147*$F$12</f>
        <v>0</v>
      </c>
      <c r="J182" s="110" t="n">
        <f aca="false">J147*$F$12</f>
        <v>0</v>
      </c>
      <c r="K182" s="110" t="n">
        <f aca="false">K147*$F$12</f>
        <v>0</v>
      </c>
      <c r="L182" s="110" t="n">
        <f aca="false">L147*$F$12</f>
        <v>0</v>
      </c>
      <c r="M182" s="110" t="n">
        <f aca="false">M147*$F$12</f>
        <v>26.2</v>
      </c>
      <c r="N182" s="110" t="n">
        <f aca="false">N147*$F$12</f>
        <v>37.5</v>
      </c>
      <c r="O182" s="110" t="n">
        <f aca="false">O147*$F$12</f>
        <v>39</v>
      </c>
      <c r="P182" s="21" t="n">
        <f aca="false">P147*$F$12</f>
        <v>66</v>
      </c>
      <c r="Q182" s="21" t="n">
        <f aca="false">Q147*$F$12</f>
        <v>81.8</v>
      </c>
      <c r="R182" s="21" t="n">
        <f aca="false">R147*$F$12</f>
        <v>118.5</v>
      </c>
      <c r="S182" s="21" t="n">
        <f aca="false">S147*$F$12</f>
        <v>168.5</v>
      </c>
      <c r="T182" s="21" t="n">
        <f aca="false">T147*$F$12</f>
        <v>205</v>
      </c>
      <c r="U182" s="21" t="n">
        <f aca="false">U147*$F$12</f>
        <v>240</v>
      </c>
      <c r="V182" s="21" t="n">
        <f aca="false">V147*$F$12</f>
        <v>240</v>
      </c>
      <c r="W182" s="21" t="n">
        <f aca="false">W147*$F$12</f>
        <v>240</v>
      </c>
      <c r="X182" s="21" t="n">
        <f aca="false">X147*$F$12</f>
        <v>240</v>
      </c>
      <c r="Y182" s="21" t="n">
        <f aca="false">Y147*$F$12</f>
        <v>240</v>
      </c>
      <c r="Z182" s="21" t="n">
        <f aca="false">Z147*$F$12</f>
        <v>240</v>
      </c>
      <c r="AA182" s="21" t="n">
        <f aca="false">AA147*$F$12</f>
        <v>240</v>
      </c>
      <c r="AB182" s="21" t="n">
        <f aca="false">AB147*$F$12</f>
        <v>240</v>
      </c>
      <c r="AC182" s="21" t="n">
        <f aca="false">AC147*$F$12</f>
        <v>240</v>
      </c>
      <c r="AD182" s="21" t="n">
        <f aca="false">AD147*$F$12</f>
        <v>240</v>
      </c>
      <c r="AE182" s="21" t="n">
        <f aca="false">AE147*$F$12</f>
        <v>240</v>
      </c>
      <c r="AF182" s="21" t="n">
        <f aca="false">AF147*$F$12</f>
        <v>240</v>
      </c>
      <c r="AG182" s="21" t="n">
        <f aca="false">AG147*$F$12</f>
        <v>240</v>
      </c>
      <c r="AI182" s="21" t="n">
        <f aca="false">INDEX($F182:$AG182,1,MATCH(AI$7,$F$7:$AG$7,1))</f>
        <v>0</v>
      </c>
      <c r="AJ182" s="21" t="n">
        <f aca="false">INDEX($F182:$AG182,1,MATCH(AJ$7,$F$7:$AG$7,1))</f>
        <v>26.2</v>
      </c>
      <c r="AK182" s="21" t="n">
        <f aca="false">INDEX($F182:$AG182,1,MATCH(AK$7,$F$7:$AG$7,1))</f>
        <v>81.8</v>
      </c>
      <c r="AL182" s="21" t="n">
        <f aca="false">INDEX($F182:$AG182,1,MATCH(AL$7,$F$7:$AG$7,1))</f>
        <v>240</v>
      </c>
      <c r="AM182" s="21" t="n">
        <f aca="false">INDEX($F182:$AG182,1,MATCH(AM$7,$F$7:$AG$7,1))</f>
        <v>240</v>
      </c>
      <c r="AN182" s="21" t="n">
        <f aca="false">INDEX($F182:$AG182,1,MATCH(AN$7,$F$7:$AG$7,1))</f>
        <v>240</v>
      </c>
      <c r="AO182" s="21" t="n">
        <f aca="false">INDEX($F182:$AG182,1,MATCH(AO$7,$F$7:$AG$7,1))</f>
        <v>240</v>
      </c>
    </row>
    <row r="183" customFormat="false" ht="15" hidden="false" customHeight="false" outlineLevel="0" collapsed="false">
      <c r="A183" s="3" t="s">
        <v>1218</v>
      </c>
      <c r="E183" s="5" t="n">
        <f aca="false">MAX(0,IF(MWSel=2,INDEX(MW_En,1,MIN(28,29-EnLag))*MW_Haircut,INDEX(MW_Act,1,28)+INDEX(MW_New,1,28))-INDEX(MW_Act,1,28))</f>
        <v>460</v>
      </c>
    </row>
    <row r="185" customFormat="false" ht="15" hidden="false" customHeight="false" outlineLevel="0" collapsed="false">
      <c r="A185" s="48" t="s">
        <v>1219</v>
      </c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</row>
    <row r="186" customFormat="false" ht="15" hidden="false" customHeight="false" outlineLevel="0" collapsed="false">
      <c r="A186" s="101" t="s">
        <v>1068</v>
      </c>
      <c r="B186" s="18" t="s">
        <v>415</v>
      </c>
      <c r="C186" s="18" t="s">
        <v>680</v>
      </c>
      <c r="D186" s="18"/>
      <c r="AI186" s="103" t="n">
        <f aca="false">INDEX($F186:$AG186,1,MATCH(AI$7,$F$7:$AG$7,1))</f>
        <v>0</v>
      </c>
      <c r="AJ186" s="103" t="n">
        <f aca="false">INDEX($F186:$AG186,1,MATCH(AJ$7,$F$7:$AG$7,1))</f>
        <v>0</v>
      </c>
      <c r="AK186" s="103" t="n">
        <f aca="false">INDEX($F186:$AG186,1,MATCH(AK$7,$F$7:$AG$7,1))</f>
        <v>0</v>
      </c>
      <c r="AL186" s="103" t="n">
        <f aca="false">INDEX($F186:$AG186,1,MATCH(AL$7,$F$7:$AG$7,1))</f>
        <v>0</v>
      </c>
      <c r="AM186" s="103" t="n">
        <f aca="false">INDEX($F186:$AG186,1,MATCH(AM$7,$F$7:$AG$7,1))</f>
        <v>0</v>
      </c>
      <c r="AN186" s="103" t="n">
        <f aca="false">INDEX($F186:$AG186,1,MATCH(AN$7,$F$7:$AG$7,1))</f>
        <v>0</v>
      </c>
      <c r="AO186" s="103" t="n">
        <f aca="false">INDEX($F186:$AG186,1,MATCH(AO$7,$F$7:$AG$7,1))</f>
        <v>0</v>
      </c>
    </row>
    <row r="187" customFormat="false" ht="15" hidden="false" customHeight="false" outlineLevel="0" collapsed="false">
      <c r="A187" s="101" t="s">
        <v>1075</v>
      </c>
      <c r="B187" s="18" t="s">
        <v>415</v>
      </c>
      <c r="C187" s="18" t="s">
        <v>680</v>
      </c>
      <c r="D187" s="18"/>
      <c r="AI187" s="103" t="n">
        <f aca="false">INDEX($F187:$AG187,1,MATCH(AI$7,$F$7:$AG$7,1))</f>
        <v>0</v>
      </c>
      <c r="AJ187" s="103" t="n">
        <f aca="false">INDEX($F187:$AG187,1,MATCH(AJ$7,$F$7:$AG$7,1))</f>
        <v>0</v>
      </c>
      <c r="AK187" s="103" t="n">
        <f aca="false">INDEX($F187:$AG187,1,MATCH(AK$7,$F$7:$AG$7,1))</f>
        <v>0</v>
      </c>
      <c r="AL187" s="103" t="n">
        <f aca="false">INDEX($F187:$AG187,1,MATCH(AL$7,$F$7:$AG$7,1))</f>
        <v>0</v>
      </c>
      <c r="AM187" s="103" t="n">
        <f aca="false">INDEX($F187:$AG187,1,MATCH(AM$7,$F$7:$AG$7,1))</f>
        <v>0</v>
      </c>
      <c r="AN187" s="103" t="n">
        <f aca="false">INDEX($F187:$AG187,1,MATCH(AN$7,$F$7:$AG$7,1))</f>
        <v>0</v>
      </c>
      <c r="AO187" s="103" t="n">
        <f aca="false">INDEX($F187:$AG187,1,MATCH(AO$7,$F$7:$AG$7,1))</f>
        <v>0</v>
      </c>
    </row>
    <row r="188" customFormat="false" ht="15" hidden="false" customHeight="false" outlineLevel="0" collapsed="false">
      <c r="A188" s="101" t="s">
        <v>1081</v>
      </c>
      <c r="B188" s="18" t="s">
        <v>415</v>
      </c>
      <c r="C188" s="18" t="s">
        <v>680</v>
      </c>
      <c r="D188" s="18"/>
      <c r="AI188" s="103" t="n">
        <f aca="false">INDEX($F188:$AG188,1,MATCH(AI$7,$F$7:$AG$7,1))</f>
        <v>0</v>
      </c>
      <c r="AJ188" s="103" t="n">
        <f aca="false">INDEX($F188:$AG188,1,MATCH(AJ$7,$F$7:$AG$7,1))</f>
        <v>0</v>
      </c>
      <c r="AK188" s="103" t="n">
        <f aca="false">INDEX($F188:$AG188,1,MATCH(AK$7,$F$7:$AG$7,1))</f>
        <v>0</v>
      </c>
      <c r="AL188" s="103" t="n">
        <f aca="false">INDEX($F188:$AG188,1,MATCH(AL$7,$F$7:$AG$7,1))</f>
        <v>0</v>
      </c>
      <c r="AM188" s="103" t="n">
        <f aca="false">INDEX($F188:$AG188,1,MATCH(AM$7,$F$7:$AG$7,1))</f>
        <v>0</v>
      </c>
      <c r="AN188" s="103" t="n">
        <f aca="false">INDEX($F188:$AG188,1,MATCH(AN$7,$F$7:$AG$7,1))</f>
        <v>0</v>
      </c>
      <c r="AO188" s="103" t="n">
        <f aca="false">INDEX($F188:$AG188,1,MATCH(AO$7,$F$7:$AG$7,1))</f>
        <v>0</v>
      </c>
    </row>
    <row r="189" customFormat="false" ht="15" hidden="false" customHeight="false" outlineLevel="0" collapsed="false">
      <c r="A189" s="101" t="s">
        <v>1082</v>
      </c>
      <c r="B189" s="18" t="s">
        <v>415</v>
      </c>
      <c r="C189" s="18" t="s">
        <v>680</v>
      </c>
      <c r="D189" s="18"/>
      <c r="AI189" s="103" t="n">
        <f aca="false">INDEX($F189:$AG189,1,MATCH(AI$7,$F$7:$AG$7,1))</f>
        <v>0</v>
      </c>
      <c r="AJ189" s="103" t="n">
        <f aca="false">INDEX($F189:$AG189,1,MATCH(AJ$7,$F$7:$AG$7,1))</f>
        <v>0</v>
      </c>
      <c r="AK189" s="103" t="n">
        <f aca="false">INDEX($F189:$AG189,1,MATCH(AK$7,$F$7:$AG$7,1))</f>
        <v>0</v>
      </c>
      <c r="AL189" s="103" t="n">
        <f aca="false">INDEX($F189:$AG189,1,MATCH(AL$7,$F$7:$AG$7,1))</f>
        <v>0</v>
      </c>
      <c r="AM189" s="103" t="n">
        <f aca="false">INDEX($F189:$AG189,1,MATCH(AM$7,$F$7:$AG$7,1))</f>
        <v>0</v>
      </c>
      <c r="AN189" s="103" t="n">
        <f aca="false">INDEX($F189:$AG189,1,MATCH(AN$7,$F$7:$AG$7,1))</f>
        <v>0</v>
      </c>
      <c r="AO189" s="103" t="n">
        <f aca="false">INDEX($F189:$AG189,1,MATCH(AO$7,$F$7:$AG$7,1))</f>
        <v>0</v>
      </c>
    </row>
    <row r="190" customFormat="false" ht="15" hidden="false" customHeight="false" outlineLevel="0" collapsed="false">
      <c r="A190" s="101" t="s">
        <v>1084</v>
      </c>
      <c r="B190" s="18" t="s">
        <v>415</v>
      </c>
      <c r="C190" s="18" t="s">
        <v>680</v>
      </c>
      <c r="D190" s="18"/>
      <c r="AI190" s="103" t="n">
        <f aca="false">INDEX($F190:$AG190,1,MATCH(AI$7,$F$7:$AG$7,1))</f>
        <v>0</v>
      </c>
      <c r="AJ190" s="103" t="n">
        <f aca="false">INDEX($F190:$AG190,1,MATCH(AJ$7,$F$7:$AG$7,1))</f>
        <v>0</v>
      </c>
      <c r="AK190" s="103" t="n">
        <f aca="false">INDEX($F190:$AG190,1,MATCH(AK$7,$F$7:$AG$7,1))</f>
        <v>0</v>
      </c>
      <c r="AL190" s="103" t="n">
        <f aca="false">INDEX($F190:$AG190,1,MATCH(AL$7,$F$7:$AG$7,1))</f>
        <v>0</v>
      </c>
      <c r="AM190" s="103" t="n">
        <f aca="false">INDEX($F190:$AG190,1,MATCH(AM$7,$F$7:$AG$7,1))</f>
        <v>0</v>
      </c>
      <c r="AN190" s="103" t="n">
        <f aca="false">INDEX($F190:$AG190,1,MATCH(AN$7,$F$7:$AG$7,1))</f>
        <v>0</v>
      </c>
      <c r="AO190" s="103" t="n">
        <f aca="false">INDEX($F190:$AG190,1,MATCH(AO$7,$F$7:$AG$7,1))</f>
        <v>0</v>
      </c>
    </row>
    <row r="191" customFormat="false" ht="15" hidden="false" customHeight="false" outlineLevel="0" collapsed="false">
      <c r="A191" s="101" t="s">
        <v>1087</v>
      </c>
      <c r="B191" s="18" t="s">
        <v>415</v>
      </c>
      <c r="C191" s="18" t="s">
        <v>680</v>
      </c>
      <c r="D191" s="18"/>
      <c r="AI191" s="103" t="n">
        <f aca="false">INDEX($F191:$AG191,1,MATCH(AI$7,$F$7:$AG$7,1))</f>
        <v>0</v>
      </c>
      <c r="AJ191" s="103" t="n">
        <f aca="false">INDEX($F191:$AG191,1,MATCH(AJ$7,$F$7:$AG$7,1))</f>
        <v>0</v>
      </c>
      <c r="AK191" s="103" t="n">
        <f aca="false">INDEX($F191:$AG191,1,MATCH(AK$7,$F$7:$AG$7,1))</f>
        <v>0</v>
      </c>
      <c r="AL191" s="103" t="n">
        <f aca="false">INDEX($F191:$AG191,1,MATCH(AL$7,$F$7:$AG$7,1))</f>
        <v>0</v>
      </c>
      <c r="AM191" s="103" t="n">
        <f aca="false">INDEX($F191:$AG191,1,MATCH(AM$7,$F$7:$AG$7,1))</f>
        <v>0</v>
      </c>
      <c r="AN191" s="103" t="n">
        <f aca="false">INDEX($F191:$AG191,1,MATCH(AN$7,$F$7:$AG$7,1))</f>
        <v>0</v>
      </c>
      <c r="AO191" s="103" t="n">
        <f aca="false">INDEX($F191:$AG191,1,MATCH(AO$7,$F$7:$AG$7,1))</f>
        <v>0</v>
      </c>
    </row>
    <row r="192" customFormat="false" ht="15" hidden="false" customHeight="false" outlineLevel="0" collapsed="false">
      <c r="A192" s="101" t="s">
        <v>1088</v>
      </c>
      <c r="B192" s="18" t="s">
        <v>415</v>
      </c>
      <c r="C192" s="18" t="s">
        <v>680</v>
      </c>
      <c r="D192" s="18"/>
      <c r="AI192" s="103" t="n">
        <f aca="false">INDEX($F192:$AG192,1,MATCH(AI$7,$F$7:$AG$7,1))</f>
        <v>0</v>
      </c>
      <c r="AJ192" s="103" t="n">
        <f aca="false">INDEX($F192:$AG192,1,MATCH(AJ$7,$F$7:$AG$7,1))</f>
        <v>0</v>
      </c>
      <c r="AK192" s="103" t="n">
        <f aca="false">INDEX($F192:$AG192,1,MATCH(AK$7,$F$7:$AG$7,1))</f>
        <v>0</v>
      </c>
      <c r="AL192" s="103" t="n">
        <f aca="false">INDEX($F192:$AG192,1,MATCH(AL$7,$F$7:$AG$7,1))</f>
        <v>0</v>
      </c>
      <c r="AM192" s="103" t="n">
        <f aca="false">INDEX($F192:$AG192,1,MATCH(AM$7,$F$7:$AG$7,1))</f>
        <v>0</v>
      </c>
      <c r="AN192" s="103" t="n">
        <f aca="false">INDEX($F192:$AG192,1,MATCH(AN$7,$F$7:$AG$7,1))</f>
        <v>0</v>
      </c>
      <c r="AO192" s="103" t="n">
        <f aca="false">INDEX($F192:$AG192,1,MATCH(AO$7,$F$7:$AG$7,1))</f>
        <v>0</v>
      </c>
    </row>
    <row r="193" customFormat="false" ht="15" hidden="false" customHeight="false" outlineLevel="0" collapsed="false">
      <c r="A193" s="101" t="s">
        <v>1089</v>
      </c>
      <c r="B193" s="18" t="s">
        <v>415</v>
      </c>
      <c r="C193" s="18" t="s">
        <v>680</v>
      </c>
      <c r="D193" s="18"/>
      <c r="AI193" s="103" t="n">
        <f aca="false">INDEX($F193:$AG193,1,MATCH(AI$7,$F$7:$AG$7,1))</f>
        <v>0</v>
      </c>
      <c r="AJ193" s="103" t="n">
        <f aca="false">INDEX($F193:$AG193,1,MATCH(AJ$7,$F$7:$AG$7,1))</f>
        <v>0</v>
      </c>
      <c r="AK193" s="103" t="n">
        <f aca="false">INDEX($F193:$AG193,1,MATCH(AK$7,$F$7:$AG$7,1))</f>
        <v>0</v>
      </c>
      <c r="AL193" s="103" t="n">
        <f aca="false">INDEX($F193:$AG193,1,MATCH(AL$7,$F$7:$AG$7,1))</f>
        <v>0</v>
      </c>
      <c r="AM193" s="103" t="n">
        <f aca="false">INDEX($F193:$AG193,1,MATCH(AM$7,$F$7:$AG$7,1))</f>
        <v>0</v>
      </c>
      <c r="AN193" s="103" t="n">
        <f aca="false">INDEX($F193:$AG193,1,MATCH(AN$7,$F$7:$AG$7,1))</f>
        <v>0</v>
      </c>
      <c r="AO193" s="103" t="n">
        <f aca="false">INDEX($F193:$AG193,1,MATCH(AO$7,$F$7:$AG$7,1))</f>
        <v>0</v>
      </c>
    </row>
    <row r="194" customFormat="false" ht="15" hidden="false" customHeight="false" outlineLevel="0" collapsed="false">
      <c r="A194" s="101" t="s">
        <v>1090</v>
      </c>
      <c r="B194" s="18" t="s">
        <v>415</v>
      </c>
      <c r="C194" s="18" t="s">
        <v>680</v>
      </c>
      <c r="D194" s="18"/>
      <c r="AI194" s="103" t="n">
        <f aca="false">INDEX($F194:$AG194,1,MATCH(AI$7,$F$7:$AG$7,1))</f>
        <v>0</v>
      </c>
      <c r="AJ194" s="103" t="n">
        <f aca="false">INDEX($F194:$AG194,1,MATCH(AJ$7,$F$7:$AG$7,1))</f>
        <v>0</v>
      </c>
      <c r="AK194" s="103" t="n">
        <f aca="false">INDEX($F194:$AG194,1,MATCH(AK$7,$F$7:$AG$7,1))</f>
        <v>0</v>
      </c>
      <c r="AL194" s="103" t="n">
        <f aca="false">INDEX($F194:$AG194,1,MATCH(AL$7,$F$7:$AG$7,1))</f>
        <v>0</v>
      </c>
      <c r="AM194" s="103" t="n">
        <f aca="false">INDEX($F194:$AG194,1,MATCH(AM$7,$F$7:$AG$7,1))</f>
        <v>0</v>
      </c>
      <c r="AN194" s="103" t="n">
        <f aca="false">INDEX($F194:$AG194,1,MATCH(AN$7,$F$7:$AG$7,1))</f>
        <v>0</v>
      </c>
      <c r="AO194" s="103" t="n">
        <f aca="false">INDEX($F194:$AG194,1,MATCH(AO$7,$F$7:$AG$7,1))</f>
        <v>0</v>
      </c>
    </row>
    <row r="195" customFormat="false" ht="15" hidden="false" customHeight="false" outlineLevel="0" collapsed="false">
      <c r="A195" s="101" t="s">
        <v>1092</v>
      </c>
      <c r="B195" s="18" t="s">
        <v>415</v>
      </c>
      <c r="C195" s="18" t="s">
        <v>680</v>
      </c>
      <c r="D195" s="18"/>
      <c r="AI195" s="103" t="n">
        <f aca="false">INDEX($F195:$AG195,1,MATCH(AI$7,$F$7:$AG$7,1))</f>
        <v>0</v>
      </c>
      <c r="AJ195" s="103" t="n">
        <f aca="false">INDEX($F195:$AG195,1,MATCH(AJ$7,$F$7:$AG$7,1))</f>
        <v>0</v>
      </c>
      <c r="AK195" s="103" t="n">
        <f aca="false">INDEX($F195:$AG195,1,MATCH(AK$7,$F$7:$AG$7,1))</f>
        <v>0</v>
      </c>
      <c r="AL195" s="103" t="n">
        <f aca="false">INDEX($F195:$AG195,1,MATCH(AL$7,$F$7:$AG$7,1))</f>
        <v>0</v>
      </c>
      <c r="AM195" s="103" t="n">
        <f aca="false">INDEX($F195:$AG195,1,MATCH(AM$7,$F$7:$AG$7,1))</f>
        <v>0</v>
      </c>
      <c r="AN195" s="103" t="n">
        <f aca="false">INDEX($F195:$AG195,1,MATCH(AN$7,$F$7:$AG$7,1))</f>
        <v>0</v>
      </c>
      <c r="AO195" s="103" t="n">
        <f aca="false">INDEX($F195:$AG195,1,MATCH(AO$7,$F$7:$AG$7,1))</f>
        <v>0</v>
      </c>
    </row>
    <row r="196" customFormat="false" ht="15" hidden="false" customHeight="false" outlineLevel="0" collapsed="false">
      <c r="A196" s="101" t="s">
        <v>1094</v>
      </c>
      <c r="B196" s="18" t="s">
        <v>415</v>
      </c>
      <c r="C196" s="18" t="s">
        <v>680</v>
      </c>
      <c r="D196" s="18"/>
      <c r="AI196" s="103" t="n">
        <f aca="false">INDEX($F196:$AG196,1,MATCH(AI$7,$F$7:$AG$7,1))</f>
        <v>0</v>
      </c>
      <c r="AJ196" s="103" t="n">
        <f aca="false">INDEX($F196:$AG196,1,MATCH(AJ$7,$F$7:$AG$7,1))</f>
        <v>0</v>
      </c>
      <c r="AK196" s="103" t="n">
        <f aca="false">INDEX($F196:$AG196,1,MATCH(AK$7,$F$7:$AG$7,1))</f>
        <v>0</v>
      </c>
      <c r="AL196" s="103" t="n">
        <f aca="false">INDEX($F196:$AG196,1,MATCH(AL$7,$F$7:$AG$7,1))</f>
        <v>0</v>
      </c>
      <c r="AM196" s="103" t="n">
        <f aca="false">INDEX($F196:$AG196,1,MATCH(AM$7,$F$7:$AG$7,1))</f>
        <v>0</v>
      </c>
      <c r="AN196" s="103" t="n">
        <f aca="false">INDEX($F196:$AG196,1,MATCH(AN$7,$F$7:$AG$7,1))</f>
        <v>0</v>
      </c>
      <c r="AO196" s="103" t="n">
        <f aca="false">INDEX($F196:$AG196,1,MATCH(AO$7,$F$7:$AG$7,1))</f>
        <v>0</v>
      </c>
    </row>
    <row r="197" customFormat="false" ht="15" hidden="false" customHeight="false" outlineLevel="0" collapsed="false">
      <c r="A197" s="101" t="s">
        <v>1095</v>
      </c>
      <c r="B197" s="18" t="s">
        <v>415</v>
      </c>
      <c r="C197" s="18" t="s">
        <v>680</v>
      </c>
      <c r="D197" s="18"/>
      <c r="AI197" s="103" t="n">
        <f aca="false">INDEX($F197:$AG197,1,MATCH(AI$7,$F$7:$AG$7,1))</f>
        <v>0</v>
      </c>
      <c r="AJ197" s="103" t="n">
        <f aca="false">INDEX($F197:$AG197,1,MATCH(AJ$7,$F$7:$AG$7,1))</f>
        <v>0</v>
      </c>
      <c r="AK197" s="103" t="n">
        <f aca="false">INDEX($F197:$AG197,1,MATCH(AK$7,$F$7:$AG$7,1))</f>
        <v>0</v>
      </c>
      <c r="AL197" s="103" t="n">
        <f aca="false">INDEX($F197:$AG197,1,MATCH(AL$7,$F$7:$AG$7,1))</f>
        <v>0</v>
      </c>
      <c r="AM197" s="103" t="n">
        <f aca="false">INDEX($F197:$AG197,1,MATCH(AM$7,$F$7:$AG$7,1))</f>
        <v>0</v>
      </c>
      <c r="AN197" s="103" t="n">
        <f aca="false">INDEX($F197:$AG197,1,MATCH(AN$7,$F$7:$AG$7,1))</f>
        <v>0</v>
      </c>
      <c r="AO197" s="103" t="n">
        <f aca="false">INDEX($F197:$AG197,1,MATCH(AO$7,$F$7:$AG$7,1))</f>
        <v>0</v>
      </c>
    </row>
    <row r="198" customFormat="false" ht="15" hidden="false" customHeight="false" outlineLevel="0" collapsed="false">
      <c r="A198" s="101" t="s">
        <v>1097</v>
      </c>
      <c r="B198" s="18" t="s">
        <v>415</v>
      </c>
      <c r="C198" s="18" t="s">
        <v>680</v>
      </c>
      <c r="D198" s="18"/>
      <c r="AI198" s="103" t="n">
        <f aca="false">INDEX($F198:$AG198,1,MATCH(AI$7,$F$7:$AG$7,1))</f>
        <v>0</v>
      </c>
      <c r="AJ198" s="103" t="n">
        <f aca="false">INDEX($F198:$AG198,1,MATCH(AJ$7,$F$7:$AG$7,1))</f>
        <v>0</v>
      </c>
      <c r="AK198" s="103" t="n">
        <f aca="false">INDEX($F198:$AG198,1,MATCH(AK$7,$F$7:$AG$7,1))</f>
        <v>0</v>
      </c>
      <c r="AL198" s="103" t="n">
        <f aca="false">INDEX($F198:$AG198,1,MATCH(AL$7,$F$7:$AG$7,1))</f>
        <v>0</v>
      </c>
      <c r="AM198" s="103" t="n">
        <f aca="false">INDEX($F198:$AG198,1,MATCH(AM$7,$F$7:$AG$7,1))</f>
        <v>0</v>
      </c>
      <c r="AN198" s="103" t="n">
        <f aca="false">INDEX($F198:$AG198,1,MATCH(AN$7,$F$7:$AG$7,1))</f>
        <v>0</v>
      </c>
      <c r="AO198" s="103" t="n">
        <f aca="false">INDEX($F198:$AG198,1,MATCH(AO$7,$F$7:$AG$7,1))</f>
        <v>0</v>
      </c>
    </row>
    <row r="199" customFormat="false" ht="15" hidden="false" customHeight="false" outlineLevel="0" collapsed="false">
      <c r="A199" s="101" t="s">
        <v>1098</v>
      </c>
      <c r="B199" s="18" t="s">
        <v>415</v>
      </c>
      <c r="C199" s="18" t="s">
        <v>680</v>
      </c>
      <c r="D199" s="18"/>
      <c r="AI199" s="103" t="n">
        <f aca="false">INDEX($F199:$AG199,1,MATCH(AI$7,$F$7:$AG$7,1))</f>
        <v>0</v>
      </c>
      <c r="AJ199" s="103" t="n">
        <f aca="false">INDEX($F199:$AG199,1,MATCH(AJ$7,$F$7:$AG$7,1))</f>
        <v>0</v>
      </c>
      <c r="AK199" s="103" t="n">
        <f aca="false">INDEX($F199:$AG199,1,MATCH(AK$7,$F$7:$AG$7,1))</f>
        <v>0</v>
      </c>
      <c r="AL199" s="103" t="n">
        <f aca="false">INDEX($F199:$AG199,1,MATCH(AL$7,$F$7:$AG$7,1))</f>
        <v>0</v>
      </c>
      <c r="AM199" s="103" t="n">
        <f aca="false">INDEX($F199:$AG199,1,MATCH(AM$7,$F$7:$AG$7,1))</f>
        <v>0</v>
      </c>
      <c r="AN199" s="103" t="n">
        <f aca="false">INDEX($F199:$AG199,1,MATCH(AN$7,$F$7:$AG$7,1))</f>
        <v>0</v>
      </c>
      <c r="AO199" s="103" t="n">
        <f aca="false">INDEX($F199:$AG199,1,MATCH(AO$7,$F$7:$AG$7,1))</f>
        <v>0</v>
      </c>
    </row>
    <row r="200" customFormat="false" ht="15" hidden="false" customHeight="false" outlineLevel="0" collapsed="false">
      <c r="A200" s="101" t="s">
        <v>1100</v>
      </c>
      <c r="B200" s="18" t="s">
        <v>415</v>
      </c>
      <c r="C200" s="18" t="s">
        <v>680</v>
      </c>
      <c r="D200" s="18"/>
      <c r="AI200" s="103" t="n">
        <f aca="false">INDEX($F200:$AG200,1,MATCH(AI$7,$F$7:$AG$7,1))</f>
        <v>0</v>
      </c>
      <c r="AJ200" s="103" t="n">
        <f aca="false">INDEX($F200:$AG200,1,MATCH(AJ$7,$F$7:$AG$7,1))</f>
        <v>0</v>
      </c>
      <c r="AK200" s="103" t="n">
        <f aca="false">INDEX($F200:$AG200,1,MATCH(AK$7,$F$7:$AG$7,1))</f>
        <v>0</v>
      </c>
      <c r="AL200" s="103" t="n">
        <f aca="false">INDEX($F200:$AG200,1,MATCH(AL$7,$F$7:$AG$7,1))</f>
        <v>0</v>
      </c>
      <c r="AM200" s="103" t="n">
        <f aca="false">INDEX($F200:$AG200,1,MATCH(AM$7,$F$7:$AG$7,1))</f>
        <v>0</v>
      </c>
      <c r="AN200" s="103" t="n">
        <f aca="false">INDEX($F200:$AG200,1,MATCH(AN$7,$F$7:$AG$7,1))</f>
        <v>0</v>
      </c>
      <c r="AO200" s="103" t="n">
        <f aca="false">INDEX($F200:$AG200,1,MATCH(AO$7,$F$7:$AG$7,1))</f>
        <v>0</v>
      </c>
    </row>
    <row r="201" customFormat="false" ht="15" hidden="false" customHeight="false" outlineLevel="0" collapsed="false">
      <c r="A201" s="101" t="s">
        <v>1102</v>
      </c>
      <c r="B201" s="18" t="s">
        <v>415</v>
      </c>
      <c r="C201" s="18" t="s">
        <v>680</v>
      </c>
      <c r="D201" s="18"/>
      <c r="AI201" s="103" t="n">
        <f aca="false">INDEX($F201:$AG201,1,MATCH(AI$7,$F$7:$AG$7,1))</f>
        <v>0</v>
      </c>
      <c r="AJ201" s="103" t="n">
        <f aca="false">INDEX($F201:$AG201,1,MATCH(AJ$7,$F$7:$AG$7,1))</f>
        <v>0</v>
      </c>
      <c r="AK201" s="103" t="n">
        <f aca="false">INDEX($F201:$AG201,1,MATCH(AK$7,$F$7:$AG$7,1))</f>
        <v>0</v>
      </c>
      <c r="AL201" s="103" t="n">
        <f aca="false">INDEX($F201:$AG201,1,MATCH(AL$7,$F$7:$AG$7,1))</f>
        <v>0</v>
      </c>
      <c r="AM201" s="103" t="n">
        <f aca="false">INDEX($F201:$AG201,1,MATCH(AM$7,$F$7:$AG$7,1))</f>
        <v>0</v>
      </c>
      <c r="AN201" s="103" t="n">
        <f aca="false">INDEX($F201:$AG201,1,MATCH(AN$7,$F$7:$AG$7,1))</f>
        <v>0</v>
      </c>
      <c r="AO201" s="103" t="n">
        <f aca="false">INDEX($F201:$AG201,1,MATCH(AO$7,$F$7:$AG$7,1))</f>
        <v>0</v>
      </c>
    </row>
    <row r="202" customFormat="false" ht="15" hidden="false" customHeight="false" outlineLevel="0" collapsed="false">
      <c r="A202" s="101" t="s">
        <v>1103</v>
      </c>
      <c r="B202" s="18" t="s">
        <v>415</v>
      </c>
      <c r="C202" s="18" t="s">
        <v>680</v>
      </c>
      <c r="D202" s="18"/>
      <c r="AI202" s="103" t="n">
        <f aca="false">INDEX($F202:$AG202,1,MATCH(AI$7,$F$7:$AG$7,1))</f>
        <v>0</v>
      </c>
      <c r="AJ202" s="103" t="n">
        <f aca="false">INDEX($F202:$AG202,1,MATCH(AJ$7,$F$7:$AG$7,1))</f>
        <v>0</v>
      </c>
      <c r="AK202" s="103" t="n">
        <f aca="false">INDEX($F202:$AG202,1,MATCH(AK$7,$F$7:$AG$7,1))</f>
        <v>0</v>
      </c>
      <c r="AL202" s="103" t="n">
        <f aca="false">INDEX($F202:$AG202,1,MATCH(AL$7,$F$7:$AG$7,1))</f>
        <v>0</v>
      </c>
      <c r="AM202" s="103" t="n">
        <f aca="false">INDEX($F202:$AG202,1,MATCH(AM$7,$F$7:$AG$7,1))</f>
        <v>0</v>
      </c>
      <c r="AN202" s="103" t="n">
        <f aca="false">INDEX($F202:$AG202,1,MATCH(AN$7,$F$7:$AG$7,1))</f>
        <v>0</v>
      </c>
      <c r="AO202" s="103" t="n">
        <f aca="false">INDEX($F202:$AG202,1,MATCH(AO$7,$F$7:$AG$7,1))</f>
        <v>0</v>
      </c>
    </row>
    <row r="203" customFormat="false" ht="15" hidden="false" customHeight="false" outlineLevel="0" collapsed="false">
      <c r="A203" s="101" t="s">
        <v>1104</v>
      </c>
      <c r="B203" s="18" t="s">
        <v>415</v>
      </c>
      <c r="C203" s="18" t="s">
        <v>680</v>
      </c>
      <c r="D203" s="18"/>
      <c r="AI203" s="103" t="n">
        <f aca="false">INDEX($F203:$AG203,1,MATCH(AI$7,$F$7:$AG$7,1))</f>
        <v>0</v>
      </c>
      <c r="AJ203" s="103" t="n">
        <f aca="false">INDEX($F203:$AG203,1,MATCH(AJ$7,$F$7:$AG$7,1))</f>
        <v>0</v>
      </c>
      <c r="AK203" s="103" t="n">
        <f aca="false">INDEX($F203:$AG203,1,MATCH(AK$7,$F$7:$AG$7,1))</f>
        <v>0</v>
      </c>
      <c r="AL203" s="103" t="n">
        <f aca="false">INDEX($F203:$AG203,1,MATCH(AL$7,$F$7:$AG$7,1))</f>
        <v>0</v>
      </c>
      <c r="AM203" s="103" t="n">
        <f aca="false">INDEX($F203:$AG203,1,MATCH(AM$7,$F$7:$AG$7,1))</f>
        <v>0</v>
      </c>
      <c r="AN203" s="103" t="n">
        <f aca="false">INDEX($F203:$AG203,1,MATCH(AN$7,$F$7:$AG$7,1))</f>
        <v>0</v>
      </c>
      <c r="AO203" s="103" t="n">
        <f aca="false">INDEX($F203:$AG203,1,MATCH(AO$7,$F$7:$AG$7,1))</f>
        <v>0</v>
      </c>
    </row>
    <row r="204" customFormat="false" ht="15" hidden="false" customHeight="false" outlineLevel="0" collapsed="false">
      <c r="A204" s="101" t="s">
        <v>1105</v>
      </c>
      <c r="B204" s="18" t="s">
        <v>415</v>
      </c>
      <c r="C204" s="18" t="s">
        <v>680</v>
      </c>
      <c r="D204" s="18"/>
      <c r="AI204" s="103" t="n">
        <f aca="false">INDEX($F204:$AG204,1,MATCH(AI$7,$F$7:$AG$7,1))</f>
        <v>0</v>
      </c>
      <c r="AJ204" s="103" t="n">
        <f aca="false">INDEX($F204:$AG204,1,MATCH(AJ$7,$F$7:$AG$7,1))</f>
        <v>0</v>
      </c>
      <c r="AK204" s="103" t="n">
        <f aca="false">INDEX($F204:$AG204,1,MATCH(AK$7,$F$7:$AG$7,1))</f>
        <v>0</v>
      </c>
      <c r="AL204" s="103" t="n">
        <f aca="false">INDEX($F204:$AG204,1,MATCH(AL$7,$F$7:$AG$7,1))</f>
        <v>0</v>
      </c>
      <c r="AM204" s="103" t="n">
        <f aca="false">INDEX($F204:$AG204,1,MATCH(AM$7,$F$7:$AG$7,1))</f>
        <v>0</v>
      </c>
      <c r="AN204" s="103" t="n">
        <f aca="false">INDEX($F204:$AG204,1,MATCH(AN$7,$F$7:$AG$7,1))</f>
        <v>0</v>
      </c>
      <c r="AO204" s="103" t="n">
        <f aca="false">INDEX($F204:$AG204,1,MATCH(AO$7,$F$7:$AG$7,1))</f>
        <v>0</v>
      </c>
    </row>
    <row r="205" customFormat="false" ht="15" hidden="false" customHeight="false" outlineLevel="0" collapsed="false">
      <c r="A205" s="101" t="s">
        <v>1106</v>
      </c>
      <c r="B205" s="18" t="s">
        <v>415</v>
      </c>
      <c r="C205" s="18" t="s">
        <v>680</v>
      </c>
      <c r="D205" s="18"/>
      <c r="AI205" s="103" t="n">
        <f aca="false">INDEX($F205:$AG205,1,MATCH(AI$7,$F$7:$AG$7,1))</f>
        <v>0</v>
      </c>
      <c r="AJ205" s="103" t="n">
        <f aca="false">INDEX($F205:$AG205,1,MATCH(AJ$7,$F$7:$AG$7,1))</f>
        <v>0</v>
      </c>
      <c r="AK205" s="103" t="n">
        <f aca="false">INDEX($F205:$AG205,1,MATCH(AK$7,$F$7:$AG$7,1))</f>
        <v>0</v>
      </c>
      <c r="AL205" s="103" t="n">
        <f aca="false">INDEX($F205:$AG205,1,MATCH(AL$7,$F$7:$AG$7,1))</f>
        <v>0</v>
      </c>
      <c r="AM205" s="103" t="n">
        <f aca="false">INDEX($F205:$AG205,1,MATCH(AM$7,$F$7:$AG$7,1))</f>
        <v>0</v>
      </c>
      <c r="AN205" s="103" t="n">
        <f aca="false">INDEX($F205:$AG205,1,MATCH(AN$7,$F$7:$AG$7,1))</f>
        <v>0</v>
      </c>
      <c r="AO205" s="103" t="n">
        <f aca="false">INDEX($F205:$AG205,1,MATCH(AO$7,$F$7:$AG$7,1))</f>
        <v>0</v>
      </c>
    </row>
    <row r="206" customFormat="false" ht="15" hidden="false" customHeight="false" outlineLevel="0" collapsed="false">
      <c r="A206" s="101" t="s">
        <v>1108</v>
      </c>
      <c r="B206" s="18" t="s">
        <v>415</v>
      </c>
      <c r="C206" s="18" t="s">
        <v>680</v>
      </c>
      <c r="D206" s="18"/>
      <c r="AI206" s="103" t="n">
        <f aca="false">INDEX($F206:$AG206,1,MATCH(AI$7,$F$7:$AG$7,1))</f>
        <v>0</v>
      </c>
      <c r="AJ206" s="103" t="n">
        <f aca="false">INDEX($F206:$AG206,1,MATCH(AJ$7,$F$7:$AG$7,1))</f>
        <v>0</v>
      </c>
      <c r="AK206" s="103" t="n">
        <f aca="false">INDEX($F206:$AG206,1,MATCH(AK$7,$F$7:$AG$7,1))</f>
        <v>0</v>
      </c>
      <c r="AL206" s="103" t="n">
        <f aca="false">INDEX($F206:$AG206,1,MATCH(AL$7,$F$7:$AG$7,1))</f>
        <v>0</v>
      </c>
      <c r="AM206" s="103" t="n">
        <f aca="false">INDEX($F206:$AG206,1,MATCH(AM$7,$F$7:$AG$7,1))</f>
        <v>0</v>
      </c>
      <c r="AN206" s="103" t="n">
        <f aca="false">INDEX($F206:$AG206,1,MATCH(AN$7,$F$7:$AG$7,1))</f>
        <v>0</v>
      </c>
      <c r="AO206" s="103" t="n">
        <f aca="false">INDEX($F206:$AG206,1,MATCH(AO$7,$F$7:$AG$7,1))</f>
        <v>0</v>
      </c>
    </row>
    <row r="207" customFormat="false" ht="15" hidden="false" customHeight="false" outlineLevel="0" collapsed="false">
      <c r="A207" s="101" t="s">
        <v>1109</v>
      </c>
      <c r="B207" s="18" t="s">
        <v>415</v>
      </c>
      <c r="C207" s="18" t="s">
        <v>680</v>
      </c>
      <c r="D207" s="18"/>
      <c r="AI207" s="103" t="n">
        <f aca="false">INDEX($F207:$AG207,1,MATCH(AI$7,$F$7:$AG$7,1))</f>
        <v>0</v>
      </c>
      <c r="AJ207" s="103" t="n">
        <f aca="false">INDEX($F207:$AG207,1,MATCH(AJ$7,$F$7:$AG$7,1))</f>
        <v>0</v>
      </c>
      <c r="AK207" s="103" t="n">
        <f aca="false">INDEX($F207:$AG207,1,MATCH(AK$7,$F$7:$AG$7,1))</f>
        <v>0</v>
      </c>
      <c r="AL207" s="103" t="n">
        <f aca="false">INDEX($F207:$AG207,1,MATCH(AL$7,$F$7:$AG$7,1))</f>
        <v>0</v>
      </c>
      <c r="AM207" s="103" t="n">
        <f aca="false">INDEX($F207:$AG207,1,MATCH(AM$7,$F$7:$AG$7,1))</f>
        <v>0</v>
      </c>
      <c r="AN207" s="103" t="n">
        <f aca="false">INDEX($F207:$AG207,1,MATCH(AN$7,$F$7:$AG$7,1))</f>
        <v>0</v>
      </c>
      <c r="AO207" s="103" t="n">
        <f aca="false">INDEX($F207:$AG207,1,MATCH(AO$7,$F$7:$AG$7,1))</f>
        <v>0</v>
      </c>
    </row>
    <row r="208" customFormat="false" ht="15" hidden="false" customHeight="false" outlineLevel="0" collapsed="false">
      <c r="A208" s="101" t="s">
        <v>1110</v>
      </c>
      <c r="B208" s="18" t="s">
        <v>415</v>
      </c>
      <c r="C208" s="18" t="s">
        <v>680</v>
      </c>
      <c r="D208" s="18"/>
      <c r="AI208" s="103" t="n">
        <f aca="false">INDEX($F208:$AG208,1,MATCH(AI$7,$F$7:$AG$7,1))</f>
        <v>0</v>
      </c>
      <c r="AJ208" s="103" t="n">
        <f aca="false">INDEX($F208:$AG208,1,MATCH(AJ$7,$F$7:$AG$7,1))</f>
        <v>0</v>
      </c>
      <c r="AK208" s="103" t="n">
        <f aca="false">INDEX($F208:$AG208,1,MATCH(AK$7,$F$7:$AG$7,1))</f>
        <v>0</v>
      </c>
      <c r="AL208" s="103" t="n">
        <f aca="false">INDEX($F208:$AG208,1,MATCH(AL$7,$F$7:$AG$7,1))</f>
        <v>0</v>
      </c>
      <c r="AM208" s="103" t="n">
        <f aca="false">INDEX($F208:$AG208,1,MATCH(AM$7,$F$7:$AG$7,1))</f>
        <v>0</v>
      </c>
      <c r="AN208" s="103" t="n">
        <f aca="false">INDEX($F208:$AG208,1,MATCH(AN$7,$F$7:$AG$7,1))</f>
        <v>0</v>
      </c>
      <c r="AO208" s="103" t="n">
        <f aca="false">INDEX($F208:$AG208,1,MATCH(AO$7,$F$7:$AG$7,1))</f>
        <v>0</v>
      </c>
    </row>
    <row r="209" customFormat="false" ht="15" hidden="false" customHeight="false" outlineLevel="0" collapsed="false">
      <c r="A209" s="101" t="s">
        <v>1111</v>
      </c>
      <c r="B209" s="18" t="s">
        <v>415</v>
      </c>
      <c r="C209" s="18" t="s">
        <v>680</v>
      </c>
      <c r="D209" s="18"/>
      <c r="AI209" s="103" t="n">
        <f aca="false">INDEX($F209:$AG209,1,MATCH(AI$7,$F$7:$AG$7,1))</f>
        <v>0</v>
      </c>
      <c r="AJ209" s="103" t="n">
        <f aca="false">INDEX($F209:$AG209,1,MATCH(AJ$7,$F$7:$AG$7,1))</f>
        <v>0</v>
      </c>
      <c r="AK209" s="103" t="n">
        <f aca="false">INDEX($F209:$AG209,1,MATCH(AK$7,$F$7:$AG$7,1))</f>
        <v>0</v>
      </c>
      <c r="AL209" s="103" t="n">
        <f aca="false">INDEX($F209:$AG209,1,MATCH(AL$7,$F$7:$AG$7,1))</f>
        <v>0</v>
      </c>
      <c r="AM209" s="103" t="n">
        <f aca="false">INDEX($F209:$AG209,1,MATCH(AM$7,$F$7:$AG$7,1))</f>
        <v>0</v>
      </c>
      <c r="AN209" s="103" t="n">
        <f aca="false">INDEX($F209:$AG209,1,MATCH(AN$7,$F$7:$AG$7,1))</f>
        <v>0</v>
      </c>
      <c r="AO209" s="103" t="n">
        <f aca="false">INDEX($F209:$AG209,1,MATCH(AO$7,$F$7:$AG$7,1))</f>
        <v>0</v>
      </c>
    </row>
    <row r="210" customFormat="false" ht="15" hidden="false" customHeight="false" outlineLevel="0" collapsed="false">
      <c r="A210" s="101" t="s">
        <v>1204</v>
      </c>
      <c r="B210" s="18" t="s">
        <v>415</v>
      </c>
      <c r="C210" s="18" t="s">
        <v>680</v>
      </c>
      <c r="D210" s="18" t="s">
        <v>1220</v>
      </c>
      <c r="E210" s="0" t="s">
        <v>1070</v>
      </c>
      <c r="F210" s="102" t="n">
        <v>8.5</v>
      </c>
      <c r="G210" s="102" t="n">
        <v>10.8</v>
      </c>
      <c r="H210" s="102" t="n">
        <v>24</v>
      </c>
      <c r="I210" s="102" t="n">
        <v>26.3</v>
      </c>
      <c r="J210" s="102" t="n">
        <v>38</v>
      </c>
      <c r="K210" s="102" t="n">
        <v>78.5</v>
      </c>
      <c r="L210" s="102" t="n">
        <v>109.1</v>
      </c>
      <c r="M210" s="107" t="n">
        <v>170</v>
      </c>
      <c r="N210" s="102" t="n">
        <v>291.7</v>
      </c>
      <c r="O210" s="102" t="n">
        <v>413.3</v>
      </c>
      <c r="P210" s="102" t="n">
        <v>650</v>
      </c>
      <c r="Q210" s="102" t="n">
        <v>900</v>
      </c>
      <c r="R210" s="102" t="n">
        <v>1125</v>
      </c>
      <c r="S210" s="102" t="n">
        <v>1350</v>
      </c>
      <c r="T210" s="102" t="n">
        <v>1575</v>
      </c>
      <c r="U210" s="102" t="n">
        <v>1800</v>
      </c>
      <c r="V210" s="102" t="n">
        <v>2050</v>
      </c>
      <c r="W210" s="102" t="n">
        <v>2300</v>
      </c>
      <c r="X210" s="102" t="n">
        <v>2550</v>
      </c>
      <c r="Y210" s="102" t="n">
        <v>2800</v>
      </c>
      <c r="Z210" s="102" t="n">
        <v>3050</v>
      </c>
      <c r="AA210" s="102" t="n">
        <v>3300</v>
      </c>
      <c r="AB210" s="102" t="n">
        <v>3550</v>
      </c>
      <c r="AC210" s="102" t="n">
        <v>3800</v>
      </c>
      <c r="AD210" s="102" t="n">
        <v>4050</v>
      </c>
      <c r="AE210" s="102" t="n">
        <v>4300</v>
      </c>
      <c r="AF210" s="102" t="n">
        <v>4550</v>
      </c>
      <c r="AG210" s="102" t="n">
        <v>4800</v>
      </c>
      <c r="AI210" s="103" t="n">
        <f aca="false">INDEX($F210:$AG210,1,MATCH(AI$7,$F$7:$AG$7,1))</f>
        <v>26.3</v>
      </c>
      <c r="AJ210" s="103" t="n">
        <f aca="false">INDEX($F210:$AG210,1,MATCH(AJ$7,$F$7:$AG$7,1))</f>
        <v>170</v>
      </c>
      <c r="AK210" s="103" t="n">
        <f aca="false">INDEX($F210:$AG210,1,MATCH(AK$7,$F$7:$AG$7,1))</f>
        <v>900</v>
      </c>
      <c r="AL210" s="103" t="n">
        <f aca="false">INDEX($F210:$AG210,1,MATCH(AL$7,$F$7:$AG$7,1))</f>
        <v>1800</v>
      </c>
      <c r="AM210" s="103" t="n">
        <f aca="false">INDEX($F210:$AG210,1,MATCH(AM$7,$F$7:$AG$7,1))</f>
        <v>2800</v>
      </c>
      <c r="AN210" s="103" t="n">
        <f aca="false">INDEX($F210:$AG210,1,MATCH(AN$7,$F$7:$AG$7,1))</f>
        <v>3800</v>
      </c>
      <c r="AO210" s="103" t="n">
        <f aca="false">INDEX($F210:$AG210,1,MATCH(AO$7,$F$7:$AG$7,1))</f>
        <v>4800</v>
      </c>
    </row>
    <row r="211" customFormat="false" ht="15" hidden="false" customHeight="false" outlineLevel="0" collapsed="false">
      <c r="A211" s="101" t="s">
        <v>1198</v>
      </c>
      <c r="B211" s="18" t="s">
        <v>415</v>
      </c>
      <c r="C211" s="18" t="s">
        <v>336</v>
      </c>
      <c r="D211" s="18" t="s">
        <v>1199</v>
      </c>
      <c r="F211" s="106" t="n">
        <f aca="false">MAX(0,N(F210)*1-SUMPRODUCT(F186:F209,$F$12:$F$35))</f>
        <v>8.5</v>
      </c>
      <c r="G211" s="106" t="n">
        <f aca="false">MAX(0,N(G210)*1-SUMPRODUCT(G186:G209,$F$12:$F$35))</f>
        <v>10.8</v>
      </c>
      <c r="H211" s="106" t="n">
        <f aca="false">MAX(0,N(H210)*1-SUMPRODUCT(H186:H209,$F$12:$F$35))</f>
        <v>24</v>
      </c>
      <c r="I211" s="106" t="n">
        <f aca="false">MAX(0,N(I210)*1-SUMPRODUCT(I186:I209,$F$12:$F$35))</f>
        <v>26.3</v>
      </c>
      <c r="J211" s="106" t="n">
        <f aca="false">MAX(0,N(J210)*1-SUMPRODUCT(J186:J209,$F$12:$F$35))</f>
        <v>38</v>
      </c>
      <c r="K211" s="106" t="n">
        <f aca="false">MAX(0,N(K210)*1-SUMPRODUCT(K186:K209,$F$12:$F$35))</f>
        <v>78.5</v>
      </c>
      <c r="L211" s="106" t="n">
        <f aca="false">MAX(0,N(L210)*1-SUMPRODUCT(L186:L209,$F$12:$F$35))</f>
        <v>109.1</v>
      </c>
      <c r="M211" s="106" t="n">
        <f aca="false">MAX(0,N(M210)*1-SUMPRODUCT(M186:M209,$F$12:$F$35))</f>
        <v>170</v>
      </c>
      <c r="N211" s="106" t="n">
        <f aca="false">MAX(0,N(N210)*1-SUMPRODUCT(N186:N209,$F$12:$F$35))</f>
        <v>291.7</v>
      </c>
      <c r="O211" s="106" t="n">
        <f aca="false">MAX(0,N(O210)*1-SUMPRODUCT(O186:O209,$F$12:$F$35))</f>
        <v>413.3</v>
      </c>
      <c r="P211" s="103" t="n">
        <f aca="false">MAX(0,N(P210)*1-SUMPRODUCT(P186:P209,$F$12:$F$35))</f>
        <v>650</v>
      </c>
      <c r="Q211" s="103" t="n">
        <f aca="false">MAX(0,N(Q210)*1-SUMPRODUCT(Q186:Q209,$F$12:$F$35))</f>
        <v>900</v>
      </c>
      <c r="R211" s="103" t="n">
        <f aca="false">MAX(0,N(R210)*1-SUMPRODUCT(R186:R209,$F$12:$F$35))</f>
        <v>1125</v>
      </c>
      <c r="S211" s="103" t="n">
        <f aca="false">MAX(0,N(S210)*1-SUMPRODUCT(S186:S209,$F$12:$F$35))</f>
        <v>1350</v>
      </c>
      <c r="T211" s="103" t="n">
        <f aca="false">MAX(0,N(T210)*1-SUMPRODUCT(T186:T209,$F$12:$F$35))</f>
        <v>1575</v>
      </c>
      <c r="U211" s="103" t="n">
        <f aca="false">MAX(0,N(U210)*1-SUMPRODUCT(U186:U209,$F$12:$F$35))</f>
        <v>1800</v>
      </c>
      <c r="V211" s="103" t="n">
        <f aca="false">MAX(0,N(V210)*1-SUMPRODUCT(V186:V209,$F$12:$F$35))</f>
        <v>2050</v>
      </c>
      <c r="W211" s="103" t="n">
        <f aca="false">MAX(0,N(W210)*1-SUMPRODUCT(W186:W209,$F$12:$F$35))</f>
        <v>2300</v>
      </c>
      <c r="X211" s="103" t="n">
        <f aca="false">MAX(0,N(X210)*1-SUMPRODUCT(X186:X209,$F$12:$F$35))</f>
        <v>2550</v>
      </c>
      <c r="Y211" s="103" t="n">
        <f aca="false">MAX(0,N(Y210)*1-SUMPRODUCT(Y186:Y209,$F$12:$F$35))</f>
        <v>2800</v>
      </c>
      <c r="Z211" s="103" t="n">
        <f aca="false">MAX(0,N(Z210)*1-SUMPRODUCT(Z186:Z209,$F$12:$F$35))</f>
        <v>3050</v>
      </c>
      <c r="AA211" s="103" t="n">
        <f aca="false">MAX(0,N(AA210)*1-SUMPRODUCT(AA186:AA209,$F$12:$F$35))</f>
        <v>3300</v>
      </c>
      <c r="AB211" s="103" t="n">
        <f aca="false">MAX(0,N(AB210)*1-SUMPRODUCT(AB186:AB209,$F$12:$F$35))</f>
        <v>3550</v>
      </c>
      <c r="AC211" s="103" t="n">
        <f aca="false">MAX(0,N(AC210)*1-SUMPRODUCT(AC186:AC209,$F$12:$F$35))</f>
        <v>3800</v>
      </c>
      <c r="AD211" s="103" t="n">
        <f aca="false">MAX(0,N(AD210)*1-SUMPRODUCT(AD186:AD209,$F$12:$F$35))</f>
        <v>4050</v>
      </c>
      <c r="AE211" s="103" t="n">
        <f aca="false">MAX(0,N(AE210)*1-SUMPRODUCT(AE186:AE209,$F$12:$F$35))</f>
        <v>4300</v>
      </c>
      <c r="AF211" s="103" t="n">
        <f aca="false">MAX(0,N(AF210)*1-SUMPRODUCT(AF186:AF209,$F$12:$F$35))</f>
        <v>4550</v>
      </c>
      <c r="AG211" s="103" t="n">
        <f aca="false">MAX(0,N(AG210)*1-SUMPRODUCT(AG186:AG209,$F$12:$F$35))</f>
        <v>4800</v>
      </c>
      <c r="AI211" s="103" t="n">
        <f aca="false">INDEX($F211:$AG211,1,MATCH(AI$7,$F$7:$AG$7,1))</f>
        <v>26.3</v>
      </c>
      <c r="AJ211" s="103" t="n">
        <f aca="false">INDEX($F211:$AG211,1,MATCH(AJ$7,$F$7:$AG$7,1))</f>
        <v>170</v>
      </c>
      <c r="AK211" s="103" t="n">
        <f aca="false">INDEX($F211:$AG211,1,MATCH(AK$7,$F$7:$AG$7,1))</f>
        <v>900</v>
      </c>
      <c r="AL211" s="103" t="n">
        <f aca="false">INDEX($F211:$AG211,1,MATCH(AL$7,$F$7:$AG$7,1))</f>
        <v>1800</v>
      </c>
      <c r="AM211" s="103" t="n">
        <f aca="false">INDEX($F211:$AG211,1,MATCH(AM$7,$F$7:$AG$7,1))</f>
        <v>2800</v>
      </c>
      <c r="AN211" s="103" t="n">
        <f aca="false">INDEX($F211:$AG211,1,MATCH(AN$7,$F$7:$AG$7,1))</f>
        <v>3800</v>
      </c>
      <c r="AO211" s="103" t="n">
        <f aca="false">INDEX($F211:$AG211,1,MATCH(AO$7,$F$7:$AG$7,1))</f>
        <v>4800</v>
      </c>
    </row>
    <row r="212" customFormat="false" ht="15" hidden="false" customHeight="false" outlineLevel="0" collapsed="false">
      <c r="A212" s="3" t="s">
        <v>1221</v>
      </c>
      <c r="B212" s="18" t="s">
        <v>415</v>
      </c>
      <c r="C212" s="18" t="s">
        <v>336</v>
      </c>
      <c r="D212" s="18" t="s">
        <v>1201</v>
      </c>
      <c r="F212" s="108" t="n">
        <f aca="false">SUMPRODUCT(F186:F209,$F$12:$F$35)+F211</f>
        <v>8.5</v>
      </c>
      <c r="G212" s="108" t="n">
        <f aca="false">SUMPRODUCT(G186:G209,$F$12:$F$35)+G211</f>
        <v>10.8</v>
      </c>
      <c r="H212" s="108" t="n">
        <f aca="false">SUMPRODUCT(H186:H209,$F$12:$F$35)+H211</f>
        <v>24</v>
      </c>
      <c r="I212" s="108" t="n">
        <f aca="false">SUMPRODUCT(I186:I209,$F$12:$F$35)+I211</f>
        <v>26.3</v>
      </c>
      <c r="J212" s="108" t="n">
        <f aca="false">SUMPRODUCT(J186:J209,$F$12:$F$35)+J211</f>
        <v>38</v>
      </c>
      <c r="K212" s="108" t="n">
        <f aca="false">SUMPRODUCT(K186:K209,$F$12:$F$35)+K211</f>
        <v>78.5</v>
      </c>
      <c r="L212" s="108" t="n">
        <f aca="false">SUMPRODUCT(L186:L209,$F$12:$F$35)+L211</f>
        <v>109.1</v>
      </c>
      <c r="M212" s="108" t="n">
        <f aca="false">SUMPRODUCT(M186:M209,$F$12:$F$35)+M211</f>
        <v>170</v>
      </c>
      <c r="N212" s="108" t="n">
        <f aca="false">SUMPRODUCT(N186:N209,$F$12:$F$35)+N211</f>
        <v>291.7</v>
      </c>
      <c r="O212" s="108" t="n">
        <f aca="false">SUMPRODUCT(O186:O209,$F$12:$F$35)+O211</f>
        <v>413.3</v>
      </c>
      <c r="P212" s="109" t="n">
        <f aca="false">SUMPRODUCT(P186:P209,$F$12:$F$35)+P211</f>
        <v>650</v>
      </c>
      <c r="Q212" s="109" t="n">
        <f aca="false">SUMPRODUCT(Q186:Q209,$F$12:$F$35)+Q211</f>
        <v>900</v>
      </c>
      <c r="R212" s="109" t="n">
        <f aca="false">SUMPRODUCT(R186:R209,$F$12:$F$35)+R211</f>
        <v>1125</v>
      </c>
      <c r="S212" s="109" t="n">
        <f aca="false">SUMPRODUCT(S186:S209,$F$12:$F$35)+S211</f>
        <v>1350</v>
      </c>
      <c r="T212" s="109" t="n">
        <f aca="false">SUMPRODUCT(T186:T209,$F$12:$F$35)+T211</f>
        <v>1575</v>
      </c>
      <c r="U212" s="109" t="n">
        <f aca="false">SUMPRODUCT(U186:U209,$F$12:$F$35)+U211</f>
        <v>1800</v>
      </c>
      <c r="V212" s="109" t="n">
        <f aca="false">SUMPRODUCT(V186:V209,$F$12:$F$35)+V211</f>
        <v>2050</v>
      </c>
      <c r="W212" s="109" t="n">
        <f aca="false">SUMPRODUCT(W186:W209,$F$12:$F$35)+W211</f>
        <v>2300</v>
      </c>
      <c r="X212" s="109" t="n">
        <f aca="false">SUMPRODUCT(X186:X209,$F$12:$F$35)+X211</f>
        <v>2550</v>
      </c>
      <c r="Y212" s="109" t="n">
        <f aca="false">SUMPRODUCT(Y186:Y209,$F$12:$F$35)+Y211</f>
        <v>2800</v>
      </c>
      <c r="Z212" s="109" t="n">
        <f aca="false">SUMPRODUCT(Z186:Z209,$F$12:$F$35)+Z211</f>
        <v>3050</v>
      </c>
      <c r="AA212" s="109" t="n">
        <f aca="false">SUMPRODUCT(AA186:AA209,$F$12:$F$35)+AA211</f>
        <v>3300</v>
      </c>
      <c r="AB212" s="109" t="n">
        <f aca="false">SUMPRODUCT(AB186:AB209,$F$12:$F$35)+AB211</f>
        <v>3550</v>
      </c>
      <c r="AC212" s="109" t="n">
        <f aca="false">SUMPRODUCT(AC186:AC209,$F$12:$F$35)+AC211</f>
        <v>3800</v>
      </c>
      <c r="AD212" s="109" t="n">
        <f aca="false">SUMPRODUCT(AD186:AD209,$F$12:$F$35)+AD211</f>
        <v>4050</v>
      </c>
      <c r="AE212" s="109" t="n">
        <f aca="false">SUMPRODUCT(AE186:AE209,$F$12:$F$35)+AE211</f>
        <v>4300</v>
      </c>
      <c r="AF212" s="109" t="n">
        <f aca="false">SUMPRODUCT(AF186:AF209,$F$12:$F$35)+AF211</f>
        <v>4550</v>
      </c>
      <c r="AG212" s="109" t="n">
        <f aca="false">SUMPRODUCT(AG186:AG209,$F$12:$F$35)+AG211</f>
        <v>4800</v>
      </c>
      <c r="AI212" s="109" t="n">
        <f aca="false">INDEX($F212:$AG212,1,MATCH(AI$7,$F$7:$AG$7,1))</f>
        <v>26.3</v>
      </c>
      <c r="AJ212" s="109" t="n">
        <f aca="false">INDEX($F212:$AG212,1,MATCH(AJ$7,$F$7:$AG$7,1))</f>
        <v>170</v>
      </c>
      <c r="AK212" s="109" t="n">
        <f aca="false">INDEX($F212:$AG212,1,MATCH(AK$7,$F$7:$AG$7,1))</f>
        <v>900</v>
      </c>
      <c r="AL212" s="109" t="n">
        <f aca="false">INDEX($F212:$AG212,1,MATCH(AL$7,$F$7:$AG$7,1))</f>
        <v>1800</v>
      </c>
      <c r="AM212" s="109" t="n">
        <f aca="false">INDEX($F212:$AG212,1,MATCH(AM$7,$F$7:$AG$7,1))</f>
        <v>2800</v>
      </c>
      <c r="AN212" s="109" t="n">
        <f aca="false">INDEX($F212:$AG212,1,MATCH(AN$7,$F$7:$AG$7,1))</f>
        <v>3800</v>
      </c>
      <c r="AO212" s="109" t="n">
        <f aca="false">INDEX($F212:$AG212,1,MATCH(AO$7,$F$7:$AG$7,1))</f>
        <v>4800</v>
      </c>
    </row>
    <row r="213" customFormat="false" ht="15" hidden="false" customHeight="false" outlineLevel="0" collapsed="false">
      <c r="A213" s="101" t="s">
        <v>1222</v>
      </c>
      <c r="B213" s="18" t="s">
        <v>415</v>
      </c>
      <c r="C213" s="18" t="s">
        <v>336</v>
      </c>
      <c r="D213" s="18"/>
      <c r="F213" s="106" t="n">
        <f aca="false">SUMPRODUCT(F186:F209,$F$12:$F$35,$G$12:$G$35)+F211*INDEX(OwnedSh,1,F$7-FYBase)</f>
        <v>2.55</v>
      </c>
      <c r="G213" s="106" t="n">
        <f aca="false">SUMPRODUCT(G186:G209,$F$12:$F$35,$G$12:$G$35)+G211*INDEX(OwnedSh,1,G$7-FYBase)</f>
        <v>3.24</v>
      </c>
      <c r="H213" s="106" t="n">
        <f aca="false">SUMPRODUCT(H186:H209,$F$12:$F$35,$G$12:$G$35)+H211*INDEX(OwnedSh,1,H$7-FYBase)</f>
        <v>7.2</v>
      </c>
      <c r="I213" s="106" t="n">
        <f aca="false">SUMPRODUCT(I186:I209,$F$12:$F$35,$G$12:$G$35)+I211*INDEX(OwnedSh,1,I$7-FYBase)</f>
        <v>7.89</v>
      </c>
      <c r="J213" s="106" t="n">
        <f aca="false">SUMPRODUCT(J186:J209,$F$12:$F$35,$G$12:$G$35)+J211*INDEX(OwnedSh,1,J$7-FYBase)</f>
        <v>11.4</v>
      </c>
      <c r="K213" s="106" t="n">
        <f aca="false">SUMPRODUCT(K186:K209,$F$12:$F$35,$G$12:$G$35)+K211*INDEX(OwnedSh,1,K$7-FYBase)</f>
        <v>23.55</v>
      </c>
      <c r="L213" s="106" t="n">
        <f aca="false">SUMPRODUCT(L186:L209,$F$12:$F$35,$G$12:$G$35)+L211*INDEX(OwnedSh,1,L$7-FYBase)</f>
        <v>32.73</v>
      </c>
      <c r="M213" s="106" t="n">
        <f aca="false">SUMPRODUCT(M186:M209,$F$12:$F$35,$G$12:$G$35)+M211*INDEX(OwnedSh,1,M$7-FYBase)</f>
        <v>51</v>
      </c>
      <c r="N213" s="106" t="n">
        <f aca="false">SUMPRODUCT(N186:N209,$F$12:$F$35,$G$12:$G$35)+N211*INDEX(OwnedSh,1,N$7-FYBase)</f>
        <v>87.51</v>
      </c>
      <c r="O213" s="106" t="n">
        <f aca="false">SUMPRODUCT(O186:O209,$F$12:$F$35,$G$12:$G$35)+O211*INDEX(OwnedSh,1,O$7-FYBase)</f>
        <v>123.99</v>
      </c>
      <c r="P213" s="103" t="n">
        <f aca="false">SUMPRODUCT(P186:P209,$F$12:$F$35,$G$12:$G$35)+P211*INDEX(OwnedSh,1,P$7-FYBase)</f>
        <v>195</v>
      </c>
      <c r="Q213" s="103" t="n">
        <f aca="false">SUMPRODUCT(Q186:Q209,$F$12:$F$35,$G$12:$G$35)+Q211*INDEX(OwnedSh,1,Q$7-FYBase)</f>
        <v>270</v>
      </c>
      <c r="R213" s="103" t="n">
        <f aca="false">SUMPRODUCT(R186:R209,$F$12:$F$35,$G$12:$G$35)+R211*INDEX(OwnedSh,1,R$7-FYBase)</f>
        <v>562.5</v>
      </c>
      <c r="S213" s="103" t="n">
        <f aca="false">SUMPRODUCT(S186:S209,$F$12:$F$35,$G$12:$G$35)+S211*INDEX(OwnedSh,1,S$7-FYBase)</f>
        <v>675</v>
      </c>
      <c r="T213" s="103" t="n">
        <f aca="false">SUMPRODUCT(T186:T209,$F$12:$F$35,$G$12:$G$35)+T211*INDEX(OwnedSh,1,T$7-FYBase)</f>
        <v>787.5</v>
      </c>
      <c r="U213" s="103" t="n">
        <f aca="false">SUMPRODUCT(U186:U209,$F$12:$F$35,$G$12:$G$35)+U211*INDEX(OwnedSh,1,U$7-FYBase)</f>
        <v>900</v>
      </c>
      <c r="V213" s="103" t="n">
        <f aca="false">SUMPRODUCT(V186:V209,$F$12:$F$35,$G$12:$G$35)+V211*INDEX(OwnedSh,1,V$7-FYBase)</f>
        <v>1332.5</v>
      </c>
      <c r="W213" s="103" t="n">
        <f aca="false">SUMPRODUCT(W186:W209,$F$12:$F$35,$G$12:$G$35)+W211*INDEX(OwnedSh,1,W$7-FYBase)</f>
        <v>1495</v>
      </c>
      <c r="X213" s="103" t="n">
        <f aca="false">SUMPRODUCT(X186:X209,$F$12:$F$35,$G$12:$G$35)+X211*INDEX(OwnedSh,1,X$7-FYBase)</f>
        <v>1657.5</v>
      </c>
      <c r="Y213" s="103" t="n">
        <f aca="false">SUMPRODUCT(Y186:Y209,$F$12:$F$35,$G$12:$G$35)+Y211*INDEX(OwnedSh,1,Y$7-FYBase)</f>
        <v>1820</v>
      </c>
      <c r="Z213" s="103" t="n">
        <f aca="false">SUMPRODUCT(Z186:Z209,$F$12:$F$35,$G$12:$G$35)+Z211*INDEX(OwnedSh,1,Z$7-FYBase)</f>
        <v>2135</v>
      </c>
      <c r="AA213" s="103" t="n">
        <f aca="false">SUMPRODUCT(AA186:AA209,$F$12:$F$35,$G$12:$G$35)+AA211*INDEX(OwnedSh,1,AA$7-FYBase)</f>
        <v>2310</v>
      </c>
      <c r="AB213" s="103" t="n">
        <f aca="false">SUMPRODUCT(AB186:AB209,$F$12:$F$35,$G$12:$G$35)+AB211*INDEX(OwnedSh,1,AB$7-FYBase)</f>
        <v>2485</v>
      </c>
      <c r="AC213" s="103" t="n">
        <f aca="false">SUMPRODUCT(AC186:AC209,$F$12:$F$35,$G$12:$G$35)+AC211*INDEX(OwnedSh,1,AC$7-FYBase)</f>
        <v>2660</v>
      </c>
      <c r="AD213" s="103" t="n">
        <f aca="false">SUMPRODUCT(AD186:AD209,$F$12:$F$35,$G$12:$G$35)+AD211*INDEX(OwnedSh,1,AD$7-FYBase)</f>
        <v>3037.5</v>
      </c>
      <c r="AE213" s="103" t="n">
        <f aca="false">SUMPRODUCT(AE186:AE209,$F$12:$F$35,$G$12:$G$35)+AE211*INDEX(OwnedSh,1,AE$7-FYBase)</f>
        <v>3225</v>
      </c>
      <c r="AF213" s="103" t="n">
        <f aca="false">SUMPRODUCT(AF186:AF209,$F$12:$F$35,$G$12:$G$35)+AF211*INDEX(OwnedSh,1,AF$7-FYBase)</f>
        <v>3412.5</v>
      </c>
      <c r="AG213" s="103" t="n">
        <f aca="false">SUMPRODUCT(AG186:AG209,$F$12:$F$35,$G$12:$G$35)+AG211*INDEX(OwnedSh,1,AG$7-FYBase)</f>
        <v>3600</v>
      </c>
      <c r="AI213" s="103" t="n">
        <f aca="false">INDEX($F213:$AG213,1,MATCH(AI$7,$F$7:$AG$7,1))</f>
        <v>7.89</v>
      </c>
      <c r="AJ213" s="103" t="n">
        <f aca="false">INDEX($F213:$AG213,1,MATCH(AJ$7,$F$7:$AG$7,1))</f>
        <v>51</v>
      </c>
      <c r="AK213" s="103" t="n">
        <f aca="false">INDEX($F213:$AG213,1,MATCH(AK$7,$F$7:$AG$7,1))</f>
        <v>270</v>
      </c>
      <c r="AL213" s="103" t="n">
        <f aca="false">INDEX($F213:$AG213,1,MATCH(AL$7,$F$7:$AG$7,1))</f>
        <v>900</v>
      </c>
      <c r="AM213" s="103" t="n">
        <f aca="false">INDEX($F213:$AG213,1,MATCH(AM$7,$F$7:$AG$7,1))</f>
        <v>1820</v>
      </c>
      <c r="AN213" s="103" t="n">
        <f aca="false">INDEX($F213:$AG213,1,MATCH(AN$7,$F$7:$AG$7,1))</f>
        <v>2660</v>
      </c>
      <c r="AO213" s="103" t="n">
        <f aca="false">INDEX($F213:$AG213,1,MATCH(AO$7,$F$7:$AG$7,1))</f>
        <v>3600</v>
      </c>
    </row>
    <row r="215" customFormat="false" ht="15" hidden="false" customHeight="false" outlineLevel="0" collapsed="false">
      <c r="A215" s="48" t="s">
        <v>1223</v>
      </c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</row>
    <row r="216" customFormat="false" ht="15" hidden="false" customHeight="false" outlineLevel="0" collapsed="false">
      <c r="A216" s="101" t="s">
        <v>1224</v>
      </c>
      <c r="B216" s="18" t="s">
        <v>456</v>
      </c>
      <c r="C216" s="18" t="s">
        <v>354</v>
      </c>
      <c r="D216" s="18" t="s">
        <v>1225</v>
      </c>
      <c r="F216" s="60" t="n">
        <v>13713</v>
      </c>
      <c r="G216" s="60" t="n">
        <v>13713</v>
      </c>
      <c r="H216" s="60" t="n">
        <v>13713</v>
      </c>
      <c r="I216" s="60" t="n">
        <v>16456</v>
      </c>
      <c r="J216" s="60" t="n">
        <v>21941</v>
      </c>
      <c r="K216" s="60" t="n">
        <v>24684</v>
      </c>
      <c r="L216" s="60" t="n">
        <v>24684</v>
      </c>
      <c r="M216" s="60" t="n">
        <v>24684</v>
      </c>
      <c r="N216" s="60" t="n">
        <v>24684</v>
      </c>
      <c r="O216" s="60" t="n">
        <v>24684</v>
      </c>
      <c r="P216" s="60" t="n">
        <v>24684</v>
      </c>
      <c r="Q216" s="60" t="n">
        <v>24684</v>
      </c>
      <c r="R216" s="60" t="n">
        <v>24684</v>
      </c>
      <c r="S216" s="60" t="n">
        <v>24684</v>
      </c>
      <c r="T216" s="60" t="n">
        <v>24684</v>
      </c>
      <c r="U216" s="60" t="n">
        <v>24684</v>
      </c>
      <c r="V216" s="60" t="n">
        <v>24684</v>
      </c>
      <c r="W216" s="60" t="n">
        <v>24684</v>
      </c>
      <c r="X216" s="60" t="n">
        <v>24684</v>
      </c>
      <c r="Y216" s="60" t="n">
        <v>24684</v>
      </c>
      <c r="Z216" s="60" t="n">
        <v>24684</v>
      </c>
      <c r="AA216" s="60" t="n">
        <v>24684</v>
      </c>
      <c r="AB216" s="60" t="n">
        <v>24684</v>
      </c>
      <c r="AC216" s="60" t="n">
        <v>24684</v>
      </c>
      <c r="AD216" s="60" t="n">
        <v>24684</v>
      </c>
      <c r="AE216" s="60" t="n">
        <v>24684</v>
      </c>
      <c r="AF216" s="60" t="n">
        <v>24684</v>
      </c>
      <c r="AG216" s="60" t="n">
        <v>24684</v>
      </c>
      <c r="AI216" s="25" t="n">
        <f aca="false">INDEX($F216:$AG216,1,MATCH(AI$7,$F$7:$AG$7,1))</f>
        <v>16456</v>
      </c>
      <c r="AJ216" s="25" t="n">
        <f aca="false">INDEX($F216:$AG216,1,MATCH(AJ$7,$F$7:$AG$7,1))</f>
        <v>24684</v>
      </c>
      <c r="AK216" s="25" t="n">
        <f aca="false">INDEX($F216:$AG216,1,MATCH(AK$7,$F$7:$AG$7,1))</f>
        <v>24684</v>
      </c>
      <c r="AL216" s="25" t="n">
        <f aca="false">INDEX($F216:$AG216,1,MATCH(AL$7,$F$7:$AG$7,1))</f>
        <v>24684</v>
      </c>
      <c r="AM216" s="25" t="n">
        <f aca="false">INDEX($F216:$AG216,1,MATCH(AM$7,$F$7:$AG$7,1))</f>
        <v>24684</v>
      </c>
      <c r="AN216" s="25" t="n">
        <f aca="false">INDEX($F216:$AG216,1,MATCH(AN$7,$F$7:$AG$7,1))</f>
        <v>24684</v>
      </c>
      <c r="AO216" s="25" t="n">
        <f aca="false">INDEX($F216:$AG216,1,MATCH(AO$7,$F$7:$AG$7,1))</f>
        <v>24684</v>
      </c>
    </row>
    <row r="217" customFormat="false" ht="15" hidden="false" customHeight="false" outlineLevel="0" collapsed="false">
      <c r="A217" s="101" t="s">
        <v>1226</v>
      </c>
      <c r="B217" s="18" t="s">
        <v>456</v>
      </c>
      <c r="C217" s="18" t="s">
        <v>354</v>
      </c>
      <c r="D217" s="18" t="s">
        <v>1225</v>
      </c>
      <c r="F217" s="60" t="n">
        <v>0</v>
      </c>
      <c r="G217" s="60" t="n">
        <v>0</v>
      </c>
      <c r="H217" s="60" t="n">
        <v>0</v>
      </c>
      <c r="I217" s="60" t="n">
        <v>0</v>
      </c>
      <c r="J217" s="60" t="n">
        <v>0</v>
      </c>
      <c r="K217" s="60" t="n">
        <v>0</v>
      </c>
      <c r="L217" s="60" t="n">
        <v>7072</v>
      </c>
      <c r="M217" s="60" t="n">
        <v>44327</v>
      </c>
      <c r="N217" s="60" t="n">
        <v>54995</v>
      </c>
      <c r="O217" s="60" t="n">
        <v>55732</v>
      </c>
      <c r="P217" s="60" t="n">
        <v>71888</v>
      </c>
      <c r="Q217" s="60" t="n">
        <v>112655</v>
      </c>
      <c r="R217" s="60" t="n">
        <v>167529</v>
      </c>
      <c r="S217" s="60" t="n">
        <v>219513</v>
      </c>
      <c r="T217" s="60" t="n">
        <v>244725</v>
      </c>
      <c r="U217" s="60" t="n">
        <v>290387</v>
      </c>
      <c r="V217" s="60" t="n">
        <v>290387</v>
      </c>
      <c r="W217" s="60" t="n">
        <v>290387</v>
      </c>
      <c r="X217" s="60" t="n">
        <v>290387</v>
      </c>
      <c r="Y217" s="60" t="n">
        <v>314945</v>
      </c>
      <c r="Z217" s="60" t="n">
        <v>314945</v>
      </c>
      <c r="AA217" s="60" t="n">
        <v>314945</v>
      </c>
      <c r="AB217" s="60" t="n">
        <v>314945</v>
      </c>
      <c r="AC217" s="60" t="n">
        <v>314945</v>
      </c>
      <c r="AD217" s="60" t="n">
        <v>314945</v>
      </c>
      <c r="AE217" s="60" t="n">
        <v>314945</v>
      </c>
      <c r="AF217" s="60" t="n">
        <v>314945</v>
      </c>
      <c r="AG217" s="60" t="n">
        <v>314945</v>
      </c>
      <c r="AI217" s="25" t="n">
        <f aca="false">INDEX($F217:$AG217,1,MATCH(AI$7,$F$7:$AG$7,1))</f>
        <v>0</v>
      </c>
      <c r="AJ217" s="25" t="n">
        <f aca="false">INDEX($F217:$AG217,1,MATCH(AJ$7,$F$7:$AG$7,1))</f>
        <v>44327</v>
      </c>
      <c r="AK217" s="25" t="n">
        <f aca="false">INDEX($F217:$AG217,1,MATCH(AK$7,$F$7:$AG$7,1))</f>
        <v>112655</v>
      </c>
      <c r="AL217" s="25" t="n">
        <f aca="false">INDEX($F217:$AG217,1,MATCH(AL$7,$F$7:$AG$7,1))</f>
        <v>290387</v>
      </c>
      <c r="AM217" s="25" t="n">
        <f aca="false">INDEX($F217:$AG217,1,MATCH(AM$7,$F$7:$AG$7,1))</f>
        <v>314945</v>
      </c>
      <c r="AN217" s="25" t="n">
        <f aca="false">INDEX($F217:$AG217,1,MATCH(AN$7,$F$7:$AG$7,1))</f>
        <v>314945</v>
      </c>
      <c r="AO217" s="25" t="n">
        <f aca="false">INDEX($F217:$AG217,1,MATCH(AO$7,$F$7:$AG$7,1))</f>
        <v>314945</v>
      </c>
    </row>
    <row r="218" customFormat="false" ht="15" hidden="false" customHeight="false" outlineLevel="0" collapsed="false">
      <c r="A218" s="101" t="s">
        <v>1227</v>
      </c>
      <c r="B218" s="18" t="s">
        <v>456</v>
      </c>
      <c r="C218" s="18" t="s">
        <v>354</v>
      </c>
      <c r="D218" s="18" t="s">
        <v>1225</v>
      </c>
      <c r="F218" s="60" t="n">
        <v>0</v>
      </c>
      <c r="G218" s="60" t="n">
        <v>0</v>
      </c>
      <c r="H218" s="60" t="n">
        <v>0</v>
      </c>
      <c r="I218" s="60" t="n">
        <v>0</v>
      </c>
      <c r="J218" s="60" t="n">
        <v>0</v>
      </c>
      <c r="K218" s="60" t="n">
        <v>0</v>
      </c>
      <c r="L218" s="60" t="n">
        <v>0</v>
      </c>
      <c r="M218" s="60" t="n">
        <v>0</v>
      </c>
      <c r="N218" s="60" t="n">
        <v>0</v>
      </c>
      <c r="O218" s="60" t="n">
        <v>0</v>
      </c>
      <c r="P218" s="60" t="n">
        <v>0</v>
      </c>
      <c r="Q218" s="60" t="n">
        <v>0</v>
      </c>
      <c r="R218" s="60" t="n">
        <v>3338</v>
      </c>
      <c r="S218" s="60" t="n">
        <v>11348</v>
      </c>
      <c r="T218" s="60" t="n">
        <v>40045</v>
      </c>
      <c r="U218" s="60" t="n">
        <v>97446</v>
      </c>
      <c r="V218" s="60" t="n">
        <v>128146</v>
      </c>
      <c r="W218" s="60" t="n">
        <v>180210</v>
      </c>
      <c r="X218" s="60" t="n">
        <v>184210</v>
      </c>
      <c r="Y218" s="60" t="n">
        <v>277660</v>
      </c>
      <c r="Z218" s="60" t="n">
        <v>277660</v>
      </c>
      <c r="AA218" s="60" t="n">
        <v>389800</v>
      </c>
      <c r="AB218" s="60" t="n">
        <v>389800</v>
      </c>
      <c r="AC218" s="60" t="n">
        <v>545995</v>
      </c>
      <c r="AD218" s="60" t="n">
        <v>545995</v>
      </c>
      <c r="AE218" s="60" t="n">
        <v>545995</v>
      </c>
      <c r="AF218" s="60" t="n">
        <v>545995</v>
      </c>
      <c r="AG218" s="60" t="n">
        <v>699520</v>
      </c>
      <c r="AI218" s="25" t="n">
        <f aca="false">INDEX($F218:$AG218,1,MATCH(AI$7,$F$7:$AG$7,1))</f>
        <v>0</v>
      </c>
      <c r="AJ218" s="25" t="n">
        <f aca="false">INDEX($F218:$AG218,1,MATCH(AJ$7,$F$7:$AG$7,1))</f>
        <v>0</v>
      </c>
      <c r="AK218" s="25" t="n">
        <f aca="false">INDEX($F218:$AG218,1,MATCH(AK$7,$F$7:$AG$7,1))</f>
        <v>0</v>
      </c>
      <c r="AL218" s="25" t="n">
        <f aca="false">INDEX($F218:$AG218,1,MATCH(AL$7,$F$7:$AG$7,1))</f>
        <v>97446</v>
      </c>
      <c r="AM218" s="25" t="n">
        <f aca="false">INDEX($F218:$AG218,1,MATCH(AM$7,$F$7:$AG$7,1))</f>
        <v>277660</v>
      </c>
      <c r="AN218" s="25" t="n">
        <f aca="false">INDEX($F218:$AG218,1,MATCH(AN$7,$F$7:$AG$7,1))</f>
        <v>545995</v>
      </c>
      <c r="AO218" s="25" t="n">
        <f aca="false">INDEX($F218:$AG218,1,MATCH(AO$7,$F$7:$AG$7,1))</f>
        <v>699520</v>
      </c>
    </row>
    <row r="219" customFormat="false" ht="15" hidden="false" customHeight="false" outlineLevel="0" collapsed="false">
      <c r="A219" s="101" t="s">
        <v>1228</v>
      </c>
      <c r="B219" s="18" t="s">
        <v>456</v>
      </c>
      <c r="C219" s="18" t="s">
        <v>1229</v>
      </c>
      <c r="D219" s="18" t="s">
        <v>1230</v>
      </c>
      <c r="F219" s="105" t="n">
        <f aca="false">GPUAnchorOn*(GPU_Q125-(INDEX(FileGPU_H,1,5)+INDEX(FileGPU_B,1,5)+INDEX(FileGPU_N,1,5)))</f>
        <v>8059</v>
      </c>
    </row>
    <row r="220" customFormat="false" ht="15" hidden="false" customHeight="false" outlineLevel="0" collapsed="false">
      <c r="A220" s="101" t="s">
        <v>1231</v>
      </c>
      <c r="B220" s="18" t="s">
        <v>415</v>
      </c>
      <c r="C220" s="18" t="s">
        <v>354</v>
      </c>
      <c r="D220" s="18" t="s">
        <v>1232</v>
      </c>
      <c r="F220" s="105" t="n">
        <f aca="false">N(F41)*$F$12+N(F44)*$F$13+N(F47)*$F$14+N(F50)*$F$15+N(F53)*$F$16+N(F56)*$F$17+N(F59)*$F$18+N(F62)*$F$19+N(F65)*$F$20+N(F68)*$F$21+N(F71)*$F$22+N(F74)*$F$23+N(F77)*$F$24+N(F80)*$F$25+N(F83)*$F$26+N(F86)*$F$27+N(F89)*$F$28+N(F92)*$F$29+N(F95)*$F$30+N(F104)*$F$33+N(F107)*$F$34</f>
        <v>25</v>
      </c>
      <c r="G220" s="105" t="n">
        <f aca="false">N(G41)*$F$12+N(G44)*$F$13+N(G47)*$F$14+N(G50)*$F$15+N(G53)*$F$16+N(G56)*$F$17+N(G59)*$F$18+N(G62)*$F$19+N(G65)*$F$20+N(G68)*$F$21+N(G71)*$F$22+N(G74)*$F$23+N(G77)*$F$24+N(G80)*$F$25+N(G83)*$F$26+N(G86)*$F$27+N(G89)*$F$28+N(G92)*$F$29+N(G95)*$F$30+N(G104)*$F$33+N(G107)*$F$34</f>
        <v>25</v>
      </c>
      <c r="H220" s="105" t="n">
        <f aca="false">N(H41)*$F$12+N(H44)*$F$13+N(H47)*$F$14+N(H50)*$F$15+N(H53)*$F$16+N(H56)*$F$17+N(H59)*$F$18+N(H62)*$F$19+N(H65)*$F$20+N(H68)*$F$21+N(H71)*$F$22+N(H74)*$F$23+N(H77)*$F$24+N(H80)*$F$25+N(H83)*$F$26+N(H86)*$F$27+N(H89)*$F$28+N(H92)*$F$29+N(H95)*$F$30+N(H104)*$F$33+N(H107)*$F$34</f>
        <v>25</v>
      </c>
      <c r="I220" s="105" t="n">
        <f aca="false">N(I41)*$F$12+N(I44)*$F$13+N(I47)*$F$14+N(I50)*$F$15+N(I53)*$F$16+N(I56)*$F$17+N(I59)*$F$18+N(I62)*$F$19+N(I65)*$F$20+N(I68)*$F$21+N(I71)*$F$22+N(I74)*$F$23+N(I77)*$F$24+N(I80)*$F$25+N(I83)*$F$26+N(I86)*$F$27+N(I89)*$F$28+N(I92)*$F$29+N(I95)*$F$30+N(I104)*$F$33+N(I107)*$F$34</f>
        <v>30</v>
      </c>
      <c r="J220" s="105" t="n">
        <f aca="false">N(J41)*$F$12+N(J44)*$F$13+N(J47)*$F$14+N(J50)*$F$15+N(J53)*$F$16+N(J56)*$F$17+N(J59)*$F$18+N(J62)*$F$19+N(J65)*$F$20+N(J68)*$F$21+N(J71)*$F$22+N(J74)*$F$23+N(J77)*$F$24+N(J80)*$F$25+N(J83)*$F$26+N(J86)*$F$27+N(J89)*$F$28+N(J92)*$F$29+N(J95)*$F$30+N(J104)*$F$33+N(J107)*$F$34</f>
        <v>40</v>
      </c>
      <c r="K220" s="105" t="n">
        <f aca="false">N(K41)*$F$12+N(K44)*$F$13+N(K47)*$F$14+N(K50)*$F$15+N(K53)*$F$16+N(K56)*$F$17+N(K59)*$F$18+N(K62)*$F$19+N(K65)*$F$20+N(K68)*$F$21+N(K71)*$F$22+N(K74)*$F$23+N(K77)*$F$24+N(K80)*$F$25+N(K83)*$F$26+N(K86)*$F$27+N(K89)*$F$28+N(K92)*$F$29+N(K95)*$F$30+N(K104)*$F$33+N(K107)*$F$34</f>
        <v>45</v>
      </c>
      <c r="L220" s="105" t="n">
        <f aca="false">N(L41)*$F$12+N(L44)*$F$13+N(L47)*$F$14+N(L50)*$F$15+N(L53)*$F$16+N(L56)*$F$17+N(L59)*$F$18+N(L62)*$F$19+N(L65)*$F$20+N(L68)*$F$21+N(L71)*$F$22+N(L74)*$F$23+N(L77)*$F$24+N(L80)*$F$25+N(L83)*$F$26+N(L86)*$F$27+N(L89)*$F$28+N(L92)*$F$29+N(L95)*$F$30+N(L104)*$F$33+N(L107)*$F$34</f>
        <v>62.5</v>
      </c>
      <c r="M220" s="105" t="n">
        <f aca="false">N(M41)*$F$12+N(M44)*$F$13+N(M47)*$F$14+N(M50)*$F$15+N(M53)*$F$16+N(M56)*$F$17+N(M59)*$F$18+N(M62)*$F$19+N(M65)*$F$20+N(M68)*$F$21+N(M71)*$F$22+N(M74)*$F$23+N(M77)*$F$24+N(M80)*$F$25+N(M83)*$F$26+N(M86)*$F$27+N(M89)*$F$28+N(M92)*$F$29+N(M95)*$F$30+N(M104)*$F$33+N(M107)*$F$34</f>
        <v>147.7</v>
      </c>
      <c r="N220" s="105" t="n">
        <f aca="false">N(N41)*$F$12+N(N44)*$F$13+N(N47)*$F$14+N(N50)*$F$15+N(N53)*$F$16+N(N56)*$F$17+N(N59)*$F$18+N(N62)*$F$19+N(N65)*$F$20+N(N68)*$F$21+N(N71)*$F$22+N(N74)*$F$23+N(N77)*$F$24+N(N80)*$F$25+N(N83)*$F$26+N(N86)*$F$27+N(N89)*$F$28+N(N92)*$F$29+N(N95)*$F$30+N(N104)*$F$33+N(N107)*$F$34</f>
        <v>171.5</v>
      </c>
      <c r="O220" s="105" t="n">
        <f aca="false">N(O41)*$F$12+N(O44)*$F$13+N(O47)*$F$14+N(O50)*$F$15+N(O53)*$F$16+N(O56)*$F$17+N(O59)*$F$18+N(O62)*$F$19+N(O65)*$F$20+N(O68)*$F$21+N(O71)*$F$22+N(O74)*$F$23+N(O77)*$F$24+N(O80)*$F$25+N(O83)*$F$26+N(O86)*$F$27+N(O89)*$F$28+N(O92)*$F$29+N(O95)*$F$30+N(O104)*$F$33+N(O107)*$F$34</f>
        <v>173</v>
      </c>
      <c r="P220" s="25" t="n">
        <f aca="false">N(P41)*$F$12+N(P44)*$F$13+N(P47)*$F$14+N(P50)*$F$15+N(P53)*$F$16+N(P56)*$F$17+N(P59)*$F$18+N(P62)*$F$19+N(P65)*$F$20+N(P68)*$F$21+N(P71)*$F$22+N(P74)*$F$23+N(P77)*$F$24+N(P80)*$F$25+N(P83)*$F$26+N(P86)*$F$27+N(P89)*$F$28+N(P92)*$F$29+N(P95)*$F$30+N(P104)*$F$33+N(P107)*$F$34</f>
        <v>207.5</v>
      </c>
      <c r="Q220" s="25" t="n">
        <f aca="false">N(Q41)*$F$12+N(Q44)*$F$13+N(Q47)*$F$14+N(Q50)*$F$15+N(Q53)*$F$16+N(Q56)*$F$17+N(Q59)*$F$18+N(Q62)*$F$19+N(Q65)*$F$20+N(Q68)*$F$21+N(Q71)*$F$22+N(Q74)*$F$23+N(Q77)*$F$24+N(Q80)*$F$25+N(Q83)*$F$26+N(Q86)*$F$27+N(Q89)*$F$28+N(Q92)*$F$29+N(Q95)*$F$30+N(Q104)*$F$33+N(Q107)*$F$34</f>
        <v>292.4</v>
      </c>
      <c r="R220" s="25" t="n">
        <f aca="false">N(R41)*$F$12+N(R44)*$F$13+N(R47)*$F$14+N(R50)*$F$15+N(R53)*$F$16+N(R56)*$F$17+N(R59)*$F$18+N(R62)*$F$19+N(R65)*$F$20+N(R68)*$F$21+N(R71)*$F$22+N(R74)*$F$23+N(R77)*$F$24+N(R80)*$F$25+N(R83)*$F$26+N(R86)*$F$27+N(R89)*$F$28+N(R92)*$F$29+N(R95)*$F$30+N(R104)*$F$33+N(R107)*$F$34</f>
        <v>416.4</v>
      </c>
      <c r="S220" s="25" t="n">
        <f aca="false">N(S41)*$F$12+N(S44)*$F$13+N(S47)*$F$14+N(S50)*$F$15+N(S53)*$F$16+N(S56)*$F$17+N(S59)*$F$18+N(S62)*$F$19+N(S65)*$F$20+N(S68)*$F$21+N(S71)*$F$22+N(S74)*$F$23+N(S77)*$F$24+N(S80)*$F$25+N(S83)*$F$26+N(S86)*$F$27+N(S89)*$F$28+N(S92)*$F$29+N(S95)*$F$30+N(S104)*$F$33+N(S107)*$F$34</f>
        <v>545.1</v>
      </c>
      <c r="T220" s="25" t="n">
        <f aca="false">N(T41)*$F$12+N(T44)*$F$13+N(T47)*$F$14+N(T50)*$F$15+N(T53)*$F$16+N(T56)*$F$17+N(T59)*$F$18+N(T62)*$F$19+N(T65)*$F$20+N(T68)*$F$21+N(T71)*$F$22+N(T74)*$F$23+N(T77)*$F$24+N(T80)*$F$25+N(T83)*$F$26+N(T86)*$F$27+N(T89)*$F$28+N(T92)*$F$29+N(T95)*$F$30+N(T104)*$F$33+N(T107)*$F$34</f>
        <v>684.5</v>
      </c>
      <c r="U220" s="25" t="n">
        <f aca="false">N(U41)*$F$12+N(U44)*$F$13+N(U47)*$F$14+N(U50)*$F$15+N(U53)*$F$16+N(U56)*$F$17+N(U59)*$F$18+N(U62)*$F$19+N(U65)*$F$20+N(U68)*$F$21+N(U71)*$F$22+N(U74)*$F$23+N(U77)*$F$24+N(U80)*$F$25+N(U83)*$F$26+N(U86)*$F$27+N(U89)*$F$28+N(U92)*$F$29+N(U95)*$F$30+N(U104)*$F$33+N(U107)*$F$34</f>
        <v>950</v>
      </c>
      <c r="V220" s="25" t="n">
        <f aca="false">N(V41)*$F$12+N(V44)*$F$13+N(V47)*$F$14+N(V50)*$F$15+N(V53)*$F$16+N(V56)*$F$17+N(V59)*$F$18+N(V62)*$F$19+N(V65)*$F$20+N(V68)*$F$21+N(V71)*$F$22+N(V74)*$F$23+N(V77)*$F$24+N(V80)*$F$25+N(V83)*$F$26+N(V86)*$F$27+N(V89)*$F$28+N(V92)*$F$29+N(V95)*$F$30+N(V104)*$F$33+N(V107)*$F$34</f>
        <v>1042.5</v>
      </c>
      <c r="W220" s="25" t="n">
        <f aca="false">N(W41)*$F$12+N(W44)*$F$13+N(W47)*$F$14+N(W50)*$F$15+N(W53)*$F$16+N(W56)*$F$17+N(W59)*$F$18+N(W62)*$F$19+N(W65)*$F$20+N(W68)*$F$21+N(W71)*$F$22+N(W74)*$F$23+N(W77)*$F$24+N(W80)*$F$25+N(W83)*$F$26+N(W86)*$F$27+N(W89)*$F$28+N(W92)*$F$29+N(W95)*$F$30+N(W104)*$F$33+N(W107)*$F$34</f>
        <v>1198.5</v>
      </c>
      <c r="X220" s="25" t="n">
        <f aca="false">N(X41)*$F$12+N(X44)*$F$13+N(X47)*$F$14+N(X50)*$F$15+N(X53)*$F$16+N(X56)*$F$17+N(X59)*$F$18+N(X62)*$F$19+N(X65)*$F$20+N(X68)*$F$21+N(X71)*$F$22+N(X74)*$F$23+N(X77)*$F$24+N(X80)*$F$25+N(X83)*$F$26+N(X86)*$F$27+N(X89)*$F$28+N(X92)*$F$29+N(X95)*$F$30+N(X104)*$F$33+N(X107)*$F$34</f>
        <v>1211</v>
      </c>
      <c r="Y220" s="25" t="n">
        <f aca="false">N(Y41)*$F$12+N(Y44)*$F$13+N(Y47)*$F$14+N(Y50)*$F$15+N(Y53)*$F$16+N(Y56)*$F$17+N(Y59)*$F$18+N(Y62)*$F$19+N(Y65)*$F$20+N(Y68)*$F$21+N(Y71)*$F$22+N(Y74)*$F$23+N(Y77)*$F$24+N(Y80)*$F$25+N(Y83)*$F$26+N(Y86)*$F$27+N(Y89)*$F$28+N(Y92)*$F$29+N(Y95)*$F$30+N(Y104)*$F$33+N(Y107)*$F$34</f>
        <v>1539</v>
      </c>
      <c r="Z220" s="25" t="n">
        <f aca="false">N(Z41)*$F$12+N(Z44)*$F$13+N(Z47)*$F$14+N(Z50)*$F$15+N(Z53)*$F$16+N(Z56)*$F$17+N(Z59)*$F$18+N(Z62)*$F$19+N(Z65)*$F$20+N(Z68)*$F$21+N(Z71)*$F$22+N(Z74)*$F$23+N(Z77)*$F$24+N(Z80)*$F$25+N(Z83)*$F$26+N(Z86)*$F$27+N(Z89)*$F$28+N(Z92)*$F$29+N(Z95)*$F$30+N(Z104)*$F$33+N(Z107)*$F$34</f>
        <v>1539</v>
      </c>
      <c r="AA220" s="25" t="n">
        <f aca="false">N(AA41)*$F$12+N(AA44)*$F$13+N(AA47)*$F$14+N(AA50)*$F$15+N(AA53)*$F$16+N(AA56)*$F$17+N(AA59)*$F$18+N(AA62)*$F$19+N(AA65)*$F$20+N(AA68)*$F$21+N(AA71)*$F$22+N(AA74)*$F$23+N(AA77)*$F$24+N(AA80)*$F$25+N(AA83)*$F$26+N(AA86)*$F$27+N(AA89)*$F$28+N(AA92)*$F$29+N(AA95)*$F$30+N(AA104)*$F$33+N(AA107)*$F$34</f>
        <v>1875</v>
      </c>
      <c r="AB220" s="25" t="n">
        <f aca="false">N(AB41)*$F$12+N(AB44)*$F$13+N(AB47)*$F$14+N(AB50)*$F$15+N(AB53)*$F$16+N(AB56)*$F$17+N(AB59)*$F$18+N(AB62)*$F$19+N(AB65)*$F$20+N(AB68)*$F$21+N(AB71)*$F$22+N(AB74)*$F$23+N(AB77)*$F$24+N(AB80)*$F$25+N(AB83)*$F$26+N(AB86)*$F$27+N(AB89)*$F$28+N(AB92)*$F$29+N(AB95)*$F$30+N(AB104)*$F$33+N(AB107)*$F$34</f>
        <v>1875</v>
      </c>
      <c r="AC220" s="25" t="n">
        <f aca="false">N(AC41)*$F$12+N(AC44)*$F$13+N(AC47)*$F$14+N(AC50)*$F$15+N(AC53)*$F$16+N(AC56)*$F$17+N(AC59)*$F$18+N(AC62)*$F$19+N(AC65)*$F$20+N(AC68)*$F$21+N(AC71)*$F$22+N(AC74)*$F$23+N(AC77)*$F$24+N(AC80)*$F$25+N(AC83)*$F$26+N(AC86)*$F$27+N(AC89)*$F$28+N(AC92)*$F$29+N(AC95)*$F$30+N(AC104)*$F$33+N(AC107)*$F$34</f>
        <v>2343</v>
      </c>
      <c r="AD220" s="25" t="n">
        <f aca="false">N(AD41)*$F$12+N(AD44)*$F$13+N(AD47)*$F$14+N(AD50)*$F$15+N(AD53)*$F$16+N(AD56)*$F$17+N(AD59)*$F$18+N(AD62)*$F$19+N(AD65)*$F$20+N(AD68)*$F$21+N(AD71)*$F$22+N(AD74)*$F$23+N(AD77)*$F$24+N(AD80)*$F$25+N(AD83)*$F$26+N(AD86)*$F$27+N(AD89)*$F$28+N(AD92)*$F$29+N(AD95)*$F$30+N(AD104)*$F$33+N(AD107)*$F$34</f>
        <v>2343</v>
      </c>
      <c r="AE220" s="25" t="n">
        <f aca="false">N(AE41)*$F$12+N(AE44)*$F$13+N(AE47)*$F$14+N(AE50)*$F$15+N(AE53)*$F$16+N(AE56)*$F$17+N(AE59)*$F$18+N(AE62)*$F$19+N(AE65)*$F$20+N(AE68)*$F$21+N(AE71)*$F$22+N(AE74)*$F$23+N(AE77)*$F$24+N(AE80)*$F$25+N(AE83)*$F$26+N(AE86)*$F$27+N(AE89)*$F$28+N(AE92)*$F$29+N(AE95)*$F$30+N(AE104)*$F$33+N(AE107)*$F$34</f>
        <v>2343</v>
      </c>
      <c r="AF220" s="25" t="n">
        <f aca="false">N(AF41)*$F$12+N(AF44)*$F$13+N(AF47)*$F$14+N(AF50)*$F$15+N(AF53)*$F$16+N(AF56)*$F$17+N(AF59)*$F$18+N(AF62)*$F$19+N(AF65)*$F$20+N(AF68)*$F$21+N(AF71)*$F$22+N(AF74)*$F$23+N(AF77)*$F$24+N(AF80)*$F$25+N(AF83)*$F$26+N(AF86)*$F$27+N(AF89)*$F$28+N(AF92)*$F$29+N(AF95)*$F$30+N(AF104)*$F$33+N(AF107)*$F$34</f>
        <v>2343</v>
      </c>
      <c r="AG220" s="25" t="n">
        <f aca="false">N(AG41)*$F$12+N(AG44)*$F$13+N(AG47)*$F$14+N(AG50)*$F$15+N(AG53)*$F$16+N(AG56)*$F$17+N(AG59)*$F$18+N(AG62)*$F$19+N(AG65)*$F$20+N(AG68)*$F$21+N(AG71)*$F$22+N(AG74)*$F$23+N(AG77)*$F$24+N(AG80)*$F$25+N(AG83)*$F$26+N(AG86)*$F$27+N(AG89)*$F$28+N(AG92)*$F$29+N(AG95)*$F$30+N(AG104)*$F$33+N(AG107)*$F$34</f>
        <v>2803</v>
      </c>
      <c r="AI220" s="25" t="n">
        <f aca="false">INDEX($F220:$AG220,1,MATCH(AI$7,$F$7:$AG$7,1))</f>
        <v>30</v>
      </c>
      <c r="AJ220" s="25" t="n">
        <f aca="false">INDEX($F220:$AG220,1,MATCH(AJ$7,$F$7:$AG$7,1))</f>
        <v>147.7</v>
      </c>
      <c r="AK220" s="25" t="n">
        <f aca="false">INDEX($F220:$AG220,1,MATCH(AK$7,$F$7:$AG$7,1))</f>
        <v>292.4</v>
      </c>
      <c r="AL220" s="25" t="n">
        <f aca="false">INDEX($F220:$AG220,1,MATCH(AL$7,$F$7:$AG$7,1))</f>
        <v>950</v>
      </c>
      <c r="AM220" s="25" t="n">
        <f aca="false">INDEX($F220:$AG220,1,MATCH(AM$7,$F$7:$AG$7,1))</f>
        <v>1539</v>
      </c>
      <c r="AN220" s="25" t="n">
        <f aca="false">INDEX($F220:$AG220,1,MATCH(AN$7,$F$7:$AG$7,1))</f>
        <v>2343</v>
      </c>
      <c r="AO220" s="25" t="n">
        <f aca="false">INDEX($F220:$AG220,1,MATCH(AO$7,$F$7:$AG$7,1))</f>
        <v>2803</v>
      </c>
    </row>
    <row r="222" customFormat="false" ht="15" hidden="false" customHeight="false" outlineLevel="0" collapsed="false">
      <c r="A222" s="48" t="s">
        <v>1233</v>
      </c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</row>
    <row r="224" customFormat="false" ht="15" hidden="false" customHeight="false" outlineLevel="0" collapsed="false">
      <c r="A224" s="48" t="s">
        <v>1234</v>
      </c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</row>
    <row r="225" customFormat="false" ht="15" hidden="false" customHeight="false" outlineLevel="0" collapsed="false">
      <c r="A225" s="101" t="s">
        <v>1235</v>
      </c>
      <c r="B225" s="18" t="s">
        <v>415</v>
      </c>
      <c r="C225" s="18" t="s">
        <v>354</v>
      </c>
      <c r="D225" s="18" t="s">
        <v>1236</v>
      </c>
      <c r="F225" s="75" t="n">
        <v>0</v>
      </c>
      <c r="G225" s="75" t="n">
        <v>0</v>
      </c>
      <c r="H225" s="75" t="n">
        <v>0</v>
      </c>
      <c r="I225" s="75" t="n">
        <v>0</v>
      </c>
      <c r="J225" s="75" t="n">
        <v>0</v>
      </c>
      <c r="K225" s="75" t="n">
        <v>0</v>
      </c>
      <c r="L225" s="75" t="n">
        <v>0</v>
      </c>
      <c r="M225" s="75" t="n">
        <v>0</v>
      </c>
      <c r="N225" s="75" t="n">
        <v>0</v>
      </c>
      <c r="O225" s="75" t="n">
        <v>0</v>
      </c>
      <c r="P225" s="75" t="n">
        <v>10</v>
      </c>
      <c r="Q225" s="75" t="n">
        <v>-37.8</v>
      </c>
      <c r="R225" s="75" t="n">
        <v>4</v>
      </c>
      <c r="S225" s="75" t="n">
        <v>35</v>
      </c>
      <c r="T225" s="75" t="n">
        <v>81</v>
      </c>
      <c r="U225" s="75" t="n">
        <v>135</v>
      </c>
      <c r="V225" s="75" t="n">
        <v>135</v>
      </c>
      <c r="W225" s="75" t="n">
        <v>135</v>
      </c>
      <c r="X225" s="75" t="n">
        <v>135</v>
      </c>
      <c r="Y225" s="75" t="n">
        <v>135</v>
      </c>
      <c r="Z225" s="75" t="n">
        <v>135</v>
      </c>
      <c r="AA225" s="75" t="n">
        <v>135</v>
      </c>
      <c r="AB225" s="75" t="n">
        <v>135</v>
      </c>
      <c r="AC225" s="75" t="n">
        <v>135</v>
      </c>
      <c r="AD225" s="75" t="n">
        <v>135</v>
      </c>
      <c r="AE225" s="75" t="n">
        <v>135</v>
      </c>
      <c r="AF225" s="75" t="n">
        <v>135</v>
      </c>
      <c r="AG225" s="75" t="n">
        <v>135</v>
      </c>
      <c r="AI225" s="21" t="n">
        <f aca="false">INDEX($F225:$AG225,1,MATCH(AI$7,$F$7:$AG$7,1))</f>
        <v>0</v>
      </c>
      <c r="AJ225" s="21" t="n">
        <f aca="false">INDEX($F225:$AG225,1,MATCH(AJ$7,$F$7:$AG$7,1))</f>
        <v>0</v>
      </c>
      <c r="AK225" s="21" t="n">
        <f aca="false">INDEX($F225:$AG225,1,MATCH(AK$7,$F$7:$AG$7,1))</f>
        <v>-37.8</v>
      </c>
      <c r="AL225" s="21" t="n">
        <f aca="false">INDEX($F225:$AG225,1,MATCH(AL$7,$F$7:$AG$7,1))</f>
        <v>135</v>
      </c>
      <c r="AM225" s="21" t="n">
        <f aca="false">INDEX($F225:$AG225,1,MATCH(AM$7,$F$7:$AG$7,1))</f>
        <v>135</v>
      </c>
      <c r="AN225" s="21" t="n">
        <f aca="false">INDEX($F225:$AG225,1,MATCH(AN$7,$F$7:$AG$7,1))</f>
        <v>135</v>
      </c>
      <c r="AO225" s="21" t="n">
        <f aca="false">INDEX($F225:$AG225,1,MATCH(AO$7,$F$7:$AG$7,1))</f>
        <v>135</v>
      </c>
    </row>
    <row r="226" customFormat="false" ht="15" hidden="false" customHeight="false" outlineLevel="0" collapsed="false">
      <c r="A226" s="101" t="s">
        <v>1237</v>
      </c>
      <c r="B226" s="18" t="s">
        <v>415</v>
      </c>
      <c r="C226" s="18" t="s">
        <v>354</v>
      </c>
      <c r="D226" s="18" t="s">
        <v>1238</v>
      </c>
      <c r="F226" s="75" t="n">
        <v>0</v>
      </c>
      <c r="G226" s="75" t="n">
        <v>0</v>
      </c>
      <c r="H226" s="75" t="n">
        <v>0</v>
      </c>
      <c r="I226" s="75" t="n">
        <v>0</v>
      </c>
      <c r="J226" s="75" t="n">
        <v>0</v>
      </c>
      <c r="K226" s="75" t="n">
        <v>0</v>
      </c>
      <c r="L226" s="75" t="n">
        <v>0</v>
      </c>
      <c r="M226" s="75" t="n">
        <v>0</v>
      </c>
      <c r="N226" s="75" t="n">
        <v>0</v>
      </c>
      <c r="O226" s="75" t="n">
        <v>0</v>
      </c>
      <c r="P226" s="75" t="n">
        <v>20</v>
      </c>
      <c r="Q226" s="75" t="n">
        <v>15</v>
      </c>
      <c r="R226" s="75" t="n">
        <v>40.5</v>
      </c>
      <c r="S226" s="75" t="n">
        <v>90.5</v>
      </c>
      <c r="T226" s="75" t="n">
        <v>148</v>
      </c>
      <c r="U226" s="75" t="n">
        <v>153</v>
      </c>
      <c r="V226" s="75" t="n">
        <v>153</v>
      </c>
      <c r="W226" s="75" t="n">
        <v>153</v>
      </c>
      <c r="X226" s="75" t="n">
        <v>153</v>
      </c>
      <c r="Y226" s="75" t="n">
        <v>153</v>
      </c>
      <c r="Z226" s="75" t="n">
        <v>153</v>
      </c>
      <c r="AA226" s="75" t="n">
        <v>153</v>
      </c>
      <c r="AB226" s="75" t="n">
        <v>153</v>
      </c>
      <c r="AC226" s="75" t="n">
        <v>153</v>
      </c>
      <c r="AD226" s="75" t="n">
        <v>153</v>
      </c>
      <c r="AE226" s="75" t="n">
        <v>153</v>
      </c>
      <c r="AF226" s="75" t="n">
        <v>153</v>
      </c>
      <c r="AG226" s="75" t="n">
        <v>153</v>
      </c>
      <c r="AI226" s="21" t="n">
        <f aca="false">INDEX($F226:$AG226,1,MATCH(AI$7,$F$7:$AG$7,1))</f>
        <v>0</v>
      </c>
      <c r="AJ226" s="21" t="n">
        <f aca="false">INDEX($F226:$AG226,1,MATCH(AJ$7,$F$7:$AG$7,1))</f>
        <v>0</v>
      </c>
      <c r="AK226" s="21" t="n">
        <f aca="false">INDEX($F226:$AG226,1,MATCH(AK$7,$F$7:$AG$7,1))</f>
        <v>15</v>
      </c>
      <c r="AL226" s="21" t="n">
        <f aca="false">INDEX($F226:$AG226,1,MATCH(AL$7,$F$7:$AG$7,1))</f>
        <v>153</v>
      </c>
      <c r="AM226" s="21" t="n">
        <f aca="false">INDEX($F226:$AG226,1,MATCH(AM$7,$F$7:$AG$7,1))</f>
        <v>153</v>
      </c>
      <c r="AN226" s="21" t="n">
        <f aca="false">INDEX($F226:$AG226,1,MATCH(AN$7,$F$7:$AG$7,1))</f>
        <v>153</v>
      </c>
      <c r="AO226" s="21" t="n">
        <f aca="false">INDEX($F226:$AG226,1,MATCH(AO$7,$F$7:$AG$7,1))</f>
        <v>153</v>
      </c>
    </row>
    <row r="227" customFormat="false" ht="15" hidden="false" customHeight="false" outlineLevel="0" collapsed="false">
      <c r="A227" s="101" t="s">
        <v>1239</v>
      </c>
      <c r="B227" s="18" t="s">
        <v>415</v>
      </c>
      <c r="C227" s="18" t="s">
        <v>354</v>
      </c>
      <c r="D227" s="18" t="s">
        <v>1240</v>
      </c>
      <c r="F227" s="75" t="n">
        <v>0</v>
      </c>
      <c r="G227" s="75" t="n">
        <v>0</v>
      </c>
      <c r="H227" s="75" t="n">
        <v>0</v>
      </c>
      <c r="I227" s="75" t="n">
        <v>0</v>
      </c>
      <c r="J227" s="75" t="n">
        <v>0</v>
      </c>
      <c r="K227" s="75" t="n">
        <v>0</v>
      </c>
      <c r="L227" s="75" t="n">
        <v>0</v>
      </c>
      <c r="M227" s="75" t="n">
        <v>0</v>
      </c>
      <c r="N227" s="75" t="n">
        <v>0</v>
      </c>
      <c r="O227" s="75" t="n">
        <v>0</v>
      </c>
      <c r="P227" s="75" t="n">
        <v>45</v>
      </c>
      <c r="Q227" s="75" t="n">
        <v>80</v>
      </c>
      <c r="R227" s="75" t="n">
        <v>145</v>
      </c>
      <c r="S227" s="75" t="n">
        <v>178</v>
      </c>
      <c r="T227" s="75" t="n">
        <v>208</v>
      </c>
      <c r="U227" s="75" t="n">
        <v>208</v>
      </c>
      <c r="V227" s="75" t="n">
        <v>208</v>
      </c>
      <c r="W227" s="75" t="n">
        <v>208</v>
      </c>
      <c r="X227" s="75" t="n">
        <v>208</v>
      </c>
      <c r="Y227" s="75" t="n">
        <v>208</v>
      </c>
      <c r="Z227" s="75" t="n">
        <v>208</v>
      </c>
      <c r="AA227" s="75" t="n">
        <v>208</v>
      </c>
      <c r="AB227" s="75" t="n">
        <v>208</v>
      </c>
      <c r="AC227" s="75" t="n">
        <v>208</v>
      </c>
      <c r="AD227" s="75" t="n">
        <v>208</v>
      </c>
      <c r="AE227" s="75" t="n">
        <v>208</v>
      </c>
      <c r="AF227" s="75" t="n">
        <v>208</v>
      </c>
      <c r="AG227" s="75" t="n">
        <v>208</v>
      </c>
      <c r="AI227" s="21" t="n">
        <f aca="false">INDEX($F227:$AG227,1,MATCH(AI$7,$F$7:$AG$7,1))</f>
        <v>0</v>
      </c>
      <c r="AJ227" s="21" t="n">
        <f aca="false">INDEX($F227:$AG227,1,MATCH(AJ$7,$F$7:$AG$7,1))</f>
        <v>0</v>
      </c>
      <c r="AK227" s="21" t="n">
        <f aca="false">INDEX($F227:$AG227,1,MATCH(AK$7,$F$7:$AG$7,1))</f>
        <v>80</v>
      </c>
      <c r="AL227" s="21" t="n">
        <f aca="false">INDEX($F227:$AG227,1,MATCH(AL$7,$F$7:$AG$7,1))</f>
        <v>208</v>
      </c>
      <c r="AM227" s="21" t="n">
        <f aca="false">INDEX($F227:$AG227,1,MATCH(AM$7,$F$7:$AG$7,1))</f>
        <v>208</v>
      </c>
      <c r="AN227" s="21" t="n">
        <f aca="false">INDEX($F227:$AG227,1,MATCH(AN$7,$F$7:$AG$7,1))</f>
        <v>208</v>
      </c>
      <c r="AO227" s="21" t="n">
        <f aca="false">INDEX($F227:$AG227,1,MATCH(AO$7,$F$7:$AG$7,1))</f>
        <v>208</v>
      </c>
    </row>
    <row r="228" customFormat="false" ht="15" hidden="false" customHeight="false" outlineLevel="0" collapsed="false">
      <c r="A228" s="101" t="s">
        <v>1241</v>
      </c>
      <c r="B228" s="18" t="s">
        <v>415</v>
      </c>
      <c r="C228" s="18" t="s">
        <v>336</v>
      </c>
      <c r="D228" s="18" t="s">
        <v>1242</v>
      </c>
      <c r="F228" s="110" t="n">
        <f aca="false">CHOOSE(Scen,F227,F226,F225)</f>
        <v>0</v>
      </c>
      <c r="G228" s="110" t="n">
        <f aca="false">CHOOSE(Scen,G227,G226,G225)</f>
        <v>0</v>
      </c>
      <c r="H228" s="110" t="n">
        <f aca="false">CHOOSE(Scen,H227,H226,H225)</f>
        <v>0</v>
      </c>
      <c r="I228" s="110" t="n">
        <f aca="false">CHOOSE(Scen,I227,I226,I225)</f>
        <v>0</v>
      </c>
      <c r="J228" s="110" t="n">
        <f aca="false">CHOOSE(Scen,J227,J226,J225)</f>
        <v>0</v>
      </c>
      <c r="K228" s="110" t="n">
        <f aca="false">CHOOSE(Scen,K227,K226,K225)</f>
        <v>0</v>
      </c>
      <c r="L228" s="110" t="n">
        <f aca="false">CHOOSE(Scen,L227,L226,L225)</f>
        <v>0</v>
      </c>
      <c r="M228" s="110" t="n">
        <f aca="false">CHOOSE(Scen,M227,M226,M225)</f>
        <v>0</v>
      </c>
      <c r="N228" s="110" t="n">
        <f aca="false">CHOOSE(Scen,N227,N226,N225)</f>
        <v>0</v>
      </c>
      <c r="O228" s="110" t="n">
        <f aca="false">CHOOSE(Scen,O227,O226,O225)</f>
        <v>0</v>
      </c>
      <c r="P228" s="21" t="n">
        <f aca="false">CHOOSE(Scen,P227,P226,P225)</f>
        <v>20</v>
      </c>
      <c r="Q228" s="21" t="n">
        <f aca="false">CHOOSE(Scen,Q227,Q226,Q225)</f>
        <v>15</v>
      </c>
      <c r="R228" s="21" t="n">
        <f aca="false">CHOOSE(Scen,R227,R226,R225)</f>
        <v>40.5</v>
      </c>
      <c r="S228" s="21" t="n">
        <f aca="false">CHOOSE(Scen,S227,S226,S225)</f>
        <v>90.5</v>
      </c>
      <c r="T228" s="21" t="n">
        <f aca="false">CHOOSE(Scen,T227,T226,T225)</f>
        <v>148</v>
      </c>
      <c r="U228" s="21" t="n">
        <f aca="false">CHOOSE(Scen,U227,U226,U225)</f>
        <v>153</v>
      </c>
      <c r="V228" s="21" t="n">
        <f aca="false">CHOOSE(Scen,V227,V226,V225)</f>
        <v>153</v>
      </c>
      <c r="W228" s="21" t="n">
        <f aca="false">CHOOSE(Scen,W227,W226,W225)</f>
        <v>153</v>
      </c>
      <c r="X228" s="21" t="n">
        <f aca="false">CHOOSE(Scen,X227,X226,X225)</f>
        <v>153</v>
      </c>
      <c r="Y228" s="21" t="n">
        <f aca="false">CHOOSE(Scen,Y227,Y226,Y225)</f>
        <v>153</v>
      </c>
      <c r="Z228" s="21" t="n">
        <f aca="false">CHOOSE(Scen,Z227,Z226,Z225)</f>
        <v>153</v>
      </c>
      <c r="AA228" s="21" t="n">
        <f aca="false">CHOOSE(Scen,AA227,AA226,AA225)</f>
        <v>153</v>
      </c>
      <c r="AB228" s="21" t="n">
        <f aca="false">CHOOSE(Scen,AB227,AB226,AB225)</f>
        <v>153</v>
      </c>
      <c r="AC228" s="21" t="n">
        <f aca="false">CHOOSE(Scen,AC227,AC226,AC225)</f>
        <v>153</v>
      </c>
      <c r="AD228" s="21" t="n">
        <f aca="false">CHOOSE(Scen,AD227,AD226,AD225)</f>
        <v>153</v>
      </c>
      <c r="AE228" s="21" t="n">
        <f aca="false">CHOOSE(Scen,AE227,AE226,AE225)</f>
        <v>153</v>
      </c>
      <c r="AF228" s="21" t="n">
        <f aca="false">CHOOSE(Scen,AF227,AF226,AF225)</f>
        <v>153</v>
      </c>
      <c r="AG228" s="21" t="n">
        <f aca="false">CHOOSE(Scen,AG227,AG226,AG225)</f>
        <v>153</v>
      </c>
      <c r="AI228" s="21" t="n">
        <f aca="false">INDEX($F228:$AG228,1,MATCH(AI$7,$F$7:$AG$7,1))</f>
        <v>0</v>
      </c>
      <c r="AJ228" s="21" t="n">
        <f aca="false">INDEX($F228:$AG228,1,MATCH(AJ$7,$F$7:$AG$7,1))</f>
        <v>0</v>
      </c>
      <c r="AK228" s="21" t="n">
        <f aca="false">INDEX($F228:$AG228,1,MATCH(AK$7,$F$7:$AG$7,1))</f>
        <v>15</v>
      </c>
      <c r="AL228" s="21" t="n">
        <f aca="false">INDEX($F228:$AG228,1,MATCH(AL$7,$F$7:$AG$7,1))</f>
        <v>153</v>
      </c>
      <c r="AM228" s="21" t="n">
        <f aca="false">INDEX($F228:$AG228,1,MATCH(AM$7,$F$7:$AG$7,1))</f>
        <v>153</v>
      </c>
      <c r="AN228" s="21" t="n">
        <f aca="false">INDEX($F228:$AG228,1,MATCH(AN$7,$F$7:$AG$7,1))</f>
        <v>153</v>
      </c>
      <c r="AO228" s="21" t="n">
        <f aca="false">INDEX($F228:$AG228,1,MATCH(AO$7,$F$7:$AG$7,1))</f>
        <v>153</v>
      </c>
    </row>
    <row r="229" customFormat="false" ht="15" hidden="false" customHeight="false" outlineLevel="0" collapsed="false">
      <c r="A229" s="101" t="s">
        <v>1243</v>
      </c>
      <c r="B229" s="18" t="s">
        <v>415</v>
      </c>
      <c r="C229" s="18" t="s">
        <v>336</v>
      </c>
      <c r="D229" s="18" t="s">
        <v>1244</v>
      </c>
      <c r="F229" s="105" t="n">
        <f aca="false">CHOOSE(MWSel,F143,F173,F212,F173+F228)</f>
        <v>25</v>
      </c>
      <c r="G229" s="105" t="n">
        <f aca="false">CHOOSE(MWSel,G143,G173,G212,G173+G228)</f>
        <v>25</v>
      </c>
      <c r="H229" s="105" t="n">
        <f aca="false">CHOOSE(MWSel,H143,H173,H212,H173+H228)</f>
        <v>25</v>
      </c>
      <c r="I229" s="105" t="n">
        <f aca="false">CHOOSE(MWSel,I143,I173,I212,I173+I228)</f>
        <v>30</v>
      </c>
      <c r="J229" s="105" t="n">
        <f aca="false">CHOOSE(MWSel,J143,J173,J212,J173+J228)</f>
        <v>40</v>
      </c>
      <c r="K229" s="105" t="n">
        <f aca="false">CHOOSE(MWSel,K143,K173,K212,K173+K228)</f>
        <v>45</v>
      </c>
      <c r="L229" s="105" t="n">
        <f aca="false">CHOOSE(MWSel,L143,L173,L212,L173+L228)</f>
        <v>62.5</v>
      </c>
      <c r="M229" s="105" t="n">
        <f aca="false">CHOOSE(MWSel,M143,M173,M212,M173+M228)</f>
        <v>147.7</v>
      </c>
      <c r="N229" s="105" t="n">
        <f aca="false">CHOOSE(MWSel,N143,N173,N212,N173+N228)</f>
        <v>171.5</v>
      </c>
      <c r="O229" s="105" t="n">
        <f aca="false">CHOOSE(MWSel,O143,O173,O212,O173+O228)</f>
        <v>173</v>
      </c>
      <c r="P229" s="25" t="n">
        <f aca="false">CHOOSE(MWSel,P143,P173,P212,P173+P228)</f>
        <v>207.5</v>
      </c>
      <c r="Q229" s="25" t="n">
        <f aca="false">CHOOSE(MWSel,Q143,Q173,Q212,Q173+Q228)</f>
        <v>292.4</v>
      </c>
      <c r="R229" s="25" t="n">
        <f aca="false">CHOOSE(MWSel,R143,R173,R212,R173+R228)</f>
        <v>416.4</v>
      </c>
      <c r="S229" s="25" t="n">
        <f aca="false">CHOOSE(MWSel,S143,S173,S212,S173+S228)</f>
        <v>545.1</v>
      </c>
      <c r="T229" s="25" t="n">
        <f aca="false">CHOOSE(MWSel,T143,T173,T212,T173+T228)</f>
        <v>684.5</v>
      </c>
      <c r="U229" s="25" t="n">
        <f aca="false">CHOOSE(MWSel,U143,U173,U212,U173+U228)</f>
        <v>950</v>
      </c>
      <c r="V229" s="25" t="n">
        <f aca="false">CHOOSE(MWSel,V143,V173,V212,V173+V228)</f>
        <v>1042.5</v>
      </c>
      <c r="W229" s="25" t="n">
        <f aca="false">CHOOSE(MWSel,W143,W173,W212,W173+W228)</f>
        <v>1198.5</v>
      </c>
      <c r="X229" s="25" t="n">
        <f aca="false">CHOOSE(MWSel,X143,X173,X212,X173+X228)</f>
        <v>1211</v>
      </c>
      <c r="Y229" s="25" t="n">
        <f aca="false">CHOOSE(MWSel,Y143,Y173,Y212,Y173+Y228)</f>
        <v>1539</v>
      </c>
      <c r="Z229" s="25" t="n">
        <f aca="false">CHOOSE(MWSel,Z143,Z173,Z212,Z173+Z228)</f>
        <v>1539</v>
      </c>
      <c r="AA229" s="25" t="n">
        <f aca="false">CHOOSE(MWSel,AA143,AA173,AA212,AA173+AA228)</f>
        <v>1875</v>
      </c>
      <c r="AB229" s="25" t="n">
        <f aca="false">CHOOSE(MWSel,AB143,AB173,AB212,AB173+AB228)</f>
        <v>1875</v>
      </c>
      <c r="AC229" s="25" t="n">
        <f aca="false">CHOOSE(MWSel,AC143,AC173,AC212,AC173+AC228)</f>
        <v>2343</v>
      </c>
      <c r="AD229" s="25" t="n">
        <f aca="false">CHOOSE(MWSel,AD143,AD173,AD212,AD173+AD228)</f>
        <v>2343</v>
      </c>
      <c r="AE229" s="25" t="n">
        <f aca="false">CHOOSE(MWSel,AE143,AE173,AE212,AE173+AE228)</f>
        <v>2343</v>
      </c>
      <c r="AF229" s="25" t="n">
        <f aca="false">CHOOSE(MWSel,AF143,AF173,AF212,AF173+AF228)</f>
        <v>2343</v>
      </c>
      <c r="AG229" s="25" t="n">
        <f aca="false">CHOOSE(MWSel,AG143,AG173,AG212,AG173+AG228)</f>
        <v>2803</v>
      </c>
      <c r="AI229" s="25" t="n">
        <f aca="false">INDEX($F229:$AG229,1,MATCH(AI$7,$F$7:$AG$7,1))</f>
        <v>30</v>
      </c>
      <c r="AJ229" s="25" t="n">
        <f aca="false">INDEX($F229:$AG229,1,MATCH(AJ$7,$F$7:$AG$7,1))</f>
        <v>147.7</v>
      </c>
      <c r="AK229" s="25" t="n">
        <f aca="false">INDEX($F229:$AG229,1,MATCH(AK$7,$F$7:$AG$7,1))</f>
        <v>292.4</v>
      </c>
      <c r="AL229" s="25" t="n">
        <f aca="false">INDEX($F229:$AG229,1,MATCH(AL$7,$F$7:$AG$7,1))</f>
        <v>950</v>
      </c>
      <c r="AM229" s="25" t="n">
        <f aca="false">INDEX($F229:$AG229,1,MATCH(AM$7,$F$7:$AG$7,1))</f>
        <v>1539</v>
      </c>
      <c r="AN229" s="25" t="n">
        <f aca="false">INDEX($F229:$AG229,1,MATCH(AN$7,$F$7:$AG$7,1))</f>
        <v>2343</v>
      </c>
      <c r="AO229" s="25" t="n">
        <f aca="false">INDEX($F229:$AG229,1,MATCH(AO$7,$F$7:$AG$7,1))</f>
        <v>2803</v>
      </c>
    </row>
    <row r="230" customFormat="false" ht="15" hidden="false" customHeight="false" outlineLevel="0" collapsed="false">
      <c r="A230" s="101" t="s">
        <v>1245</v>
      </c>
      <c r="B230" s="18" t="s">
        <v>415</v>
      </c>
      <c r="C230" s="18" t="s">
        <v>336</v>
      </c>
      <c r="D230" s="18"/>
      <c r="F230" s="105" t="n">
        <f aca="false">CHOOSE(MWSel,F144,F174,F213,F174)</f>
        <v>25</v>
      </c>
      <c r="G230" s="105" t="n">
        <f aca="false">CHOOSE(MWSel,G144,G174,G213,G174)</f>
        <v>25</v>
      </c>
      <c r="H230" s="105" t="n">
        <f aca="false">CHOOSE(MWSel,H144,H174,H213,H174)</f>
        <v>25</v>
      </c>
      <c r="I230" s="105" t="n">
        <f aca="false">CHOOSE(MWSel,I144,I174,I213,I174)</f>
        <v>25</v>
      </c>
      <c r="J230" s="105" t="n">
        <f aca="false">CHOOSE(MWSel,J144,J174,J213,J174)</f>
        <v>25</v>
      </c>
      <c r="K230" s="105" t="n">
        <f aca="false">CHOOSE(MWSel,K144,K174,K213,K174)</f>
        <v>25</v>
      </c>
      <c r="L230" s="105" t="n">
        <f aca="false">CHOOSE(MWSel,L144,L174,L213,L174)</f>
        <v>37.5</v>
      </c>
      <c r="M230" s="105" t="n">
        <f aca="false">CHOOSE(MWSel,M144,M174,M213,M174)</f>
        <v>62.5</v>
      </c>
      <c r="N230" s="105" t="n">
        <f aca="false">CHOOSE(MWSel,N144,N174,N213,N174)</f>
        <v>75</v>
      </c>
      <c r="O230" s="105" t="n">
        <f aca="false">CHOOSE(MWSel,O144,O174,O213,O174)</f>
        <v>75</v>
      </c>
      <c r="P230" s="25" t="n">
        <f aca="false">CHOOSE(MWSel,P144,P174,P213,P174)</f>
        <v>75</v>
      </c>
      <c r="Q230" s="25" t="n">
        <f aca="false">CHOOSE(MWSel,Q144,Q174,Q213,Q174)</f>
        <v>75</v>
      </c>
      <c r="R230" s="25" t="n">
        <f aca="false">CHOOSE(MWSel,R144,R174,R213,R174)</f>
        <v>85</v>
      </c>
      <c r="S230" s="25" t="n">
        <f aca="false">CHOOSE(MWSel,S144,S174,S213,S174)</f>
        <v>109</v>
      </c>
      <c r="T230" s="25" t="n">
        <f aca="false">CHOOSE(MWSel,T144,T174,T213,T174)</f>
        <v>183</v>
      </c>
      <c r="U230" s="25" t="n">
        <f aca="false">CHOOSE(MWSel,U144,U174,U213,U174)</f>
        <v>343</v>
      </c>
      <c r="V230" s="25" t="n">
        <f aca="false">CHOOSE(MWSel,V144,V174,V213,V174)</f>
        <v>423</v>
      </c>
      <c r="W230" s="25" t="n">
        <f aca="false">CHOOSE(MWSel,W144,W174,W213,W174)</f>
        <v>579</v>
      </c>
      <c r="X230" s="25" t="n">
        <f aca="false">CHOOSE(MWSel,X144,X174,X213,X174)</f>
        <v>579</v>
      </c>
      <c r="Y230" s="25" t="n">
        <f aca="false">CHOOSE(MWSel,Y144,Y174,Y213,Y174)</f>
        <v>859</v>
      </c>
      <c r="Z230" s="25" t="n">
        <f aca="false">CHOOSE(MWSel,Z144,Z174,Z213,Z174)</f>
        <v>859</v>
      </c>
      <c r="AA230" s="25" t="n">
        <f aca="false">CHOOSE(MWSel,AA144,AA174,AA213,AA174)</f>
        <v>1195</v>
      </c>
      <c r="AB230" s="25" t="n">
        <f aca="false">CHOOSE(MWSel,AB144,AB174,AB213,AB174)</f>
        <v>1195</v>
      </c>
      <c r="AC230" s="25" t="n">
        <f aca="false">CHOOSE(MWSel,AC144,AC174,AC213,AC174)</f>
        <v>1663</v>
      </c>
      <c r="AD230" s="25" t="n">
        <f aca="false">CHOOSE(MWSel,AD144,AD174,AD213,AD174)</f>
        <v>1663</v>
      </c>
      <c r="AE230" s="25" t="n">
        <f aca="false">CHOOSE(MWSel,AE144,AE174,AE213,AE174)</f>
        <v>1663</v>
      </c>
      <c r="AF230" s="25" t="n">
        <f aca="false">CHOOSE(MWSel,AF144,AF174,AF213,AF174)</f>
        <v>1663</v>
      </c>
      <c r="AG230" s="25" t="n">
        <f aca="false">CHOOSE(MWSel,AG144,AG174,AG213,AG174)</f>
        <v>2123</v>
      </c>
      <c r="AI230" s="25" t="n">
        <f aca="false">INDEX($F230:$AG230,1,MATCH(AI$7,$F$7:$AG$7,1))</f>
        <v>25</v>
      </c>
      <c r="AJ230" s="25" t="n">
        <f aca="false">INDEX($F230:$AG230,1,MATCH(AJ$7,$F$7:$AG$7,1))</f>
        <v>62.5</v>
      </c>
      <c r="AK230" s="25" t="n">
        <f aca="false">INDEX($F230:$AG230,1,MATCH(AK$7,$F$7:$AG$7,1))</f>
        <v>75</v>
      </c>
      <c r="AL230" s="25" t="n">
        <f aca="false">INDEX($F230:$AG230,1,MATCH(AL$7,$F$7:$AG$7,1))</f>
        <v>343</v>
      </c>
      <c r="AM230" s="25" t="n">
        <f aca="false">INDEX($F230:$AG230,1,MATCH(AM$7,$F$7:$AG$7,1))</f>
        <v>859</v>
      </c>
      <c r="AN230" s="25" t="n">
        <f aca="false">INDEX($F230:$AG230,1,MATCH(AN$7,$F$7:$AG$7,1))</f>
        <v>1663</v>
      </c>
      <c r="AO230" s="25" t="n">
        <f aca="false">INDEX($F230:$AG230,1,MATCH(AO$7,$F$7:$AG$7,1))</f>
        <v>2123</v>
      </c>
    </row>
    <row r="231" customFormat="false" ht="15" hidden="false" customHeight="false" outlineLevel="0" collapsed="false">
      <c r="A231" s="101" t="s">
        <v>1246</v>
      </c>
      <c r="B231" s="18" t="s">
        <v>415</v>
      </c>
      <c r="C231" s="18" t="s">
        <v>354</v>
      </c>
      <c r="D231" s="18" t="s">
        <v>1247</v>
      </c>
      <c r="F231" s="110" t="n">
        <f aca="false">N(IF(F$5&lt;=LastHist,F107,CHOOSE(Scen,F108,F107,F106)))*$F$34</f>
        <v>0</v>
      </c>
      <c r="G231" s="110" t="n">
        <f aca="false">N(IF(G$5&lt;=LastHist,G107,CHOOSE(Scen,G108,G107,G106)))*$F$34</f>
        <v>0</v>
      </c>
      <c r="H231" s="110" t="n">
        <f aca="false">N(IF(H$5&lt;=LastHist,H107,CHOOSE(Scen,H108,H107,H106)))*$F$34</f>
        <v>0</v>
      </c>
      <c r="I231" s="110" t="n">
        <f aca="false">N(IF(I$5&lt;=LastHist,I107,CHOOSE(Scen,I108,I107,I106)))*$F$34</f>
        <v>0</v>
      </c>
      <c r="J231" s="110" t="n">
        <f aca="false">N(IF(J$5&lt;=LastHist,J107,CHOOSE(Scen,J108,J107,J106)))*$F$34</f>
        <v>0</v>
      </c>
      <c r="K231" s="110" t="n">
        <f aca="false">N(IF(K$5&lt;=LastHist,K107,CHOOSE(Scen,K108,K107,K106)))*$F$34</f>
        <v>0</v>
      </c>
      <c r="L231" s="110" t="n">
        <f aca="false">N(IF(L$5&lt;=LastHist,L107,CHOOSE(Scen,L108,L107,L106)))*$F$34</f>
        <v>0</v>
      </c>
      <c r="M231" s="110" t="n">
        <f aca="false">N(IF(M$5&lt;=LastHist,M107,CHOOSE(Scen,M108,M107,M106)))*$F$34</f>
        <v>0</v>
      </c>
      <c r="N231" s="110" t="n">
        <f aca="false">N(IF(N$5&lt;=LastHist,N107,CHOOSE(Scen,N108,N107,N106)))*$F$34</f>
        <v>0</v>
      </c>
      <c r="O231" s="110" t="n">
        <f aca="false">N(IF(O$5&lt;=LastHist,O107,CHOOSE(Scen,O108,O107,O106)))*$F$34</f>
        <v>0</v>
      </c>
      <c r="P231" s="21" t="n">
        <f aca="false">N(IF(P$5&lt;=LastHist,P107,CHOOSE(Scen,P108,P107,P106)))*$F$34</f>
        <v>0</v>
      </c>
      <c r="Q231" s="21" t="n">
        <f aca="false">N(IF(Q$5&lt;=LastHist,Q107,CHOOSE(Scen,Q108,Q107,Q106)))*$F$34</f>
        <v>0</v>
      </c>
      <c r="R231" s="21" t="n">
        <f aca="false">N(IF(R$5&lt;=LastHist,R107,CHOOSE(Scen,R108,R107,R106)))*$F$34</f>
        <v>0</v>
      </c>
      <c r="S231" s="21" t="n">
        <f aca="false">N(IF(S$5&lt;=LastHist,S107,CHOOSE(Scen,S108,S107,S106)))*$F$34</f>
        <v>0</v>
      </c>
      <c r="T231" s="21" t="n">
        <f aca="false">N(IF(T$5&lt;=LastHist,T107,CHOOSE(Scen,T108,T107,T106)))*$F$34</f>
        <v>12.5</v>
      </c>
      <c r="U231" s="21" t="n">
        <f aca="false">N(IF(U$5&lt;=LastHist,U107,CHOOSE(Scen,U108,U107,U106)))*$F$34</f>
        <v>25</v>
      </c>
      <c r="V231" s="21" t="n">
        <f aca="false">N(IF(V$5&lt;=LastHist,V107,CHOOSE(Scen,V108,V107,V106)))*$F$34</f>
        <v>37.5</v>
      </c>
      <c r="W231" s="21" t="n">
        <f aca="false">N(IF(W$5&lt;=LastHist,W107,CHOOSE(Scen,W108,W107,W106)))*$F$34</f>
        <v>37.5</v>
      </c>
      <c r="X231" s="21" t="n">
        <f aca="false">N(IF(X$5&lt;=LastHist,X107,CHOOSE(Scen,X108,X107,X106)))*$F$34</f>
        <v>50</v>
      </c>
      <c r="Y231" s="21" t="n">
        <f aca="false">N(IF(Y$5&lt;=LastHist,Y107,CHOOSE(Scen,Y108,Y107,Y106)))*$F$34</f>
        <v>50</v>
      </c>
      <c r="Z231" s="21" t="n">
        <f aca="false">N(IF(Z$5&lt;=LastHist,Z107,CHOOSE(Scen,Z108,Z107,Z106)))*$F$34</f>
        <v>50</v>
      </c>
      <c r="AA231" s="21" t="n">
        <f aca="false">N(IF(AA$5&lt;=LastHist,AA107,CHOOSE(Scen,AA108,AA107,AA106)))*$F$34</f>
        <v>50</v>
      </c>
      <c r="AB231" s="21" t="n">
        <f aca="false">N(IF(AB$5&lt;=LastHist,AB107,CHOOSE(Scen,AB108,AB107,AB106)))*$F$34</f>
        <v>50</v>
      </c>
      <c r="AC231" s="21" t="n">
        <f aca="false">N(IF(AC$5&lt;=LastHist,AC107,CHOOSE(Scen,AC108,AC107,AC106)))*$F$34</f>
        <v>50</v>
      </c>
      <c r="AD231" s="21" t="n">
        <f aca="false">N(IF(AD$5&lt;=LastHist,AD107,CHOOSE(Scen,AD108,AD107,AD106)))*$F$34</f>
        <v>50</v>
      </c>
      <c r="AE231" s="21" t="n">
        <f aca="false">N(IF(AE$5&lt;=LastHist,AE107,CHOOSE(Scen,AE108,AE107,AE106)))*$F$34</f>
        <v>50</v>
      </c>
      <c r="AF231" s="21" t="n">
        <f aca="false">N(IF(AF$5&lt;=LastHist,AF107,CHOOSE(Scen,AF108,AF107,AF106)))*$F$34</f>
        <v>50</v>
      </c>
      <c r="AG231" s="21" t="n">
        <f aca="false">N(IF(AG$5&lt;=LastHist,AG107,CHOOSE(Scen,AG108,AG107,AG106)))*$F$34</f>
        <v>50</v>
      </c>
      <c r="AI231" s="21" t="n">
        <f aca="false">INDEX($F231:$AG231,1,MATCH(AI$7,$F$7:$AG$7,1))</f>
        <v>0</v>
      </c>
      <c r="AJ231" s="21" t="n">
        <f aca="false">INDEX($F231:$AG231,1,MATCH(AJ$7,$F$7:$AG$7,1))</f>
        <v>0</v>
      </c>
      <c r="AK231" s="21" t="n">
        <f aca="false">INDEX($F231:$AG231,1,MATCH(AK$7,$F$7:$AG$7,1))</f>
        <v>0</v>
      </c>
      <c r="AL231" s="21" t="n">
        <f aca="false">INDEX($F231:$AG231,1,MATCH(AL$7,$F$7:$AG$7,1))</f>
        <v>25</v>
      </c>
      <c r="AM231" s="21" t="n">
        <f aca="false">INDEX($F231:$AG231,1,MATCH(AM$7,$F$7:$AG$7,1))</f>
        <v>50</v>
      </c>
      <c r="AN231" s="21" t="n">
        <f aca="false">INDEX($F231:$AG231,1,MATCH(AN$7,$F$7:$AG$7,1))</f>
        <v>50</v>
      </c>
      <c r="AO231" s="21" t="n">
        <f aca="false">INDEX($F231:$AG231,1,MATCH(AO$7,$F$7:$AG$7,1))</f>
        <v>50</v>
      </c>
    </row>
    <row r="232" customFormat="false" ht="15" hidden="false" customHeight="false" outlineLevel="0" collapsed="false">
      <c r="A232" s="101" t="s">
        <v>1248</v>
      </c>
      <c r="B232" s="18" t="s">
        <v>415</v>
      </c>
      <c r="C232" s="18" t="s">
        <v>1229</v>
      </c>
      <c r="D232" s="18"/>
      <c r="F232" s="110" t="n">
        <f aca="false">CoMWQ2-INDEX(EnBaseIT,1,LastHist)</f>
        <v>17</v>
      </c>
    </row>
    <row r="233" customFormat="false" ht="15" hidden="false" customHeight="false" outlineLevel="0" collapsed="false">
      <c r="A233" s="3" t="s">
        <v>1249</v>
      </c>
      <c r="B233" s="18" t="s">
        <v>415</v>
      </c>
      <c r="C233" s="18" t="s">
        <v>336</v>
      </c>
      <c r="D233" s="18" t="s">
        <v>1250</v>
      </c>
      <c r="F233" s="112" t="n">
        <f aca="false">IF(F$5&lt;=LastHist,F229+IF(AND(HistMWBasis&gt;=2,F$5&gt;=LastHist-1),MWUp,0),INDEX($F229:$AG229,1,MAX(LastHist,F$5-MW_Delay-CHOOSE(MWSel,0,EnLag,BillLag,EnLag)))*MW_Haircut+IF(HistMWBasis=2,MWUp,0))</f>
        <v>25</v>
      </c>
      <c r="G233" s="112" t="n">
        <f aca="false">IF(G$5&lt;=LastHist,G229+IF(AND(HistMWBasis&gt;=2,G$5&gt;=LastHist-1),MWUp,0),INDEX($F229:$AG229,1,MAX(LastHist,G$5-MW_Delay-CHOOSE(MWSel,0,EnLag,BillLag,EnLag)))*MW_Haircut+IF(HistMWBasis=2,MWUp,0))</f>
        <v>25</v>
      </c>
      <c r="H233" s="112" t="n">
        <f aca="false">IF(H$5&lt;=LastHist,H229+IF(AND(HistMWBasis&gt;=2,H$5&gt;=LastHist-1),MWUp,0),INDEX($F229:$AG229,1,MAX(LastHist,H$5-MW_Delay-CHOOSE(MWSel,0,EnLag,BillLag,EnLag)))*MW_Haircut+IF(HistMWBasis=2,MWUp,0))</f>
        <v>25</v>
      </c>
      <c r="I233" s="112" t="n">
        <f aca="false">IF(I$5&lt;=LastHist,I229+IF(AND(HistMWBasis&gt;=2,I$5&gt;=LastHist-1),MWUp,0),INDEX($F229:$AG229,1,MAX(LastHist,I$5-MW_Delay-CHOOSE(MWSel,0,EnLag,BillLag,EnLag)))*MW_Haircut+IF(HistMWBasis=2,MWUp,0))</f>
        <v>30</v>
      </c>
      <c r="J233" s="112" t="n">
        <f aca="false">IF(J$5&lt;=LastHist,J229+IF(AND(HistMWBasis&gt;=2,J$5&gt;=LastHist-1),MWUp,0),INDEX($F229:$AG229,1,MAX(LastHist,J$5-MW_Delay-CHOOSE(MWSel,0,EnLag,BillLag,EnLag)))*MW_Haircut+IF(HistMWBasis=2,MWUp,0))</f>
        <v>40</v>
      </c>
      <c r="K233" s="112" t="n">
        <f aca="false">IF(K$5&lt;=LastHist,K229+IF(AND(HistMWBasis&gt;=2,K$5&gt;=LastHist-1),MWUp,0),INDEX($F229:$AG229,1,MAX(LastHist,K$5-MW_Delay-CHOOSE(MWSel,0,EnLag,BillLag,EnLag)))*MW_Haircut+IF(HistMWBasis=2,MWUp,0))</f>
        <v>45</v>
      </c>
      <c r="L233" s="112" t="n">
        <f aca="false">IF(L$5&lt;=LastHist,L229+IF(AND(HistMWBasis&gt;=2,L$5&gt;=LastHist-1),MWUp,0),INDEX($F229:$AG229,1,MAX(LastHist,L$5-MW_Delay-CHOOSE(MWSel,0,EnLag,BillLag,EnLag)))*MW_Haircut+IF(HistMWBasis=2,MWUp,0))</f>
        <v>62.5</v>
      </c>
      <c r="M233" s="112" t="n">
        <f aca="false">IF(M$5&lt;=LastHist,M229+IF(AND(HistMWBasis&gt;=2,M$5&gt;=LastHist-1),MWUp,0),INDEX($F229:$AG229,1,MAX(LastHist,M$5-MW_Delay-CHOOSE(MWSel,0,EnLag,BillLag,EnLag)))*MW_Haircut+IF(HistMWBasis=2,MWUp,0))</f>
        <v>147.7</v>
      </c>
      <c r="N233" s="112" t="n">
        <f aca="false">IF(N$5&lt;=LastHist,N229+IF(AND(HistMWBasis&gt;=2,N$5&gt;=LastHist-1),MWUp,0),INDEX($F229:$AG229,1,MAX(LastHist,N$5-MW_Delay-CHOOSE(MWSel,0,EnLag,BillLag,EnLag)))*MW_Haircut+IF(HistMWBasis=2,MWUp,0))</f>
        <v>171.5</v>
      </c>
      <c r="O233" s="112" t="n">
        <f aca="false">IF(O$5&lt;=LastHist,O229+IF(AND(HistMWBasis&gt;=2,O$5&gt;=LastHist-1),MWUp,0),INDEX($F229:$AG229,1,MAX(LastHist,O$5-MW_Delay-CHOOSE(MWSel,0,EnLag,BillLag,EnLag)))*MW_Haircut+IF(HistMWBasis=2,MWUp,0))</f>
        <v>173</v>
      </c>
      <c r="P233" s="5" t="n">
        <f aca="false">IF(P$5&lt;=LastHist,P229+IF(AND(HistMWBasis&gt;=2,P$5&gt;=LastHist-1),MWUp,0),INDEX($F229:$AG229,1,MAX(LastHist,P$5-MW_Delay-CHOOSE(MWSel,0,EnLag,BillLag,EnLag)))*MW_Haircut+IF(HistMWBasis=2,MWUp,0))</f>
        <v>173</v>
      </c>
      <c r="Q233" s="5" t="n">
        <f aca="false">IF(Q$5&lt;=LastHist,Q229+IF(AND(HistMWBasis&gt;=2,Q$5&gt;=LastHist-1),MWUp,0),INDEX($F229:$AG229,1,MAX(LastHist,Q$5-MW_Delay-CHOOSE(MWSel,0,EnLag,BillLag,EnLag)))*MW_Haircut+IF(HistMWBasis=2,MWUp,0))</f>
        <v>207.5</v>
      </c>
      <c r="R233" s="5" t="n">
        <f aca="false">IF(R$5&lt;=LastHist,R229+IF(AND(HistMWBasis&gt;=2,R$5&gt;=LastHist-1),MWUp,0),INDEX($F229:$AG229,1,MAX(LastHist,R$5-MW_Delay-CHOOSE(MWSel,0,EnLag,BillLag,EnLag)))*MW_Haircut+IF(HistMWBasis=2,MWUp,0))</f>
        <v>292.4</v>
      </c>
      <c r="S233" s="5" t="n">
        <f aca="false">IF(S$5&lt;=LastHist,S229+IF(AND(HistMWBasis&gt;=2,S$5&gt;=LastHist-1),MWUp,0),INDEX($F229:$AG229,1,MAX(LastHist,S$5-MW_Delay-CHOOSE(MWSel,0,EnLag,BillLag,EnLag)))*MW_Haircut+IF(HistMWBasis=2,MWUp,0))</f>
        <v>416.4</v>
      </c>
      <c r="T233" s="5" t="n">
        <f aca="false">IF(T$5&lt;=LastHist,T229+IF(AND(HistMWBasis&gt;=2,T$5&gt;=LastHist-1),MWUp,0),INDEX($F229:$AG229,1,MAX(LastHist,T$5-MW_Delay-CHOOSE(MWSel,0,EnLag,BillLag,EnLag)))*MW_Haircut+IF(HistMWBasis=2,MWUp,0))</f>
        <v>545.1</v>
      </c>
      <c r="U233" s="5" t="n">
        <f aca="false">IF(U$5&lt;=LastHist,U229+IF(AND(HistMWBasis&gt;=2,U$5&gt;=LastHist-1),MWUp,0),INDEX($F229:$AG229,1,MAX(LastHist,U$5-MW_Delay-CHOOSE(MWSel,0,EnLag,BillLag,EnLag)))*MW_Haircut+IF(HistMWBasis=2,MWUp,0))</f>
        <v>684.5</v>
      </c>
      <c r="V233" s="5" t="n">
        <f aca="false">IF(V$5&lt;=LastHist,V229+IF(AND(HistMWBasis&gt;=2,V$5&gt;=LastHist-1),MWUp,0),INDEX($F229:$AG229,1,MAX(LastHist,V$5-MW_Delay-CHOOSE(MWSel,0,EnLag,BillLag,EnLag)))*MW_Haircut+IF(HistMWBasis=2,MWUp,0))</f>
        <v>950</v>
      </c>
      <c r="W233" s="5" t="n">
        <f aca="false">IF(W$5&lt;=LastHist,W229+IF(AND(HistMWBasis&gt;=2,W$5&gt;=LastHist-1),MWUp,0),INDEX($F229:$AG229,1,MAX(LastHist,W$5-MW_Delay-CHOOSE(MWSel,0,EnLag,BillLag,EnLag)))*MW_Haircut+IF(HistMWBasis=2,MWUp,0))</f>
        <v>1042.5</v>
      </c>
      <c r="X233" s="5" t="n">
        <f aca="false">IF(X$5&lt;=LastHist,X229+IF(AND(HistMWBasis&gt;=2,X$5&gt;=LastHist-1),MWUp,0),INDEX($F229:$AG229,1,MAX(LastHist,X$5-MW_Delay-CHOOSE(MWSel,0,EnLag,BillLag,EnLag)))*MW_Haircut+IF(HistMWBasis=2,MWUp,0))</f>
        <v>1198.5</v>
      </c>
      <c r="Y233" s="5" t="n">
        <f aca="false">IF(Y$5&lt;=LastHist,Y229+IF(AND(HistMWBasis&gt;=2,Y$5&gt;=LastHist-1),MWUp,0),INDEX($F229:$AG229,1,MAX(LastHist,Y$5-MW_Delay-CHOOSE(MWSel,0,EnLag,BillLag,EnLag)))*MW_Haircut+IF(HistMWBasis=2,MWUp,0))</f>
        <v>1211</v>
      </c>
      <c r="Z233" s="5" t="n">
        <f aca="false">IF(Z$5&lt;=LastHist,Z229+IF(AND(HistMWBasis&gt;=2,Z$5&gt;=LastHist-1),MWUp,0),INDEX($F229:$AG229,1,MAX(LastHist,Z$5-MW_Delay-CHOOSE(MWSel,0,EnLag,BillLag,EnLag)))*MW_Haircut+IF(HistMWBasis=2,MWUp,0))</f>
        <v>1539</v>
      </c>
      <c r="AA233" s="5" t="n">
        <f aca="false">IF(AA$5&lt;=LastHist,AA229+IF(AND(HistMWBasis&gt;=2,AA$5&gt;=LastHist-1),MWUp,0),INDEX($F229:$AG229,1,MAX(LastHist,AA$5-MW_Delay-CHOOSE(MWSel,0,EnLag,BillLag,EnLag)))*MW_Haircut+IF(HistMWBasis=2,MWUp,0))</f>
        <v>1539</v>
      </c>
      <c r="AB233" s="5" t="n">
        <f aca="false">IF(AB$5&lt;=LastHist,AB229+IF(AND(HistMWBasis&gt;=2,AB$5&gt;=LastHist-1),MWUp,0),INDEX($F229:$AG229,1,MAX(LastHist,AB$5-MW_Delay-CHOOSE(MWSel,0,EnLag,BillLag,EnLag)))*MW_Haircut+IF(HistMWBasis=2,MWUp,0))</f>
        <v>1875</v>
      </c>
      <c r="AC233" s="5" t="n">
        <f aca="false">IF(AC$5&lt;=LastHist,AC229+IF(AND(HistMWBasis&gt;=2,AC$5&gt;=LastHist-1),MWUp,0),INDEX($F229:$AG229,1,MAX(LastHist,AC$5-MW_Delay-CHOOSE(MWSel,0,EnLag,BillLag,EnLag)))*MW_Haircut+IF(HistMWBasis=2,MWUp,0))</f>
        <v>1875</v>
      </c>
      <c r="AD233" s="5" t="n">
        <f aca="false">IF(AD$5&lt;=LastHist,AD229+IF(AND(HistMWBasis&gt;=2,AD$5&gt;=LastHist-1),MWUp,0),INDEX($F229:$AG229,1,MAX(LastHist,AD$5-MW_Delay-CHOOSE(MWSel,0,EnLag,BillLag,EnLag)))*MW_Haircut+IF(HistMWBasis=2,MWUp,0))</f>
        <v>2343</v>
      </c>
      <c r="AE233" s="5" t="n">
        <f aca="false">IF(AE$5&lt;=LastHist,AE229+IF(AND(HistMWBasis&gt;=2,AE$5&gt;=LastHist-1),MWUp,0),INDEX($F229:$AG229,1,MAX(LastHist,AE$5-MW_Delay-CHOOSE(MWSel,0,EnLag,BillLag,EnLag)))*MW_Haircut+IF(HistMWBasis=2,MWUp,0))</f>
        <v>2343</v>
      </c>
      <c r="AF233" s="5" t="n">
        <f aca="false">IF(AF$5&lt;=LastHist,AF229+IF(AND(HistMWBasis&gt;=2,AF$5&gt;=LastHist-1),MWUp,0),INDEX($F229:$AG229,1,MAX(LastHist,AF$5-MW_Delay-CHOOSE(MWSel,0,EnLag,BillLag,EnLag)))*MW_Haircut+IF(HistMWBasis=2,MWUp,0))</f>
        <v>2343</v>
      </c>
      <c r="AG233" s="5" t="n">
        <f aca="false">IF(AG$5&lt;=LastHist,AG229+IF(AND(HistMWBasis&gt;=2,AG$5&gt;=LastHist-1),MWUp,0),INDEX($F229:$AG229,1,MAX(LastHist,AG$5-MW_Delay-CHOOSE(MWSel,0,EnLag,BillLag,EnLag)))*MW_Haircut+IF(HistMWBasis=2,MWUp,0))</f>
        <v>2343</v>
      </c>
      <c r="AI233" s="5" t="n">
        <f aca="false">INDEX($F233:$AG233,1,MATCH(AI$7,$F$7:$AG$7,1))</f>
        <v>30</v>
      </c>
      <c r="AJ233" s="5" t="n">
        <f aca="false">INDEX($F233:$AG233,1,MATCH(AJ$7,$F$7:$AG$7,1))</f>
        <v>147.7</v>
      </c>
      <c r="AK233" s="5" t="n">
        <f aca="false">INDEX($F233:$AG233,1,MATCH(AK$7,$F$7:$AG$7,1))</f>
        <v>207.5</v>
      </c>
      <c r="AL233" s="5" t="n">
        <f aca="false">INDEX($F233:$AG233,1,MATCH(AL$7,$F$7:$AG$7,1))</f>
        <v>684.5</v>
      </c>
      <c r="AM233" s="5" t="n">
        <f aca="false">INDEX($F233:$AG233,1,MATCH(AM$7,$F$7:$AG$7,1))</f>
        <v>1211</v>
      </c>
      <c r="AN233" s="5" t="n">
        <f aca="false">INDEX($F233:$AG233,1,MATCH(AN$7,$F$7:$AG$7,1))</f>
        <v>1875</v>
      </c>
      <c r="AO233" s="5" t="n">
        <f aca="false">INDEX($F233:$AG233,1,MATCH(AO$7,$F$7:$AG$7,1))</f>
        <v>2343</v>
      </c>
    </row>
    <row r="234" customFormat="false" ht="15" hidden="false" customHeight="false" outlineLevel="0" collapsed="false">
      <c r="A234" s="101" t="s">
        <v>1251</v>
      </c>
      <c r="B234" s="18" t="s">
        <v>388</v>
      </c>
      <c r="C234" s="18" t="s">
        <v>336</v>
      </c>
      <c r="D234" s="18"/>
      <c r="F234" s="113" t="n">
        <f aca="false">IF(F229&gt;0,F230/F229,0)</f>
        <v>1</v>
      </c>
      <c r="G234" s="113" t="n">
        <f aca="false">IF(G229&gt;0,G230/G229,0)</f>
        <v>1</v>
      </c>
      <c r="H234" s="113" t="n">
        <f aca="false">IF(H229&gt;0,H230/H229,0)</f>
        <v>1</v>
      </c>
      <c r="I234" s="113" t="n">
        <f aca="false">IF(I229&gt;0,I230/I229,0)</f>
        <v>0.833333333333333</v>
      </c>
      <c r="J234" s="113" t="n">
        <f aca="false">IF(J229&gt;0,J230/J229,0)</f>
        <v>0.625</v>
      </c>
      <c r="K234" s="113" t="n">
        <f aca="false">IF(K229&gt;0,K230/K229,0)</f>
        <v>0.555555555555556</v>
      </c>
      <c r="L234" s="113" t="n">
        <f aca="false">IF(L229&gt;0,L230/L229,0)</f>
        <v>0.6</v>
      </c>
      <c r="M234" s="113" t="n">
        <f aca="false">IF(M229&gt;0,M230/M229,0)</f>
        <v>0.423155044008125</v>
      </c>
      <c r="N234" s="113" t="n">
        <f aca="false">IF(N229&gt;0,N230/N229,0)</f>
        <v>0.43731778425656</v>
      </c>
      <c r="O234" s="113" t="n">
        <f aca="false">IF(O229&gt;0,O230/O229,0)</f>
        <v>0.433526011560694</v>
      </c>
      <c r="P234" s="31" t="n">
        <f aca="false">IF(P229&gt;0,P230/P229,0)</f>
        <v>0.36144578313253</v>
      </c>
      <c r="Q234" s="31" t="n">
        <f aca="false">IF(Q229&gt;0,Q230/Q229,0)</f>
        <v>0.256497948016416</v>
      </c>
      <c r="R234" s="31" t="n">
        <f aca="false">IF(R229&gt;0,R230/R229,0)</f>
        <v>0.204130643611912</v>
      </c>
      <c r="S234" s="31" t="n">
        <f aca="false">IF(S229&gt;0,S230/S229,0)</f>
        <v>0.199963309484498</v>
      </c>
      <c r="T234" s="31" t="n">
        <f aca="false">IF(T229&gt;0,T230/T229,0)</f>
        <v>0.267348429510592</v>
      </c>
      <c r="U234" s="31" t="n">
        <f aca="false">IF(U229&gt;0,U230/U229,0)</f>
        <v>0.361052631578947</v>
      </c>
      <c r="V234" s="31" t="n">
        <f aca="false">IF(V229&gt;0,V230/V229,0)</f>
        <v>0.405755395683453</v>
      </c>
      <c r="W234" s="31" t="n">
        <f aca="false">IF(W229&gt;0,W230/W229,0)</f>
        <v>0.483103879849812</v>
      </c>
      <c r="X234" s="31" t="n">
        <f aca="false">IF(X229&gt;0,X230/X229,0)</f>
        <v>0.478117258464079</v>
      </c>
      <c r="Y234" s="31" t="n">
        <f aca="false">IF(Y229&gt;0,Y230/Y229,0)</f>
        <v>0.558154645873944</v>
      </c>
      <c r="Z234" s="31" t="n">
        <f aca="false">IF(Z229&gt;0,Z230/Z229,0)</f>
        <v>0.558154645873944</v>
      </c>
      <c r="AA234" s="31" t="n">
        <f aca="false">IF(AA229&gt;0,AA230/AA229,0)</f>
        <v>0.637333333333333</v>
      </c>
      <c r="AB234" s="31" t="n">
        <f aca="false">IF(AB229&gt;0,AB230/AB229,0)</f>
        <v>0.637333333333333</v>
      </c>
      <c r="AC234" s="31" t="n">
        <f aca="false">IF(AC229&gt;0,AC230/AC229,0)</f>
        <v>0.709773794280837</v>
      </c>
      <c r="AD234" s="31" t="n">
        <f aca="false">IF(AD229&gt;0,AD230/AD229,0)</f>
        <v>0.709773794280837</v>
      </c>
      <c r="AE234" s="31" t="n">
        <f aca="false">IF(AE229&gt;0,AE230/AE229,0)</f>
        <v>0.709773794280837</v>
      </c>
      <c r="AF234" s="31" t="n">
        <f aca="false">IF(AF229&gt;0,AF230/AF229,0)</f>
        <v>0.709773794280837</v>
      </c>
      <c r="AG234" s="31" t="n">
        <f aca="false">IF(AG229&gt;0,AG230/AG229,0)</f>
        <v>0.757402782732786</v>
      </c>
      <c r="AI234" s="31" t="n">
        <f aca="false">AVERAGEIF($F$7:$AG$7,AI$7,$F234:$AG234)</f>
        <v>0.958333333333333</v>
      </c>
      <c r="AJ234" s="31" t="n">
        <f aca="false">AVERAGEIF($F$7:$AG$7,AJ$7,$F234:$AG234)</f>
        <v>0.55092764989092</v>
      </c>
      <c r="AK234" s="31" t="n">
        <f aca="false">AVERAGEIF($F$7:$AG$7,AK$7,$F234:$AG234)</f>
        <v>0.37219688174155</v>
      </c>
      <c r="AL234" s="31" t="n">
        <f aca="false">AVERAGEIF($F$7:$AG$7,AL$7,$F234:$AG234)</f>
        <v>0.258123753546487</v>
      </c>
      <c r="AM234" s="31" t="n">
        <f aca="false">AVERAGEIF($F$7:$AG$7,AM$7,$F234:$AG234)</f>
        <v>0.481282794967822</v>
      </c>
      <c r="AN234" s="31" t="n">
        <f aca="false">AVERAGEIF($F$7:$AG$7,AN$7,$F234:$AG234)</f>
        <v>0.635648776705362</v>
      </c>
      <c r="AO234" s="31" t="n">
        <f aca="false">AVERAGEIF($F$7:$AG$7,AO$7,$F234:$AG234)</f>
        <v>0.721681041393824</v>
      </c>
    </row>
    <row r="235" customFormat="false" ht="15" hidden="false" customHeight="false" outlineLevel="0" collapsed="false">
      <c r="A235" s="101" t="s">
        <v>1252</v>
      </c>
      <c r="B235" s="18" t="s">
        <v>415</v>
      </c>
      <c r="C235" s="18" t="s">
        <v>336</v>
      </c>
      <c r="D235" s="18"/>
      <c r="F235" s="105" t="n">
        <f aca="false">F233*PUE</f>
        <v>31.25</v>
      </c>
      <c r="G235" s="105" t="n">
        <f aca="false">G233*PUE</f>
        <v>31.25</v>
      </c>
      <c r="H235" s="105" t="n">
        <f aca="false">H233*PUE</f>
        <v>31.25</v>
      </c>
      <c r="I235" s="105" t="n">
        <f aca="false">I233*PUE</f>
        <v>37.5</v>
      </c>
      <c r="J235" s="105" t="n">
        <f aca="false">J233*PUE</f>
        <v>50</v>
      </c>
      <c r="K235" s="105" t="n">
        <f aca="false">K233*PUE</f>
        <v>56.25</v>
      </c>
      <c r="L235" s="105" t="n">
        <f aca="false">L233*PUE</f>
        <v>78.125</v>
      </c>
      <c r="M235" s="105" t="n">
        <f aca="false">M233*PUE</f>
        <v>184.625</v>
      </c>
      <c r="N235" s="105" t="n">
        <f aca="false">N233*PUE</f>
        <v>214.375</v>
      </c>
      <c r="O235" s="105" t="n">
        <f aca="false">O233*PUE</f>
        <v>216.25</v>
      </c>
      <c r="P235" s="25" t="n">
        <f aca="false">P233*PUE</f>
        <v>216.25</v>
      </c>
      <c r="Q235" s="25" t="n">
        <f aca="false">Q233*PUE</f>
        <v>259.375</v>
      </c>
      <c r="R235" s="25" t="n">
        <f aca="false">R233*PUE</f>
        <v>365.5</v>
      </c>
      <c r="S235" s="25" t="n">
        <f aca="false">S233*PUE</f>
        <v>520.5</v>
      </c>
      <c r="T235" s="25" t="n">
        <f aca="false">T233*PUE</f>
        <v>681.375</v>
      </c>
      <c r="U235" s="25" t="n">
        <f aca="false">U233*PUE</f>
        <v>855.625</v>
      </c>
      <c r="V235" s="25" t="n">
        <f aca="false">V233*PUE</f>
        <v>1187.5</v>
      </c>
      <c r="W235" s="25" t="n">
        <f aca="false">W233*PUE</f>
        <v>1303.125</v>
      </c>
      <c r="X235" s="25" t="n">
        <f aca="false">X233*PUE</f>
        <v>1498.125</v>
      </c>
      <c r="Y235" s="25" t="n">
        <f aca="false">Y233*PUE</f>
        <v>1513.75</v>
      </c>
      <c r="Z235" s="25" t="n">
        <f aca="false">Z233*PUE</f>
        <v>1923.75</v>
      </c>
      <c r="AA235" s="25" t="n">
        <f aca="false">AA233*PUE</f>
        <v>1923.75</v>
      </c>
      <c r="AB235" s="25" t="n">
        <f aca="false">AB233*PUE</f>
        <v>2343.75</v>
      </c>
      <c r="AC235" s="25" t="n">
        <f aca="false">AC233*PUE</f>
        <v>2343.75</v>
      </c>
      <c r="AD235" s="25" t="n">
        <f aca="false">AD233*PUE</f>
        <v>2928.75</v>
      </c>
      <c r="AE235" s="25" t="n">
        <f aca="false">AE233*PUE</f>
        <v>2928.75</v>
      </c>
      <c r="AF235" s="25" t="n">
        <f aca="false">AF233*PUE</f>
        <v>2928.75</v>
      </c>
      <c r="AG235" s="25" t="n">
        <f aca="false">AG233*PUE</f>
        <v>2928.75</v>
      </c>
      <c r="AI235" s="25" t="n">
        <f aca="false">INDEX($F235:$AG235,1,MATCH(AI$7,$F$7:$AG$7,1))</f>
        <v>37.5</v>
      </c>
      <c r="AJ235" s="25" t="n">
        <f aca="false">INDEX($F235:$AG235,1,MATCH(AJ$7,$F$7:$AG$7,1))</f>
        <v>184.625</v>
      </c>
      <c r="AK235" s="25" t="n">
        <f aca="false">INDEX($F235:$AG235,1,MATCH(AK$7,$F$7:$AG$7,1))</f>
        <v>259.375</v>
      </c>
      <c r="AL235" s="25" t="n">
        <f aca="false">INDEX($F235:$AG235,1,MATCH(AL$7,$F$7:$AG$7,1))</f>
        <v>855.625</v>
      </c>
      <c r="AM235" s="25" t="n">
        <f aca="false">INDEX($F235:$AG235,1,MATCH(AM$7,$F$7:$AG$7,1))</f>
        <v>1513.75</v>
      </c>
      <c r="AN235" s="25" t="n">
        <f aca="false">INDEX($F235:$AG235,1,MATCH(AN$7,$F$7:$AG$7,1))</f>
        <v>2343.75</v>
      </c>
      <c r="AO235" s="25" t="n">
        <f aca="false">INDEX($F235:$AG235,1,MATCH(AO$7,$F$7:$AG$7,1))</f>
        <v>2928.75</v>
      </c>
    </row>
    <row r="236" customFormat="false" ht="15" hidden="false" customHeight="false" outlineLevel="0" collapsed="false">
      <c r="A236" s="101" t="s">
        <v>1253</v>
      </c>
      <c r="B236" s="18" t="s">
        <v>415</v>
      </c>
      <c r="C236" s="18" t="s">
        <v>336</v>
      </c>
      <c r="D236" s="18"/>
      <c r="F236" s="105" t="n">
        <f aca="false">F143</f>
        <v>0</v>
      </c>
      <c r="G236" s="105" t="n">
        <f aca="false">G143</f>
        <v>0</v>
      </c>
      <c r="H236" s="105" t="n">
        <f aca="false">H143</f>
        <v>5</v>
      </c>
      <c r="I236" s="105" t="n">
        <f aca="false">I143</f>
        <v>130</v>
      </c>
      <c r="J236" s="105" t="n">
        <f aca="false">J143</f>
        <v>430</v>
      </c>
      <c r="K236" s="105" t="n">
        <f aca="false">K143</f>
        <v>454</v>
      </c>
      <c r="L236" s="105" t="n">
        <f aca="false">L143</f>
        <v>694</v>
      </c>
      <c r="M236" s="105" t="n">
        <f aca="false">M143</f>
        <v>1654</v>
      </c>
      <c r="N236" s="105" t="n">
        <f aca="false">N143</f>
        <v>2200</v>
      </c>
      <c r="O236" s="105" t="n">
        <f aca="false">O143</f>
        <v>3239</v>
      </c>
      <c r="P236" s="25" t="n">
        <f aca="false">P143</f>
        <v>3400</v>
      </c>
      <c r="Q236" s="25" t="n">
        <f aca="false">Q143</f>
        <v>4000</v>
      </c>
      <c r="R236" s="25" t="n">
        <f aca="false">R143</f>
        <v>4000</v>
      </c>
      <c r="S236" s="25" t="n">
        <f aca="false">S143</f>
        <v>4000</v>
      </c>
      <c r="T236" s="25" t="n">
        <f aca="false">T143</f>
        <v>4000</v>
      </c>
      <c r="U236" s="25" t="n">
        <f aca="false">U143</f>
        <v>4000</v>
      </c>
      <c r="V236" s="25" t="n">
        <f aca="false">V143</f>
        <v>4000</v>
      </c>
      <c r="W236" s="25" t="n">
        <f aca="false">W143</f>
        <v>4000</v>
      </c>
      <c r="X236" s="25" t="n">
        <f aca="false">X143</f>
        <v>4000</v>
      </c>
      <c r="Y236" s="25" t="n">
        <f aca="false">Y143</f>
        <v>4000</v>
      </c>
      <c r="Z236" s="25" t="n">
        <f aca="false">Z143</f>
        <v>4000</v>
      </c>
      <c r="AA236" s="25" t="n">
        <f aca="false">AA143</f>
        <v>4000</v>
      </c>
      <c r="AB236" s="25" t="n">
        <f aca="false">AB143</f>
        <v>4000</v>
      </c>
      <c r="AC236" s="25" t="n">
        <f aca="false">AC143</f>
        <v>4000</v>
      </c>
      <c r="AD236" s="25" t="n">
        <f aca="false">AD143</f>
        <v>4000</v>
      </c>
      <c r="AE236" s="25" t="n">
        <f aca="false">AE143</f>
        <v>4000</v>
      </c>
      <c r="AF236" s="25" t="n">
        <f aca="false">AF143</f>
        <v>4000</v>
      </c>
      <c r="AG236" s="25" t="n">
        <f aca="false">AG143</f>
        <v>4000</v>
      </c>
      <c r="AI236" s="25" t="n">
        <f aca="false">INDEX($F236:$AG236,1,MATCH(AI$7,$F$7:$AG$7,1))</f>
        <v>130</v>
      </c>
      <c r="AJ236" s="25" t="n">
        <f aca="false">INDEX($F236:$AG236,1,MATCH(AJ$7,$F$7:$AG$7,1))</f>
        <v>1654</v>
      </c>
      <c r="AK236" s="25" t="n">
        <f aca="false">INDEX($F236:$AG236,1,MATCH(AK$7,$F$7:$AG$7,1))</f>
        <v>4000</v>
      </c>
      <c r="AL236" s="25" t="n">
        <f aca="false">INDEX($F236:$AG236,1,MATCH(AL$7,$F$7:$AG$7,1))</f>
        <v>4000</v>
      </c>
      <c r="AM236" s="25" t="n">
        <f aca="false">INDEX($F236:$AG236,1,MATCH(AM$7,$F$7:$AG$7,1))</f>
        <v>4000</v>
      </c>
      <c r="AN236" s="25" t="n">
        <f aca="false">INDEX($F236:$AG236,1,MATCH(AN$7,$F$7:$AG$7,1))</f>
        <v>4000</v>
      </c>
      <c r="AO236" s="25" t="n">
        <f aca="false">INDEX($F236:$AG236,1,MATCH(AO$7,$F$7:$AG$7,1))</f>
        <v>4000</v>
      </c>
    </row>
    <row r="237" customFormat="false" ht="15" hidden="false" customHeight="false" outlineLevel="0" collapsed="false">
      <c r="A237" s="101" t="s">
        <v>1254</v>
      </c>
      <c r="B237" s="18" t="s">
        <v>340</v>
      </c>
      <c r="C237" s="18" t="s">
        <v>336</v>
      </c>
      <c r="D237" s="18"/>
      <c r="F237" s="114" t="n">
        <f aca="false">COUNTIF($E$12:$E$36,"Red")</f>
        <v>5</v>
      </c>
    </row>
  </sheetData>
  <dataValidations count="5">
    <dataValidation allowBlank="false" errorStyle="stop" operator="between" showDropDown="false" showErrorMessage="false" showInputMessage="false" sqref="B12:B35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6" type="list">
      <formula1>"IT,Facility"</formula1>
      <formula2>0</formula2>
    </dataValidation>
    <dataValidation allowBlank="false" errorStyle="stop" operator="between" showDropDown="false" showErrorMessage="false" showInputMessage="false" sqref="E12:E36" type="list">
      <formula1>"Green,Yellow,Red"</formula1>
      <formula2>0</formula2>
    </dataValidation>
    <dataValidation allowBlank="false" errorStyle="stop" operator="between" showDropDown="false" showErrorMessage="false" showInputMessage="false" sqref="N12:N35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5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1255</v>
      </c>
    </row>
    <row r="2" customFormat="false" ht="15" hidden="false" customHeight="false" outlineLevel="0" collapsed="false">
      <c r="A2" s="18" t="s">
        <v>1256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1257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3" t="s">
        <v>1258</v>
      </c>
      <c r="B11" s="3" t="s">
        <v>1259</v>
      </c>
      <c r="C11" s="3" t="s">
        <v>1260</v>
      </c>
      <c r="D11" s="3" t="s">
        <v>1261</v>
      </c>
      <c r="E11" s="3" t="s">
        <v>1262</v>
      </c>
      <c r="F11" s="3" t="s">
        <v>1263</v>
      </c>
      <c r="G11" s="3" t="s">
        <v>1264</v>
      </c>
      <c r="H11" s="3" t="s">
        <v>1265</v>
      </c>
      <c r="I11" s="3" t="s">
        <v>331</v>
      </c>
      <c r="J11" s="3" t="s">
        <v>1266</v>
      </c>
    </row>
    <row r="12" customFormat="false" ht="15" hidden="false" customHeight="false" outlineLevel="0" collapsed="false">
      <c r="A12" s="0" t="s">
        <v>1267</v>
      </c>
      <c r="B12" s="0" t="s">
        <v>1268</v>
      </c>
      <c r="C12" s="80" t="n">
        <v>3.85</v>
      </c>
      <c r="D12" s="80" t="n">
        <v>4.5</v>
      </c>
      <c r="E12" s="80" t="n">
        <v>0.79</v>
      </c>
      <c r="F12" s="20" t="n">
        <f aca="false">D12*(1-ResDisc)</f>
        <v>2.925</v>
      </c>
      <c r="G12" s="63" t="n">
        <v>0.5</v>
      </c>
      <c r="H12" s="0" t="s">
        <v>348</v>
      </c>
      <c r="I12" s="18" t="s">
        <v>1269</v>
      </c>
      <c r="J12" s="20" t="n">
        <f aca="false">ODq_H100</f>
        <v>3.25</v>
      </c>
    </row>
    <row r="13" customFormat="false" ht="15" hidden="false" customHeight="false" outlineLevel="0" collapsed="false">
      <c r="A13" s="0" t="s">
        <v>1270</v>
      </c>
      <c r="B13" s="0" t="s">
        <v>1268</v>
      </c>
      <c r="C13" s="80" t="n">
        <v>4.5</v>
      </c>
      <c r="D13" s="80" t="n">
        <v>5.4</v>
      </c>
      <c r="E13" s="80" t="n">
        <v>0.79</v>
      </c>
      <c r="F13" s="20" t="n">
        <f aca="false">D13*(1-ResDisc)</f>
        <v>3.51</v>
      </c>
      <c r="G13" s="63" t="n">
        <v>0.5</v>
      </c>
      <c r="H13" s="0" t="s">
        <v>348</v>
      </c>
      <c r="I13" s="18" t="s">
        <v>1271</v>
      </c>
      <c r="J13" s="20" t="n">
        <f aca="false">C13</f>
        <v>4.5</v>
      </c>
    </row>
    <row r="14" customFormat="false" ht="15" hidden="false" customHeight="false" outlineLevel="0" collapsed="false">
      <c r="A14" s="0" t="s">
        <v>1272</v>
      </c>
      <c r="B14" s="0" t="s">
        <v>1273</v>
      </c>
      <c r="C14" s="80" t="n">
        <v>7.15</v>
      </c>
      <c r="D14" s="80" t="n">
        <v>8.5</v>
      </c>
      <c r="E14" s="80" t="n">
        <v>0.99</v>
      </c>
      <c r="F14" s="20" t="n">
        <f aca="false">D14*(1-ResDisc)</f>
        <v>5.525</v>
      </c>
      <c r="G14" s="63" t="n">
        <v>0.25</v>
      </c>
      <c r="H14" s="0" t="s">
        <v>348</v>
      </c>
      <c r="I14" s="18" t="s">
        <v>1271</v>
      </c>
      <c r="J14" s="20" t="n">
        <f aca="false">C14</f>
        <v>7.15</v>
      </c>
    </row>
    <row r="15" customFormat="false" ht="15" hidden="false" customHeight="false" outlineLevel="0" collapsed="false">
      <c r="A15" s="0" t="s">
        <v>1274</v>
      </c>
      <c r="B15" s="0" t="s">
        <v>1273</v>
      </c>
      <c r="C15" s="80" t="n">
        <v>7.85</v>
      </c>
      <c r="D15" s="80" t="n">
        <v>9.5</v>
      </c>
      <c r="E15" s="80" t="n">
        <v>0.99</v>
      </c>
      <c r="F15" s="20" t="n">
        <f aca="false">D15*(1-ResDisc)</f>
        <v>6.175</v>
      </c>
      <c r="G15" s="63" t="n">
        <v>0.25</v>
      </c>
      <c r="H15" s="0" t="s">
        <v>348</v>
      </c>
      <c r="I15" s="18" t="s">
        <v>1271</v>
      </c>
      <c r="J15" s="20" t="n">
        <f aca="false">C15</f>
        <v>7.85</v>
      </c>
    </row>
    <row r="16" customFormat="false" ht="15" hidden="false" customHeight="false" outlineLevel="0" collapsed="false">
      <c r="A16" s="0" t="s">
        <v>1275</v>
      </c>
      <c r="B16" s="0" t="s">
        <v>1273</v>
      </c>
      <c r="C16" s="115" t="n">
        <f aca="false">C15*GB_Prem</f>
        <v>9.577</v>
      </c>
      <c r="D16" s="115" t="n">
        <f aca="false">D15*GB_Prem</f>
        <v>11.59</v>
      </c>
      <c r="E16" s="115" t="n">
        <f aca="false">E15</f>
        <v>0.99</v>
      </c>
      <c r="F16" s="20" t="n">
        <f aca="false">D16*(1-ResDisc)</f>
        <v>7.5335</v>
      </c>
      <c r="G16" s="63" t="n">
        <v>0.25</v>
      </c>
      <c r="H16" s="0" t="s">
        <v>786</v>
      </c>
      <c r="I16" s="18" t="s">
        <v>1276</v>
      </c>
      <c r="J16" s="20" t="n">
        <f aca="false">C16</f>
        <v>9.577</v>
      </c>
    </row>
    <row r="17" customFormat="false" ht="15" hidden="false" customHeight="false" outlineLevel="0" collapsed="false">
      <c r="A17" s="0" t="s">
        <v>1074</v>
      </c>
      <c r="B17" s="0" t="s">
        <v>1273</v>
      </c>
      <c r="C17" s="115" t="n">
        <f aca="false">C15*GB_Prem</f>
        <v>9.577</v>
      </c>
      <c r="D17" s="115" t="n">
        <f aca="false">D15*GB_Prem</f>
        <v>11.59</v>
      </c>
      <c r="E17" s="115" t="n">
        <f aca="false">E15</f>
        <v>0.99</v>
      </c>
      <c r="F17" s="20" t="n">
        <f aca="false">D17*(1-ResDisc)</f>
        <v>7.5335</v>
      </c>
      <c r="G17" s="63" t="n">
        <v>0.25</v>
      </c>
      <c r="H17" s="0" t="s">
        <v>786</v>
      </c>
      <c r="I17" s="18" t="s">
        <v>1277</v>
      </c>
      <c r="J17" s="20" t="n">
        <f aca="false">C17</f>
        <v>9.577</v>
      </c>
    </row>
    <row r="18" customFormat="false" ht="15" hidden="false" customHeight="false" outlineLevel="0" collapsed="false">
      <c r="A18" s="0" t="s">
        <v>1278</v>
      </c>
      <c r="B18" s="0" t="s">
        <v>1279</v>
      </c>
      <c r="C18" s="115" t="n">
        <f aca="false">C15*Rubin_Prem*GB_Prem</f>
        <v>14.9640625</v>
      </c>
      <c r="D18" s="115" t="n">
        <f aca="false">D15*Rubin_Prem*GB_Prem</f>
        <v>18.109375</v>
      </c>
      <c r="E18" s="115" t="n">
        <f aca="false">E15</f>
        <v>0.99</v>
      </c>
      <c r="F18" s="20" t="n">
        <f aca="false">D18*(1-ResDisc)</f>
        <v>11.77109375</v>
      </c>
      <c r="G18" s="63" t="n">
        <v>1</v>
      </c>
      <c r="H18" s="0" t="s">
        <v>786</v>
      </c>
      <c r="I18" s="18" t="s">
        <v>1280</v>
      </c>
      <c r="J18" s="20" t="n">
        <f aca="false">C18</f>
        <v>14.9640625</v>
      </c>
    </row>
    <row r="20" customFormat="false" ht="15" hidden="false" customHeight="false" outlineLevel="0" collapsed="false">
      <c r="A20" s="3" t="s">
        <v>1281</v>
      </c>
      <c r="B20" s="3" t="s">
        <v>1259</v>
      </c>
      <c r="C20" s="3" t="s">
        <v>1282</v>
      </c>
      <c r="D20" s="3" t="s">
        <v>1283</v>
      </c>
      <c r="E20" s="3" t="s">
        <v>1284</v>
      </c>
      <c r="F20" s="3" t="s">
        <v>1285</v>
      </c>
    </row>
    <row r="21" customFormat="false" ht="15" hidden="false" customHeight="false" outlineLevel="0" collapsed="false">
      <c r="A21" s="0" t="s">
        <v>1286</v>
      </c>
      <c r="B21" s="0" t="s">
        <v>1268</v>
      </c>
      <c r="C21" s="20" t="n">
        <f aca="false">SUMPRODUCT(($B$12:$B$18=$B21)*C$12:C$18*$G$12:$G$18)/SUMIF($B$12:$B$18,$B21,$G$12:$G$18)</f>
        <v>4.175</v>
      </c>
      <c r="D21" s="20" t="n">
        <f aca="false">SUMPRODUCT(($B$12:$B$18=$B21)*D$12:D$18*$G$12:$G$18)/SUMIF($B$12:$B$18,$B21,$G$12:$G$18)</f>
        <v>4.95</v>
      </c>
      <c r="E21" s="20" t="n">
        <f aca="false">SUMPRODUCT(($B$12:$B$18=$B21)*E$12:E$18*$G$12:$G$18)/SUMIF($B$12:$B$18,$B21,$G$12:$G$18)</f>
        <v>0.79</v>
      </c>
      <c r="F21" s="20" t="n">
        <f aca="false">SUMPRODUCT(($B$12:$B$18=$B21)*F$12:F$18*$G$12:$G$18)/SUMIF($B$12:$B$18,$B21,$G$12:$G$18)</f>
        <v>3.2175</v>
      </c>
      <c r="J21" s="20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1287</v>
      </c>
      <c r="B22" s="0" t="s">
        <v>1273</v>
      </c>
      <c r="C22" s="20" t="n">
        <f aca="false">SUMPRODUCT(($B$12:$B$18=$B22)*C$12:C$18*$G$12:$G$18)/SUMIF($B$12:$B$18,$B22,$G$12:$G$18)</f>
        <v>8.5385</v>
      </c>
      <c r="D22" s="20" t="n">
        <f aca="false">SUMPRODUCT(($B$12:$B$18=$B22)*D$12:D$18*$G$12:$G$18)/SUMIF($B$12:$B$18,$B22,$G$12:$G$18)</f>
        <v>10.295</v>
      </c>
      <c r="E22" s="20" t="n">
        <f aca="false">SUMPRODUCT(($B$12:$B$18=$B22)*E$12:E$18*$G$12:$G$18)/SUMIF($B$12:$B$18,$B22,$G$12:$G$18)</f>
        <v>0.99</v>
      </c>
      <c r="F22" s="20" t="n">
        <f aca="false">SUMPRODUCT(($B$12:$B$18=$B22)*F$12:F$18*$G$12:$G$18)/SUMIF($B$12:$B$18,$B22,$G$12:$G$18)</f>
        <v>6.69175</v>
      </c>
      <c r="J22" s="20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1288</v>
      </c>
      <c r="B23" s="0" t="s">
        <v>1279</v>
      </c>
      <c r="C23" s="20" t="n">
        <f aca="false">SUMPRODUCT(($B$12:$B$18=$B23)*C$12:C$18*$G$12:$G$18)/SUMIF($B$12:$B$18,$B23,$G$12:$G$18)</f>
        <v>14.9640625</v>
      </c>
      <c r="D23" s="20" t="n">
        <f aca="false">SUMPRODUCT(($B$12:$B$18=$B23)*D$12:D$18*$G$12:$G$18)/SUMIF($B$12:$B$18,$B23,$G$12:$G$18)</f>
        <v>18.109375</v>
      </c>
      <c r="E23" s="20" t="n">
        <f aca="false">SUMPRODUCT(($B$12:$B$18=$B23)*E$12:E$18*$G$12:$G$18)/SUMIF($B$12:$B$18,$B23,$G$12:$G$18)</f>
        <v>0.99</v>
      </c>
      <c r="F23" s="20" t="n">
        <f aca="false">SUMPRODUCT(($B$12:$B$18=$B23)*F$12:F$18*$G$12:$G$18)/SUMIF($B$12:$B$18,$B23,$G$12:$G$18)</f>
        <v>11.77109375</v>
      </c>
      <c r="J23" s="20" t="n">
        <f aca="false">SUMPRODUCT(($B$12:$B$18=$B23)*J$12:J$18*$G$12:$G$18)/SUMIF($B$12:$B$18,$B23,$G$12:$G$18)</f>
        <v>14.9640625</v>
      </c>
    </row>
    <row r="25" customFormat="false" ht="15" hidden="false" customHeight="false" outlineLevel="0" collapsed="false">
      <c r="A25" s="48" t="s">
        <v>1289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 customFormat="false" ht="15" hidden="false" customHeight="false" outlineLevel="0" collapsed="false">
      <c r="A26" s="101" t="s">
        <v>1290</v>
      </c>
      <c r="B26" s="18" t="s">
        <v>392</v>
      </c>
      <c r="C26" s="18" t="s">
        <v>385</v>
      </c>
      <c r="D26" s="18"/>
      <c r="F26" s="116" t="n">
        <f aca="false">IF(AND(RepriceOn=1,F$5&lt;=LastHist),ODq_H,IF(F$5&lt;PxBaseIdx,ODp_H,ODc_H))*IF(F$5&gt;LastHist,PxMult,1)*(1+PxChg_H)^(MAX(0,F$5-PxBaseIdx)/4)</f>
        <v>3.875</v>
      </c>
      <c r="G26" s="116" t="n">
        <f aca="false">IF(AND(RepriceOn=1,G$5&lt;=LastHist),ODq_H,IF(G$5&lt;PxBaseIdx,ODp_H,ODc_H))*IF(G$5&gt;LastHist,PxMult,1)*(1+PxChg_H)^(MAX(0,G$5-PxBaseIdx)/4)</f>
        <v>3.875</v>
      </c>
      <c r="H26" s="116" t="n">
        <f aca="false">IF(AND(RepriceOn=1,H$5&lt;=LastHist),ODq_H,IF(H$5&lt;PxBaseIdx,ODp_H,ODc_H))*IF(H$5&gt;LastHist,PxMult,1)*(1+PxChg_H)^(MAX(0,H$5-PxBaseIdx)/4)</f>
        <v>3.875</v>
      </c>
      <c r="I26" s="116" t="n">
        <f aca="false">IF(AND(RepriceOn=1,I$5&lt;=LastHist),ODq_H,IF(I$5&lt;PxBaseIdx,ODp_H,ODc_H))*IF(I$5&gt;LastHist,PxMult,1)*(1+PxChg_H)^(MAX(0,I$5-PxBaseIdx)/4)</f>
        <v>3.875</v>
      </c>
      <c r="J26" s="116" t="n">
        <f aca="false">IF(AND(RepriceOn=1,J$5&lt;=LastHist),ODq_H,IF(J$5&lt;PxBaseIdx,ODp_H,ODc_H))*IF(J$5&gt;LastHist,PxMult,1)*(1+PxChg_H)^(MAX(0,J$5-PxBaseIdx)/4)</f>
        <v>3.875</v>
      </c>
      <c r="K26" s="116" t="n">
        <f aca="false">IF(AND(RepriceOn=1,K$5&lt;=LastHist),ODq_H,IF(K$5&lt;PxBaseIdx,ODp_H,ODc_H))*IF(K$5&gt;LastHist,PxMult,1)*(1+PxChg_H)^(MAX(0,K$5-PxBaseIdx)/4)</f>
        <v>3.875</v>
      </c>
      <c r="L26" s="116" t="n">
        <f aca="false">IF(AND(RepriceOn=1,L$5&lt;=LastHist),ODq_H,IF(L$5&lt;PxBaseIdx,ODp_H,ODc_H))*IF(L$5&gt;LastHist,PxMult,1)*(1+PxChg_H)^(MAX(0,L$5-PxBaseIdx)/4)</f>
        <v>3.875</v>
      </c>
      <c r="M26" s="116" t="n">
        <f aca="false">IF(AND(RepriceOn=1,M$5&lt;=LastHist),ODq_H,IF(M$5&lt;PxBaseIdx,ODp_H,ODc_H))*IF(M$5&gt;LastHist,PxMult,1)*(1+PxChg_H)^(MAX(0,M$5-PxBaseIdx)/4)</f>
        <v>3.875</v>
      </c>
      <c r="N26" s="116" t="n">
        <f aca="false">IF(AND(RepriceOn=1,N$5&lt;=LastHist),ODq_H,IF(N$5&lt;PxBaseIdx,ODp_H,ODc_H))*IF(N$5&gt;LastHist,PxMult,1)*(1+PxChg_H)^(MAX(0,N$5-PxBaseIdx)/4)</f>
        <v>3.875</v>
      </c>
      <c r="O26" s="116" t="n">
        <f aca="false">IF(AND(RepriceOn=1,O$5&lt;=LastHist),ODq_H,IF(O$5&lt;PxBaseIdx,ODp_H,ODc_H))*IF(O$5&gt;LastHist,PxMult,1)*(1+PxChg_H)^(MAX(0,O$5-PxBaseIdx)/4)</f>
        <v>3.875</v>
      </c>
      <c r="P26" s="20" t="n">
        <f aca="false">IF(AND(RepriceOn=1,P$5&lt;=LastHist),ODq_H,IF(P$5&lt;PxBaseIdx,ODp_H,ODc_H))*IF(P$5&gt;LastHist,PxMult,1)*(1+PxChg_H)^(MAX(0,P$5-PxBaseIdx)/4)</f>
        <v>4.175</v>
      </c>
      <c r="Q26" s="20" t="n">
        <f aca="false">IF(AND(RepriceOn=1,Q$5&lt;=LastHist),ODq_H,IF(Q$5&lt;PxBaseIdx,ODp_H,ODc_H))*IF(Q$5&gt;LastHist,PxMult,1)*(1+PxChg_H)^(MAX(0,Q$5-PxBaseIdx)/4)</f>
        <v>4.95</v>
      </c>
      <c r="R26" s="20" t="n">
        <f aca="false">IF(AND(RepriceOn=1,R$5&lt;=LastHist),ODq_H,IF(R$5&lt;PxBaseIdx,ODp_H,ODc_H))*IF(R$5&gt;LastHist,PxMult,1)*(1+PxChg_H)^(MAX(0,R$5-PxBaseIdx)/4)</f>
        <v>4.75291371755073</v>
      </c>
      <c r="S26" s="20" t="n">
        <f aca="false">IF(AND(RepriceOn=1,S$5&lt;=LastHist),ODq_H,IF(S$5&lt;PxBaseIdx,ODp_H,ODc_H))*IF(S$5&gt;LastHist,PxMult,1)*(1+PxChg_H)^(MAX(0,S$5-PxBaseIdx)/4)</f>
        <v>4.56367450635998</v>
      </c>
      <c r="T26" s="20" t="n">
        <f aca="false">IF(AND(RepriceOn=1,T$5&lt;=LastHist),ODq_H,IF(T$5&lt;PxBaseIdx,ODp_H,ODc_H))*IF(T$5&gt;LastHist,PxMult,1)*(1+PxChg_H)^(MAX(0,T$5-PxBaseIdx)/4)</f>
        <v>4.38196993206362</v>
      </c>
      <c r="U26" s="20" t="n">
        <f aca="false">IF(AND(RepriceOn=1,U$5&lt;=LastHist),ODq_H,IF(U$5&lt;PxBaseIdx,ODp_H,ODc_H))*IF(U$5&gt;LastHist,PxMult,1)*(1+PxChg_H)^(MAX(0,U$5-PxBaseIdx)/4)</f>
        <v>4.2075</v>
      </c>
      <c r="V26" s="20" t="n">
        <f aca="false">IF(AND(RepriceOn=1,V$5&lt;=LastHist),ODq_H,IF(V$5&lt;PxBaseIdx,ODp_H,ODc_H))*IF(V$5&gt;LastHist,PxMult,1)*(1+PxChg_H)^(MAX(0,V$5-PxBaseIdx)/4)</f>
        <v>4.03997665991812</v>
      </c>
      <c r="W26" s="20" t="n">
        <f aca="false">IF(AND(RepriceOn=1,W$5&lt;=LastHist),ODq_H,IF(W$5&lt;PxBaseIdx,ODp_H,ODc_H))*IF(W$5&gt;LastHist,PxMult,1)*(1+PxChg_H)^(MAX(0,W$5-PxBaseIdx)/4)</f>
        <v>3.87912333040598</v>
      </c>
      <c r="X26" s="20" t="n">
        <f aca="false">IF(AND(RepriceOn=1,X$5&lt;=LastHist),ODq_H,IF(X$5&lt;PxBaseIdx,ODp_H,ODc_H))*IF(X$5&gt;LastHist,PxMult,1)*(1+PxChg_H)^(MAX(0,X$5-PxBaseIdx)/4)</f>
        <v>3.72467444225407</v>
      </c>
      <c r="Y26" s="20" t="n">
        <f aca="false">IF(AND(RepriceOn=1,Y$5&lt;=LastHist),ODq_H,IF(Y$5&lt;PxBaseIdx,ODp_H,ODc_H))*IF(Y$5&gt;LastHist,PxMult,1)*(1+PxChg_H)^(MAX(0,Y$5-PxBaseIdx)/4)</f>
        <v>3.576375</v>
      </c>
      <c r="Z26" s="20" t="n">
        <f aca="false">IF(AND(RepriceOn=1,Z$5&lt;=LastHist),ODq_H,IF(Z$5&lt;PxBaseIdx,ODp_H,ODc_H))*IF(Z$5&gt;LastHist,PxMult,1)*(1+PxChg_H)^(MAX(0,Z$5-PxBaseIdx)/4)</f>
        <v>3.4339801609304</v>
      </c>
      <c r="AA26" s="20" t="n">
        <f aca="false">IF(AND(RepriceOn=1,AA$5&lt;=LastHist),ODq_H,IF(AA$5&lt;PxBaseIdx,ODp_H,ODc_H))*IF(AA$5&gt;LastHist,PxMult,1)*(1+PxChg_H)^(MAX(0,AA$5-PxBaseIdx)/4)</f>
        <v>3.29725483084509</v>
      </c>
      <c r="AB26" s="20" t="n">
        <f aca="false">IF(AND(RepriceOn=1,AB$5&lt;=LastHist),ODq_H,IF(AB$5&lt;PxBaseIdx,ODp_H,ODc_H))*IF(AB$5&gt;LastHist,PxMult,1)*(1+PxChg_H)^(MAX(0,AB$5-PxBaseIdx)/4)</f>
        <v>3.16597327591596</v>
      </c>
      <c r="AC26" s="20" t="n">
        <f aca="false">IF(AND(RepriceOn=1,AC$5&lt;=LastHist),ODq_H,IF(AC$5&lt;PxBaseIdx,ODp_H,ODc_H))*IF(AC$5&gt;LastHist,PxMult,1)*(1+PxChg_H)^(MAX(0,AC$5-PxBaseIdx)/4)</f>
        <v>3.03991875</v>
      </c>
      <c r="AD26" s="20" t="n">
        <f aca="false">IF(AND(RepriceOn=1,AD$5&lt;=LastHist),ODq_H,IF(AD$5&lt;PxBaseIdx,ODp_H,ODc_H))*IF(AD$5&gt;LastHist,PxMult,1)*(1+PxChg_H)^(MAX(0,AD$5-PxBaseIdx)/4)</f>
        <v>2.91888313679084</v>
      </c>
      <c r="AE26" s="20" t="n">
        <f aca="false">IF(AND(RepriceOn=1,AE$5&lt;=LastHist),ODq_H,IF(AE$5&lt;PxBaseIdx,ODp_H,ODc_H))*IF(AE$5&gt;LastHist,PxMult,1)*(1+PxChg_H)^(MAX(0,AE$5-PxBaseIdx)/4)</f>
        <v>2.80266660621832</v>
      </c>
      <c r="AF26" s="20" t="n">
        <f aca="false">IF(AND(RepriceOn=1,AF$5&lt;=LastHist),ODq_H,IF(AF$5&lt;PxBaseIdx,ODp_H,ODc_H))*IF(AF$5&gt;LastHist,PxMult,1)*(1+PxChg_H)^(MAX(0,AF$5-PxBaseIdx)/4)</f>
        <v>2.69107728452857</v>
      </c>
      <c r="AG26" s="20" t="n">
        <f aca="false">IF(AND(RepriceOn=1,AG$5&lt;=LastHist),ODq_H,IF(AG$5&lt;PxBaseIdx,ODp_H,ODc_H))*IF(AG$5&gt;LastHist,PxMult,1)*(1+PxChg_H)^(MAX(0,AG$5-PxBaseIdx)/4)</f>
        <v>2.5839309375</v>
      </c>
      <c r="AI26" s="20" t="n">
        <f aca="false">AVERAGEIF($F$7:$AG$7,AI$7,$F26:$AG26)</f>
        <v>3.875</v>
      </c>
      <c r="AJ26" s="20" t="n">
        <f aca="false">AVERAGEIF($F$7:$AG$7,AJ$7,$F26:$AG26)</f>
        <v>3.875</v>
      </c>
      <c r="AK26" s="20" t="n">
        <f aca="false">AVERAGEIF($F$7:$AG$7,AK$7,$F26:$AG26)</f>
        <v>4.21875</v>
      </c>
      <c r="AL26" s="20" t="n">
        <f aca="false">AVERAGEIF($F$7:$AG$7,AL$7,$F26:$AG26)</f>
        <v>4.47651453899358</v>
      </c>
      <c r="AM26" s="20" t="n">
        <f aca="false">AVERAGEIF($F$7:$AG$7,AM$7,$F26:$AG26)</f>
        <v>3.80503735814454</v>
      </c>
      <c r="AN26" s="20" t="n">
        <f aca="false">AVERAGEIF($F$7:$AG$7,AN$7,$F26:$AG26)</f>
        <v>3.23428175442286</v>
      </c>
      <c r="AO26" s="20" t="n">
        <f aca="false">AVERAGEIF($F$7:$AG$7,AO$7,$F26:$AG26)</f>
        <v>2.74913949125943</v>
      </c>
    </row>
    <row r="27" customFormat="false" ht="15" hidden="false" customHeight="false" outlineLevel="0" collapsed="false">
      <c r="A27" s="101" t="s">
        <v>1291</v>
      </c>
      <c r="B27" s="18" t="s">
        <v>392</v>
      </c>
      <c r="C27" s="18" t="s">
        <v>385</v>
      </c>
      <c r="D27" s="18" t="s">
        <v>1292</v>
      </c>
      <c r="F27" s="116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16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16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16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16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16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16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16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16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16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0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0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0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0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0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0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0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0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0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0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0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0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0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0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0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0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0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0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0" t="n">
        <f aca="false">AVERAGEIF($F$7:$AG$7,AI$7,$F27:$AG27)</f>
        <v>2.79</v>
      </c>
      <c r="AJ27" s="20" t="n">
        <f aca="false">AVERAGEIF($F$7:$AG$7,AJ$7,$F27:$AG27)</f>
        <v>2.79</v>
      </c>
      <c r="AK27" s="20" t="n">
        <f aca="false">AVERAGEIF($F$7:$AG$7,AK$7,$F27:$AG27)</f>
        <v>2.845125</v>
      </c>
      <c r="AL27" s="20" t="n">
        <f aca="false">AVERAGEIF($F$7:$AG$7,AL$7,$F27:$AG27)</f>
        <v>3.01316149886423</v>
      </c>
      <c r="AM27" s="20" t="n">
        <f aca="false">AVERAGEIF($F$7:$AG$7,AM$7,$F27:$AG27)</f>
        <v>2.73591492301591</v>
      </c>
      <c r="AN27" s="20" t="n">
        <f aca="false">AVERAGEIF($F$7:$AG$7,AN$7,$F27:$AG27)</f>
        <v>2.32868286318446</v>
      </c>
      <c r="AO27" s="20" t="n">
        <f aca="false">AVERAGEIF($F$7:$AG$7,AO$7,$F27:$AG27)</f>
        <v>1.97938043370679</v>
      </c>
    </row>
    <row r="28" customFormat="false" ht="15" hidden="false" customHeight="false" outlineLevel="0" collapsed="false">
      <c r="A28" s="101" t="s">
        <v>1293</v>
      </c>
      <c r="B28" s="18" t="s">
        <v>392</v>
      </c>
      <c r="C28" s="18" t="s">
        <v>385</v>
      </c>
      <c r="D28" s="18" t="s">
        <v>1294</v>
      </c>
      <c r="F28" s="116" t="n">
        <f aca="false">Spot_H*IF(F$5&gt;LastHist,PxMult,1)*(1+PxChg_H)^(MAX(0,F$5-PxBaseIdx)/4)</f>
        <v>0.79</v>
      </c>
      <c r="G28" s="116" t="n">
        <f aca="false">Spot_H*IF(G$5&gt;LastHist,PxMult,1)*(1+PxChg_H)^(MAX(0,G$5-PxBaseIdx)/4)</f>
        <v>0.79</v>
      </c>
      <c r="H28" s="116" t="n">
        <f aca="false">Spot_H*IF(H$5&gt;LastHist,PxMult,1)*(1+PxChg_H)^(MAX(0,H$5-PxBaseIdx)/4)</f>
        <v>0.79</v>
      </c>
      <c r="I28" s="116" t="n">
        <f aca="false">Spot_H*IF(I$5&gt;LastHist,PxMult,1)*(1+PxChg_H)^(MAX(0,I$5-PxBaseIdx)/4)</f>
        <v>0.79</v>
      </c>
      <c r="J28" s="116" t="n">
        <f aca="false">Spot_H*IF(J$5&gt;LastHist,PxMult,1)*(1+PxChg_H)^(MAX(0,J$5-PxBaseIdx)/4)</f>
        <v>0.79</v>
      </c>
      <c r="K28" s="116" t="n">
        <f aca="false">Spot_H*IF(K$5&gt;LastHist,PxMult,1)*(1+PxChg_H)^(MAX(0,K$5-PxBaseIdx)/4)</f>
        <v>0.79</v>
      </c>
      <c r="L28" s="116" t="n">
        <f aca="false">Spot_H*IF(L$5&gt;LastHist,PxMult,1)*(1+PxChg_H)^(MAX(0,L$5-PxBaseIdx)/4)</f>
        <v>0.79</v>
      </c>
      <c r="M28" s="116" t="n">
        <f aca="false">Spot_H*IF(M$5&gt;LastHist,PxMult,1)*(1+PxChg_H)^(MAX(0,M$5-PxBaseIdx)/4)</f>
        <v>0.79</v>
      </c>
      <c r="N28" s="116" t="n">
        <f aca="false">Spot_H*IF(N$5&gt;LastHist,PxMult,1)*(1+PxChg_H)^(MAX(0,N$5-PxBaseIdx)/4)</f>
        <v>0.79</v>
      </c>
      <c r="O28" s="116" t="n">
        <f aca="false">Spot_H*IF(O$5&gt;LastHist,PxMult,1)*(1+PxChg_H)^(MAX(0,O$5-PxBaseIdx)/4)</f>
        <v>0.79</v>
      </c>
      <c r="P28" s="20" t="n">
        <f aca="false">Spot_H*IF(P$5&gt;LastHist,PxMult,1)*(1+PxChg_H)^(MAX(0,P$5-PxBaseIdx)/4)</f>
        <v>0.79</v>
      </c>
      <c r="Q28" s="20" t="n">
        <f aca="false">Spot_H*IF(Q$5&gt;LastHist,PxMult,1)*(1+PxChg_H)^(MAX(0,Q$5-PxBaseIdx)/4)</f>
        <v>0.79</v>
      </c>
      <c r="R28" s="20" t="n">
        <f aca="false">Spot_H*IF(R$5&gt;LastHist,PxMult,1)*(1+PxChg_H)^(MAX(0,R$5-PxBaseIdx)/4)</f>
        <v>0.758545825629308</v>
      </c>
      <c r="S28" s="20" t="n">
        <f aca="false">Spot_H*IF(S$5&gt;LastHist,PxMult,1)*(1+PxChg_H)^(MAX(0,S$5-PxBaseIdx)/4)</f>
        <v>0.728344012126138</v>
      </c>
      <c r="T28" s="20" t="n">
        <f aca="false">Spot_H*IF(T$5&gt;LastHist,PxMult,1)*(1+PxChg_H)^(MAX(0,T$5-PxBaseIdx)/4)</f>
        <v>0.699344696228335</v>
      </c>
      <c r="U28" s="20" t="n">
        <f aca="false">Spot_H*IF(U$5&gt;LastHist,PxMult,1)*(1+PxChg_H)^(MAX(0,U$5-PxBaseIdx)/4)</f>
        <v>0.6715</v>
      </c>
      <c r="V28" s="20" t="n">
        <f aca="false">Spot_H*IF(V$5&gt;LastHist,PxMult,1)*(1+PxChg_H)^(MAX(0,V$5-PxBaseIdx)/4)</f>
        <v>0.644763951784912</v>
      </c>
      <c r="W28" s="20" t="n">
        <f aca="false">Spot_H*IF(W$5&gt;LastHist,PxMult,1)*(1+PxChg_H)^(MAX(0,W$5-PxBaseIdx)/4)</f>
        <v>0.619092410307217</v>
      </c>
      <c r="X28" s="20" t="n">
        <f aca="false">Spot_H*IF(X$5&gt;LastHist,PxMult,1)*(1+PxChg_H)^(MAX(0,X$5-PxBaseIdx)/4)</f>
        <v>0.594442991794084</v>
      </c>
      <c r="Y28" s="20" t="n">
        <f aca="false">Spot_H*IF(Y$5&gt;LastHist,PxMult,1)*(1+PxChg_H)^(MAX(0,Y$5-PxBaseIdx)/4)</f>
        <v>0.570775</v>
      </c>
      <c r="Z28" s="20" t="n">
        <f aca="false">Spot_H*IF(Z$5&gt;LastHist,PxMult,1)*(1+PxChg_H)^(MAX(0,Z$5-PxBaseIdx)/4)</f>
        <v>0.548049359017175</v>
      </c>
      <c r="AA28" s="20" t="n">
        <f aca="false">Spot_H*IF(AA$5&gt;LastHist,PxMult,1)*(1+PxChg_H)^(MAX(0,AA$5-PxBaseIdx)/4)</f>
        <v>0.526228548761135</v>
      </c>
      <c r="AB28" s="20" t="n">
        <f aca="false">Spot_H*IF(AB$5&gt;LastHist,PxMult,1)*(1+PxChg_H)^(MAX(0,AB$5-PxBaseIdx)/4)</f>
        <v>0.505276543024972</v>
      </c>
      <c r="AC28" s="20" t="n">
        <f aca="false">Spot_H*IF(AC$5&gt;LastHist,PxMult,1)*(1+PxChg_H)^(MAX(0,AC$5-PxBaseIdx)/4)</f>
        <v>0.48515875</v>
      </c>
      <c r="AD28" s="20" t="n">
        <f aca="false">Spot_H*IF(AD$5&gt;LastHist,PxMult,1)*(1+PxChg_H)^(MAX(0,AD$5-PxBaseIdx)/4)</f>
        <v>0.465841955164599</v>
      </c>
      <c r="AE28" s="20" t="n">
        <f aca="false">Spot_H*IF(AE$5&gt;LastHist,PxMult,1)*(1+PxChg_H)^(MAX(0,AE$5-PxBaseIdx)/4)</f>
        <v>0.447294266446965</v>
      </c>
      <c r="AF28" s="20" t="n">
        <f aca="false">Spot_H*IF(AF$5&gt;LastHist,PxMult,1)*(1+PxChg_H)^(MAX(0,AF$5-PxBaseIdx)/4)</f>
        <v>0.429485061571226</v>
      </c>
      <c r="AG28" s="20" t="n">
        <f aca="false">Spot_H*IF(AG$5&gt;LastHist,PxMult,1)*(1+PxChg_H)^(MAX(0,AG$5-PxBaseIdx)/4)</f>
        <v>0.4123849375</v>
      </c>
      <c r="AI28" s="20" t="n">
        <f aca="false">AVERAGEIF($F$7:$AG$7,AI$7,$F28:$AG28)</f>
        <v>0.79</v>
      </c>
      <c r="AJ28" s="20" t="n">
        <f aca="false">AVERAGEIF($F$7:$AG$7,AJ$7,$F28:$AG28)</f>
        <v>0.79</v>
      </c>
      <c r="AK28" s="20" t="n">
        <f aca="false">AVERAGEIF($F$7:$AG$7,AK$7,$F28:$AG28)</f>
        <v>0.79</v>
      </c>
      <c r="AL28" s="20" t="n">
        <f aca="false">AVERAGEIF($F$7:$AG$7,AL$7,$F28:$AG28)</f>
        <v>0.714433633495945</v>
      </c>
      <c r="AM28" s="20" t="n">
        <f aca="false">AVERAGEIF($F$7:$AG$7,AM$7,$F28:$AG28)</f>
        <v>0.607268588471554</v>
      </c>
      <c r="AN28" s="20" t="n">
        <f aca="false">AVERAGEIF($F$7:$AG$7,AN$7,$F28:$AG28)</f>
        <v>0.516178300200821</v>
      </c>
      <c r="AO28" s="20" t="n">
        <f aca="false">AVERAGEIF($F$7:$AG$7,AO$7,$F28:$AG28)</f>
        <v>0.438751555170697</v>
      </c>
    </row>
    <row r="29" customFormat="false" ht="15" hidden="false" customHeight="false" outlineLevel="0" collapsed="false">
      <c r="A29" s="101" t="s">
        <v>1295</v>
      </c>
      <c r="B29" s="18" t="s">
        <v>392</v>
      </c>
      <c r="C29" s="18" t="s">
        <v>385</v>
      </c>
      <c r="D29" s="18"/>
      <c r="F29" s="116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16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16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16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16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16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16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16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16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16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0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0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0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0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0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0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0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0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0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0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0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0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0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0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0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0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0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0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0" t="n">
        <f aca="false">AVERAGEIF($F$7:$AG$7,AI$7,$F29:$AG29)</f>
        <v>8.5385</v>
      </c>
      <c r="AJ29" s="20" t="n">
        <f aca="false">AVERAGEIF($F$7:$AG$7,AJ$7,$F29:$AG29)</f>
        <v>8.5385</v>
      </c>
      <c r="AK29" s="20" t="n">
        <f aca="false">AVERAGEIF($F$7:$AG$7,AK$7,$F29:$AG29)</f>
        <v>8.977625</v>
      </c>
      <c r="AL29" s="20" t="n">
        <f aca="false">AVERAGEIF($F$7:$AG$7,AL$7,$F29:$AG29)</f>
        <v>8.8794375</v>
      </c>
      <c r="AM29" s="20" t="n">
        <f aca="false">AVERAGEIF($F$7:$AG$7,AM$7,$F29:$AG29)</f>
        <v>7.84709385001772</v>
      </c>
      <c r="AN29" s="20" t="n">
        <f aca="false">AVERAGEIF($F$7:$AG$7,AN$7,$F29:$AG29)</f>
        <v>7.37626821901666</v>
      </c>
      <c r="AO29" s="20" t="n">
        <f aca="false">AVERAGEIF($F$7:$AG$7,AO$7,$F29:$AG29)</f>
        <v>6.93369212587566</v>
      </c>
    </row>
    <row r="30" customFormat="false" ht="15" hidden="false" customHeight="false" outlineLevel="0" collapsed="false">
      <c r="A30" s="101" t="s">
        <v>1296</v>
      </c>
      <c r="B30" s="18" t="s">
        <v>392</v>
      </c>
      <c r="C30" s="18" t="s">
        <v>385</v>
      </c>
      <c r="D30" s="18" t="s">
        <v>1292</v>
      </c>
      <c r="F30" s="116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16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16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16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16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16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16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16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16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16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0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0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6.55682240307409</v>
      </c>
      <c r="R30" s="20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6.79560141602845</v>
      </c>
      <c r="S30" s="20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6.55542628016472</v>
      </c>
      <c r="T30" s="20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6.18740152459252</v>
      </c>
      <c r="U30" s="20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5.79142325362819</v>
      </c>
      <c r="V30" s="20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5.78590041857342</v>
      </c>
      <c r="W30" s="20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0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0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0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0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0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0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0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0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0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0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0" t="n">
        <f aca="false">AVERAGEIF($F$7:$AG$7,AI$7,$F30:$AG30)</f>
        <v>6.14772</v>
      </c>
      <c r="AJ30" s="20" t="n">
        <f aca="false">AVERAGEIF($F$7:$AG$7,AJ$7,$F30:$AG30)</f>
        <v>6.14772</v>
      </c>
      <c r="AK30" s="20" t="n">
        <f aca="false">AVERAGEIF($F$7:$AG$7,AK$7,$F30:$AG30)</f>
        <v>6.24999560076852</v>
      </c>
      <c r="AL30" s="20" t="n">
        <f aca="false">AVERAGEIF($F$7:$AG$7,AL$7,$F30:$AG30)</f>
        <v>6.33246311860347</v>
      </c>
      <c r="AM30" s="20" t="n">
        <f aca="false">AVERAGEIF($F$7:$AG$7,AM$7,$F30:$AG30)</f>
        <v>5.65096467665611</v>
      </c>
      <c r="AN30" s="20" t="n">
        <f aca="false">AVERAGEIF($F$7:$AG$7,AN$7,$F30:$AG30)</f>
        <v>5.31091311769199</v>
      </c>
      <c r="AO30" s="20" t="n">
        <f aca="false">AVERAGEIF($F$7:$AG$7,AO$7,$F30:$AG30)</f>
        <v>4.99225833063047</v>
      </c>
    </row>
    <row r="31" customFormat="false" ht="15" hidden="false" customHeight="false" outlineLevel="0" collapsed="false">
      <c r="A31" s="101" t="s">
        <v>1297</v>
      </c>
      <c r="B31" s="18" t="s">
        <v>392</v>
      </c>
      <c r="C31" s="18" t="s">
        <v>385</v>
      </c>
      <c r="D31" s="18" t="s">
        <v>1294</v>
      </c>
      <c r="F31" s="116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16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16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16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16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16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16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16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16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16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0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0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0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0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0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0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0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0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0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0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0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0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0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0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0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0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0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0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0" t="n">
        <f aca="false">AVERAGEIF($F$7:$AG$7,AI$7,$F31:$AG31)</f>
        <v>0.99</v>
      </c>
      <c r="AJ31" s="20" t="n">
        <f aca="false">AVERAGEIF($F$7:$AG$7,AJ$7,$F31:$AG31)</f>
        <v>0.99</v>
      </c>
      <c r="AK31" s="20" t="n">
        <f aca="false">AVERAGEIF($F$7:$AG$7,AK$7,$F31:$AG31)</f>
        <v>0.99</v>
      </c>
      <c r="AL31" s="20" t="n">
        <f aca="false">AVERAGEIF($F$7:$AG$7,AL$7,$F31:$AG31)</f>
        <v>0.99</v>
      </c>
      <c r="AM31" s="20" t="n">
        <f aca="false">AVERAGEIF($F$7:$AG$7,AM$7,$F31:$AG31)</f>
        <v>0.967437878920255</v>
      </c>
      <c r="AN31" s="20" t="n">
        <f aca="false">AVERAGEIF($F$7:$AG$7,AN$7,$F31:$AG31)</f>
        <v>0.90939160618504</v>
      </c>
      <c r="AO31" s="20" t="n">
        <f aca="false">AVERAGEIF($F$7:$AG$7,AO$7,$F31:$AG31)</f>
        <v>0.854828109813938</v>
      </c>
    </row>
    <row r="32" customFormat="false" ht="15" hidden="false" customHeight="false" outlineLevel="0" collapsed="false">
      <c r="A32" s="101" t="s">
        <v>1298</v>
      </c>
      <c r="B32" s="18" t="s">
        <v>392</v>
      </c>
      <c r="C32" s="18" t="s">
        <v>385</v>
      </c>
      <c r="D32" s="18"/>
      <c r="F32" s="116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14.9640625</v>
      </c>
      <c r="G32" s="116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14.9640625</v>
      </c>
      <c r="H32" s="116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14.9640625</v>
      </c>
      <c r="I32" s="116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14.9640625</v>
      </c>
      <c r="J32" s="116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14.9640625</v>
      </c>
      <c r="K32" s="116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14.9640625</v>
      </c>
      <c r="L32" s="116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14.9640625</v>
      </c>
      <c r="M32" s="116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14.9640625</v>
      </c>
      <c r="N32" s="116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14.9640625</v>
      </c>
      <c r="O32" s="116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14.9640625</v>
      </c>
      <c r="P32" s="20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14.9640625</v>
      </c>
      <c r="Q32" s="20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18.109375</v>
      </c>
      <c r="R32" s="20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18.109375</v>
      </c>
      <c r="S32" s="20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18.109375</v>
      </c>
      <c r="T32" s="20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18.109375</v>
      </c>
      <c r="U32" s="20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18.109375</v>
      </c>
      <c r="V32" s="20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18.109375</v>
      </c>
      <c r="W32" s="20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17.8313993029453</v>
      </c>
      <c r="X32" s="20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17.5576904835798</v>
      </c>
      <c r="Y32" s="20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17.2881830460871</v>
      </c>
      <c r="Z32" s="20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17.0228125</v>
      </c>
      <c r="AA32" s="20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16.7615153447686</v>
      </c>
      <c r="AB32" s="20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16.504229054565</v>
      </c>
      <c r="AC32" s="20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16.2508920633219</v>
      </c>
      <c r="AD32" s="20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16.00144375</v>
      </c>
      <c r="AE32" s="20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15.7558244240824</v>
      </c>
      <c r="AF32" s="20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15.5139753112911</v>
      </c>
      <c r="AG32" s="20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15.2758385395225</v>
      </c>
      <c r="AI32" s="20" t="n">
        <f aca="false">AVERAGEIF($F$7:$AG$7,AI$7,$F32:$AG32)</f>
        <v>14.9640625</v>
      </c>
      <c r="AJ32" s="20" t="n">
        <f aca="false">AVERAGEIF($F$7:$AG$7,AJ$7,$F32:$AG32)</f>
        <v>14.9640625</v>
      </c>
      <c r="AK32" s="20" t="n">
        <f aca="false">AVERAGEIF($F$7:$AG$7,AK$7,$F32:$AG32)</f>
        <v>15.750390625</v>
      </c>
      <c r="AL32" s="20" t="n">
        <f aca="false">AVERAGEIF($F$7:$AG$7,AL$7,$F32:$AG32)</f>
        <v>18.109375</v>
      </c>
      <c r="AM32" s="20" t="n">
        <f aca="false">AVERAGEIF($F$7:$AG$7,AM$7,$F32:$AG32)</f>
        <v>17.696661958153</v>
      </c>
      <c r="AN32" s="20" t="n">
        <f aca="false">AVERAGEIF($F$7:$AG$7,AN$7,$F32:$AG32)</f>
        <v>16.6348622406639</v>
      </c>
      <c r="AO32" s="20" t="n">
        <f aca="false">AVERAGEIF($F$7:$AG$7,AO$7,$F32:$AG32)</f>
        <v>15.636770506224</v>
      </c>
    </row>
    <row r="33" customFormat="false" ht="15" hidden="false" customHeight="false" outlineLevel="0" collapsed="false">
      <c r="A33" s="101" t="s">
        <v>1299</v>
      </c>
      <c r="B33" s="18" t="s">
        <v>392</v>
      </c>
      <c r="C33" s="18" t="s">
        <v>385</v>
      </c>
      <c r="D33" s="18" t="s">
        <v>1292</v>
      </c>
      <c r="F33" s="116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10.774125</v>
      </c>
      <c r="G33" s="116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10.774125</v>
      </c>
      <c r="H33" s="116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10.774125</v>
      </c>
      <c r="I33" s="116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10.774125</v>
      </c>
      <c r="J33" s="116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10.774125</v>
      </c>
      <c r="K33" s="116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10.774125</v>
      </c>
      <c r="L33" s="116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10.774125</v>
      </c>
      <c r="M33" s="116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10.774125</v>
      </c>
      <c r="N33" s="116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10.774125</v>
      </c>
      <c r="O33" s="116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10.774125</v>
      </c>
      <c r="P33" s="20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10.774125</v>
      </c>
      <c r="Q33" s="20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13.03875</v>
      </c>
      <c r="R33" s="20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13.03875</v>
      </c>
      <c r="S33" s="20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13.03875</v>
      </c>
      <c r="T33" s="20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13.03875</v>
      </c>
      <c r="U33" s="20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13.03875</v>
      </c>
      <c r="V33" s="20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13.03875</v>
      </c>
      <c r="W33" s="20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12.8386074981206</v>
      </c>
      <c r="X33" s="20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12.6415371481774</v>
      </c>
      <c r="Y33" s="20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12.4474917931827</v>
      </c>
      <c r="Z33" s="20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12.256425</v>
      </c>
      <c r="AA33" s="20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12.0682910482334</v>
      </c>
      <c r="AB33" s="20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11.8830449192868</v>
      </c>
      <c r="AC33" s="20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11.7006422855917</v>
      </c>
      <c r="AD33" s="20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11.5210395</v>
      </c>
      <c r="AE33" s="20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11.3441935853394</v>
      </c>
      <c r="AF33" s="20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11.1700622241296</v>
      </c>
      <c r="AG33" s="20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10.9986037484562</v>
      </c>
      <c r="AI33" s="20" t="n">
        <f aca="false">AVERAGEIF($F$7:$AG$7,AI$7,$F33:$AG33)</f>
        <v>10.774125</v>
      </c>
      <c r="AJ33" s="20" t="n">
        <f aca="false">AVERAGEIF($F$7:$AG$7,AJ$7,$F33:$AG33)</f>
        <v>10.774125</v>
      </c>
      <c r="AK33" s="20" t="n">
        <f aca="false">AVERAGEIF($F$7:$AG$7,AK$7,$F33:$AG33)</f>
        <v>11.34028125</v>
      </c>
      <c r="AL33" s="20" t="n">
        <f aca="false">AVERAGEIF($F$7:$AG$7,AL$7,$F33:$AG33)</f>
        <v>13.03875</v>
      </c>
      <c r="AM33" s="20" t="n">
        <f aca="false">AVERAGEIF($F$7:$AG$7,AM$7,$F33:$AG33)</f>
        <v>12.7415966098702</v>
      </c>
      <c r="AN33" s="20" t="n">
        <f aca="false">AVERAGEIF($F$7:$AG$7,AN$7,$F33:$AG33)</f>
        <v>11.977100813278</v>
      </c>
      <c r="AO33" s="20" t="n">
        <f aca="false">AVERAGEIF($F$7:$AG$7,AO$7,$F33:$AG33)</f>
        <v>11.2584747644813</v>
      </c>
    </row>
    <row r="34" customFormat="false" ht="15" hidden="false" customHeight="false" outlineLevel="0" collapsed="false">
      <c r="A34" s="101" t="s">
        <v>1300</v>
      </c>
      <c r="B34" s="18" t="s">
        <v>392</v>
      </c>
      <c r="C34" s="18" t="s">
        <v>385</v>
      </c>
      <c r="D34" s="18" t="s">
        <v>1294</v>
      </c>
      <c r="F34" s="116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16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16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16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16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16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16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16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16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16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0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0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0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0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0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0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0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0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0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0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0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0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0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0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0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0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0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0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0" t="n">
        <f aca="false">AVERAGEIF($F$7:$AG$7,AI$7,$F34:$AG34)</f>
        <v>0.99</v>
      </c>
      <c r="AJ34" s="20" t="n">
        <f aca="false">AVERAGEIF($F$7:$AG$7,AJ$7,$F34:$AG34)</f>
        <v>0.99</v>
      </c>
      <c r="AK34" s="20" t="n">
        <f aca="false">AVERAGEIF($F$7:$AG$7,AK$7,$F34:$AG34)</f>
        <v>0.99</v>
      </c>
      <c r="AL34" s="20" t="n">
        <f aca="false">AVERAGEIF($F$7:$AG$7,AL$7,$F34:$AG34)</f>
        <v>0.99</v>
      </c>
      <c r="AM34" s="20" t="n">
        <f aca="false">AVERAGEIF($F$7:$AG$7,AM$7,$F34:$AG34)</f>
        <v>0.967437878920255</v>
      </c>
      <c r="AN34" s="20" t="n">
        <f aca="false">AVERAGEIF($F$7:$AG$7,AN$7,$F34:$AG34)</f>
        <v>0.90939160618504</v>
      </c>
      <c r="AO34" s="20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1301</v>
      </c>
    </row>
    <row r="37" customFormat="false" ht="15" hidden="false" customHeight="false" outlineLevel="0" collapsed="false">
      <c r="B37" s="3" t="s">
        <v>1275</v>
      </c>
      <c r="C37" s="3" t="s">
        <v>1074</v>
      </c>
      <c r="D37" s="3" t="s">
        <v>1278</v>
      </c>
      <c r="E37" s="3" t="s">
        <v>1302</v>
      </c>
    </row>
    <row r="38" customFormat="false" ht="15" hidden="false" customHeight="false" outlineLevel="0" collapsed="false">
      <c r="A38" s="0" t="s">
        <v>1303</v>
      </c>
      <c r="B38" s="25" t="n">
        <f aca="false">GPUMW_B</f>
        <v>500</v>
      </c>
      <c r="C38" s="25" t="n">
        <f aca="false">GPUMW_B</f>
        <v>500</v>
      </c>
      <c r="D38" s="25" t="n">
        <f aca="false">GPUMW_N</f>
        <v>320</v>
      </c>
      <c r="E38" s="117" t="n">
        <f aca="false">IFERROR(D38/C38,0)</f>
        <v>0.64</v>
      </c>
    </row>
    <row r="39" customFormat="false" ht="15" hidden="false" customHeight="false" outlineLevel="0" collapsed="false">
      <c r="A39" s="0" t="s">
        <v>1304</v>
      </c>
      <c r="B39" s="20" t="n">
        <f aca="false">D16*PxMult</f>
        <v>11.59</v>
      </c>
      <c r="C39" s="20" t="n">
        <f aca="false">D17*PxMult</f>
        <v>11.59</v>
      </c>
      <c r="D39" s="20" t="n">
        <f aca="false">D18*PxMult</f>
        <v>18.109375</v>
      </c>
      <c r="E39" s="117" t="n">
        <f aca="false">IFERROR(D39/C39,0)</f>
        <v>1.5625</v>
      </c>
    </row>
    <row r="40" customFormat="false" ht="15" hidden="false" customHeight="false" outlineLevel="0" collapsed="false">
      <c r="A40" s="0" t="s">
        <v>1305</v>
      </c>
      <c r="B40" s="20" t="n">
        <f aca="false">D16*PxMult*RealRes</f>
        <v>8.3448</v>
      </c>
      <c r="C40" s="20" t="n">
        <f aca="false">D17*PxMult*RealRes</f>
        <v>8.3448</v>
      </c>
      <c r="D40" s="20" t="n">
        <f aca="false">D18*PxMult*RealRes</f>
        <v>13.03875</v>
      </c>
      <c r="E40" s="117" t="n">
        <f aca="false">IFERROR(D40/C40,0)</f>
        <v>1.5625</v>
      </c>
    </row>
    <row r="41" customFormat="false" ht="15" hidden="false" customHeight="false" outlineLevel="0" collapsed="false">
      <c r="A41" s="0" t="s">
        <v>1306</v>
      </c>
      <c r="B41" s="35" t="n">
        <f aca="false">B38*B40*8760*Util_Res/1000000</f>
        <v>30.1575455502983</v>
      </c>
      <c r="C41" s="35" t="n">
        <f aca="false">C38*C40*8760*Util_Res/1000000</f>
        <v>30.1575455502983</v>
      </c>
      <c r="D41" s="35" t="n">
        <f aca="false">D38*D40*8760*Util_Res/1000000</f>
        <v>30.1575455502983</v>
      </c>
      <c r="E41" s="117" t="n">
        <f aca="false">IFERROR(D41/C41,0)</f>
        <v>1</v>
      </c>
    </row>
    <row r="42" customFormat="false" ht="15" hidden="false" customHeight="false" outlineLevel="0" collapsed="false">
      <c r="A42" s="0" t="s">
        <v>1307</v>
      </c>
      <c r="B42" s="35" t="n">
        <f aca="false">B41-CLT1Rent</f>
        <v>27.9575455502983</v>
      </c>
      <c r="C42" s="35" t="n">
        <f aca="false">C41-CLT1Rent</f>
        <v>27.9575455502983</v>
      </c>
      <c r="D42" s="35" t="n">
        <f aca="false">D41-CLT1Rent</f>
        <v>27.9575455502983</v>
      </c>
      <c r="E42" s="117" t="n">
        <f aca="false">IFERROR(D42/C42,0)</f>
        <v>1</v>
      </c>
    </row>
    <row r="43" customFormat="false" ht="15" hidden="false" customHeight="false" outlineLevel="0" collapsed="false">
      <c r="A43" s="0" t="s">
        <v>1308</v>
      </c>
      <c r="B43" s="35" t="n">
        <f aca="false">B41-OM_MW</f>
        <v>29.4075455502983</v>
      </c>
      <c r="C43" s="35" t="n">
        <f aca="false">C41-OM_MW</f>
        <v>29.4075455502983</v>
      </c>
      <c r="D43" s="35" t="n">
        <f aca="false">D41-OM_MW</f>
        <v>29.4075455502983</v>
      </c>
      <c r="E43" s="117" t="n">
        <f aca="false">IFERROR(D43/C43,0)</f>
        <v>1</v>
      </c>
    </row>
    <row r="44" customFormat="false" ht="15" hidden="false" customHeight="false" outlineLevel="0" collapsed="false">
      <c r="A44" s="0" t="s">
        <v>1309</v>
      </c>
      <c r="B44" s="35" t="n">
        <f aca="false">20</f>
        <v>20</v>
      </c>
      <c r="C44" s="35" t="n">
        <f aca="false">20-CLT1Rent</f>
        <v>17.8</v>
      </c>
      <c r="D44" s="35" t="n">
        <f aca="false">20-OM_MW</f>
        <v>19.25</v>
      </c>
    </row>
    <row r="45" customFormat="false" ht="15" hidden="false" customHeight="false" outlineLevel="0" collapsed="false">
      <c r="A45" s="0" t="s">
        <v>1310</v>
      </c>
      <c r="B45" s="117" t="n">
        <f aca="false">GPUMW_B/GPUMW_N</f>
        <v>1.5625</v>
      </c>
      <c r="C45" s="117" t="n">
        <f aca="false">Rubin_Prem</f>
        <v>1.5625</v>
      </c>
    </row>
    <row r="46" customFormat="false" ht="15" hidden="false" customHeight="false" outlineLevel="0" collapsed="false">
      <c r="A46" s="0" t="s">
        <v>1311</v>
      </c>
      <c r="B46" s="35" t="n">
        <f aca="false">INDEX(ND_MYRate,1,NewDealIdx)</f>
        <v>20.79</v>
      </c>
      <c r="C46" s="35" t="n">
        <f aca="false">INDEX(ND_STRate,1,NewDealIdx)</f>
        <v>35.1</v>
      </c>
      <c r="D46" s="35" t="n">
        <f aca="false">(1-STShare)*B46+STShare*C46</f>
        <v>22.221</v>
      </c>
      <c r="E46" s="35" t="n">
        <f aca="false">D46-CLT1Rent</f>
        <v>20.021</v>
      </c>
      <c r="F46" s="35" t="n">
        <f aca="false">D46-OM_MW</f>
        <v>21.471</v>
      </c>
    </row>
    <row r="47" customFormat="false" ht="15" hidden="false" customHeight="false" outlineLevel="0" collapsed="false">
      <c r="A47" s="0" t="s">
        <v>1312</v>
      </c>
      <c r="B47" s="35" t="n">
        <f aca="false">B46</f>
        <v>20.79</v>
      </c>
      <c r="C47" s="35" t="n">
        <f aca="false">B46-CLT1Rent</f>
        <v>18.59</v>
      </c>
      <c r="D47" s="35" t="n">
        <f aca="false">B46-OM_MW</f>
        <v>20.04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1313</v>
      </c>
    </row>
    <row r="2" customFormat="false" ht="15" hidden="false" customHeight="false" outlineLevel="0" collapsed="false">
      <c r="A2" s="18" t="s">
        <v>1314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1315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3" t="s">
        <v>1316</v>
      </c>
      <c r="B11" s="3" t="s">
        <v>1317</v>
      </c>
      <c r="C11" s="3" t="s">
        <v>1259</v>
      </c>
      <c r="D11" s="3" t="s">
        <v>1318</v>
      </c>
      <c r="E11" s="3" t="s">
        <v>1319</v>
      </c>
      <c r="F11" s="3" t="s">
        <v>1320</v>
      </c>
      <c r="G11" s="3" t="s">
        <v>1321</v>
      </c>
      <c r="H11" s="3" t="s">
        <v>1322</v>
      </c>
      <c r="I11" s="3" t="s">
        <v>1323</v>
      </c>
      <c r="J11" s="3" t="s">
        <v>1324</v>
      </c>
      <c r="K11" s="3" t="s">
        <v>1325</v>
      </c>
      <c r="L11" s="3" t="s">
        <v>1326</v>
      </c>
      <c r="M11" s="3" t="s">
        <v>1327</v>
      </c>
      <c r="N11" s="3" t="s">
        <v>1265</v>
      </c>
      <c r="O11" s="3" t="s">
        <v>330</v>
      </c>
      <c r="P11" s="3" t="s">
        <v>331</v>
      </c>
      <c r="Q11" s="3" t="s">
        <v>1328</v>
      </c>
      <c r="R11" s="3" t="s">
        <v>1329</v>
      </c>
      <c r="S11" s="3" t="s">
        <v>1330</v>
      </c>
      <c r="T11" s="3" t="s">
        <v>1331</v>
      </c>
    </row>
    <row r="12" customFormat="false" ht="15" hidden="false" customHeight="false" outlineLevel="0" collapsed="false">
      <c r="A12" s="0" t="s">
        <v>1332</v>
      </c>
      <c r="B12" s="0" t="s">
        <v>1333</v>
      </c>
      <c r="C12" s="100" t="s">
        <v>1273</v>
      </c>
      <c r="D12" s="118" t="n">
        <f aca="false">MSFT_MW/MSFT_N</f>
        <v>26.6666666666667</v>
      </c>
      <c r="E12" s="20" t="n">
        <f aca="false">MSFT_TCV/(5*MSFT_MW)</f>
        <v>14.4940833333333</v>
      </c>
      <c r="F12" s="52" t="n">
        <v>20</v>
      </c>
      <c r="G12" s="52" t="n">
        <v>8</v>
      </c>
      <c r="H12" s="53" t="n">
        <f aca="false">IF(R12&lt;=LastHist,R12,CHOOSE(Scen,Q12,R12,S12)+IF(R12&gt;=13,2*BloomSlipOn,0))</f>
        <v>8</v>
      </c>
      <c r="I12" s="67" t="n">
        <v>0</v>
      </c>
      <c r="J12" s="63" t="n">
        <v>0</v>
      </c>
      <c r="K12" s="25" t="n">
        <f aca="false">D12*E12*F12/4</f>
        <v>1932.54444444444</v>
      </c>
      <c r="L12" s="20" t="n">
        <f aca="false">E12*1000000/(CHOOSE(MATCH(C12,{"H";"B";"N"},0),GPUMW_H,GPUMW_B,GPUMW_N)*8760)</f>
        <v>3.30915144596652</v>
      </c>
      <c r="N12" s="18" t="s">
        <v>348</v>
      </c>
      <c r="O12" s="18" t="s">
        <v>1334</v>
      </c>
      <c r="P12" s="18" t="s">
        <v>1335</v>
      </c>
      <c r="Q12" s="19" t="n">
        <v>8</v>
      </c>
      <c r="R12" s="19" t="n">
        <v>8</v>
      </c>
      <c r="S12" s="19" t="n">
        <v>8</v>
      </c>
      <c r="T12" s="53" t="n">
        <f aca="false">IF(R12&lt;=LastHist,RampMS_B,RampMS)</f>
        <v>4</v>
      </c>
    </row>
    <row r="13" customFormat="false" ht="15" hidden="false" customHeight="false" outlineLevel="0" collapsed="false">
      <c r="A13" s="0" t="s">
        <v>1336</v>
      </c>
      <c r="B13" s="0" t="s">
        <v>1333</v>
      </c>
      <c r="C13" s="100" t="s">
        <v>1273</v>
      </c>
      <c r="D13" s="118" t="n">
        <f aca="false">MSFT_MW/MSFT_N</f>
        <v>26.6666666666667</v>
      </c>
      <c r="E13" s="20" t="n">
        <f aca="false">MSFT_TCV/(5*MSFT_MW)</f>
        <v>14.4940833333333</v>
      </c>
      <c r="F13" s="52" t="n">
        <v>20</v>
      </c>
      <c r="G13" s="52" t="n">
        <v>9</v>
      </c>
      <c r="H13" s="53" t="n">
        <f aca="false">IF(R13&lt;=LastHist,R13,CHOOSE(Scen,Q13,R13,S13)+IF(R13&gt;=13,2*BloomSlipOn,0))</f>
        <v>9</v>
      </c>
      <c r="I13" s="67" t="n">
        <v>0</v>
      </c>
      <c r="J13" s="63" t="n">
        <v>0</v>
      </c>
      <c r="K13" s="25" t="n">
        <f aca="false">D13*E13*F13/4</f>
        <v>1932.54444444444</v>
      </c>
      <c r="L13" s="20" t="n">
        <f aca="false">E13*1000000/(CHOOSE(MATCH(C13,{"H";"B";"N"},0),GPUMW_H,GPUMW_B,GPUMW_N)*8760)</f>
        <v>3.30915144596652</v>
      </c>
      <c r="N13" s="18" t="s">
        <v>348</v>
      </c>
      <c r="O13" s="18" t="s">
        <v>1334</v>
      </c>
      <c r="P13" s="18" t="s">
        <v>1335</v>
      </c>
      <c r="Q13" s="19" t="n">
        <v>9</v>
      </c>
      <c r="R13" s="19" t="n">
        <v>9</v>
      </c>
      <c r="S13" s="19" t="n">
        <v>9</v>
      </c>
      <c r="T13" s="53" t="n">
        <f aca="false">IF(R13&lt;=LastHist,RampMS_B,RampMS)</f>
        <v>4</v>
      </c>
    </row>
    <row r="14" customFormat="false" ht="15" hidden="false" customHeight="false" outlineLevel="0" collapsed="false">
      <c r="A14" s="0" t="s">
        <v>1337</v>
      </c>
      <c r="B14" s="0" t="s">
        <v>1333</v>
      </c>
      <c r="C14" s="100" t="s">
        <v>1273</v>
      </c>
      <c r="D14" s="118" t="n">
        <f aca="false">MSFT_MW/MSFT_N</f>
        <v>26.6666666666667</v>
      </c>
      <c r="E14" s="20" t="n">
        <f aca="false">MSFT_TCV/(5*MSFT_MW)</f>
        <v>14.4940833333333</v>
      </c>
      <c r="F14" s="52" t="n">
        <v>20</v>
      </c>
      <c r="G14" s="52" t="n">
        <v>11</v>
      </c>
      <c r="H14" s="53" t="n">
        <f aca="false">IF(R14&lt;=LastHist,R14,CHOOSE(Scen,Q14,R14,S14)+IF(R14&gt;=13,2*BloomSlipOn,0))</f>
        <v>11</v>
      </c>
      <c r="I14" s="67" t="n">
        <v>0</v>
      </c>
      <c r="J14" s="63" t="n">
        <v>0</v>
      </c>
      <c r="K14" s="25" t="n">
        <f aca="false">D14*E14*F14/4</f>
        <v>1932.54444444444</v>
      </c>
      <c r="L14" s="20" t="n">
        <f aca="false">E14*1000000/(CHOOSE(MATCH(C14,{"H";"B";"N"},0),GPUMW_H,GPUMW_B,GPUMW_N)*8760)</f>
        <v>3.30915144596652</v>
      </c>
      <c r="N14" s="18" t="s">
        <v>348</v>
      </c>
      <c r="O14" s="18" t="s">
        <v>1334</v>
      </c>
      <c r="P14" s="18" t="s">
        <v>1335</v>
      </c>
      <c r="Q14" s="19" t="n">
        <v>11</v>
      </c>
      <c r="R14" s="19" t="n">
        <v>11</v>
      </c>
      <c r="S14" s="19" t="n">
        <v>11</v>
      </c>
      <c r="T14" s="53" t="n">
        <f aca="false">IF(R14&lt;=LastHist,RampMS_B,RampMS)</f>
        <v>4</v>
      </c>
    </row>
    <row r="15" customFormat="false" ht="15" hidden="false" customHeight="false" outlineLevel="0" collapsed="false">
      <c r="A15" s="0" t="s">
        <v>1338</v>
      </c>
      <c r="B15" s="0" t="s">
        <v>1333</v>
      </c>
      <c r="C15" s="100" t="s">
        <v>1273</v>
      </c>
      <c r="D15" s="118" t="n">
        <f aca="false">MSFT_MW/MSFT_N</f>
        <v>26.6666666666667</v>
      </c>
      <c r="E15" s="20" t="n">
        <f aca="false">MSFT_TCV/(5*MSFT_MW)</f>
        <v>14.4940833333333</v>
      </c>
      <c r="F15" s="52" t="n">
        <v>20</v>
      </c>
      <c r="G15" s="52" t="n">
        <v>11</v>
      </c>
      <c r="H15" s="53" t="n">
        <f aca="false">IF(R15&lt;=LastHist,R15,CHOOSE(Scen,Q15,R15,S15)+IF(R15&gt;=13,2*BloomSlipOn,0))</f>
        <v>11</v>
      </c>
      <c r="I15" s="67" t="n">
        <v>0</v>
      </c>
      <c r="J15" s="63" t="n">
        <v>0</v>
      </c>
      <c r="K15" s="25" t="n">
        <f aca="false">D15*E15*F15/4</f>
        <v>1932.54444444444</v>
      </c>
      <c r="L15" s="20" t="n">
        <f aca="false">E15*1000000/(CHOOSE(MATCH(C15,{"H";"B";"N"},0),GPUMW_H,GPUMW_B,GPUMW_N)*8760)</f>
        <v>3.30915144596652</v>
      </c>
      <c r="N15" s="18" t="s">
        <v>348</v>
      </c>
      <c r="O15" s="18" t="s">
        <v>1334</v>
      </c>
      <c r="P15" s="18" t="s">
        <v>1335</v>
      </c>
      <c r="Q15" s="19" t="n">
        <v>11</v>
      </c>
      <c r="R15" s="19" t="n">
        <v>11</v>
      </c>
      <c r="S15" s="19" t="n">
        <v>11</v>
      </c>
      <c r="T15" s="53" t="n">
        <f aca="false">IF(R15&lt;=LastHist,RampMS_B,RampMS)</f>
        <v>4</v>
      </c>
    </row>
    <row r="16" customFormat="false" ht="15" hidden="false" customHeight="false" outlineLevel="0" collapsed="false">
      <c r="A16" s="0" t="s">
        <v>1339</v>
      </c>
      <c r="B16" s="0" t="s">
        <v>1333</v>
      </c>
      <c r="C16" s="100" t="s">
        <v>1273</v>
      </c>
      <c r="D16" s="118" t="n">
        <f aca="false">MSFT_MW/MSFT_N</f>
        <v>26.6666666666667</v>
      </c>
      <c r="E16" s="20" t="n">
        <f aca="false">MSFT_TCV/(5*MSFT_MW)</f>
        <v>14.4940833333333</v>
      </c>
      <c r="F16" s="52" t="n">
        <v>20</v>
      </c>
      <c r="G16" s="19" t="n">
        <v>14</v>
      </c>
      <c r="H16" s="53" t="n">
        <f aca="false">IF(R16&lt;=LastHist,R16,CHOOSE(Scen,Q16,R16,S16)+IF(R16&gt;=13,2*BloomSlipOn,0))</f>
        <v>14</v>
      </c>
      <c r="I16" s="67" t="n">
        <v>0</v>
      </c>
      <c r="J16" s="63" t="n">
        <v>0</v>
      </c>
      <c r="K16" s="25" t="n">
        <f aca="false">D16*E16*F16/4</f>
        <v>1932.54444444444</v>
      </c>
      <c r="L16" s="20" t="n">
        <f aca="false">E16*1000000/(CHOOSE(MATCH(C16,{"H";"B";"N"},0),GPUMW_H,GPUMW_B,GPUMW_N)*8760)</f>
        <v>3.30915144596652</v>
      </c>
      <c r="N16" s="18" t="s">
        <v>355</v>
      </c>
      <c r="O16" s="18" t="s">
        <v>1334</v>
      </c>
      <c r="P16" s="18" t="s">
        <v>1340</v>
      </c>
      <c r="Q16" s="19" t="n">
        <v>13</v>
      </c>
      <c r="R16" s="19" t="n">
        <v>14</v>
      </c>
      <c r="S16" s="19" t="n">
        <v>15</v>
      </c>
      <c r="T16" s="53" t="n">
        <f aca="false">IF(R16&lt;=LastHist,RampMS_B,RampMS)</f>
        <v>4</v>
      </c>
    </row>
    <row r="17" customFormat="false" ht="15" hidden="false" customHeight="false" outlineLevel="0" collapsed="false">
      <c r="A17" s="0" t="s">
        <v>1341</v>
      </c>
      <c r="B17" s="0" t="s">
        <v>1333</v>
      </c>
      <c r="C17" s="100" t="s">
        <v>1273</v>
      </c>
      <c r="D17" s="118" t="n">
        <f aca="false">MSFT_MW/MSFT_N</f>
        <v>26.6666666666667</v>
      </c>
      <c r="E17" s="20" t="n">
        <f aca="false">MSFT_TCV/(5*MSFT_MW)</f>
        <v>14.4940833333333</v>
      </c>
      <c r="F17" s="52" t="n">
        <v>20</v>
      </c>
      <c r="G17" s="19" t="n">
        <v>14</v>
      </c>
      <c r="H17" s="53" t="n">
        <f aca="false">IF(R17&lt;=LastHist,R17,CHOOSE(Scen,Q17,R17,S17)+IF(R17&gt;=13,2*BloomSlipOn,0))</f>
        <v>14</v>
      </c>
      <c r="I17" s="67" t="n">
        <v>0</v>
      </c>
      <c r="J17" s="63" t="n">
        <v>0</v>
      </c>
      <c r="K17" s="25" t="n">
        <f aca="false">D17*E17*F17/4</f>
        <v>1932.54444444444</v>
      </c>
      <c r="L17" s="20" t="n">
        <f aca="false">E17*1000000/(CHOOSE(MATCH(C17,{"H";"B";"N"},0),GPUMW_H,GPUMW_B,GPUMW_N)*8760)</f>
        <v>3.30915144596652</v>
      </c>
      <c r="N17" s="18" t="s">
        <v>355</v>
      </c>
      <c r="O17" s="18" t="s">
        <v>1334</v>
      </c>
      <c r="P17" s="18" t="s">
        <v>1340</v>
      </c>
      <c r="Q17" s="19" t="n">
        <v>13</v>
      </c>
      <c r="R17" s="19" t="n">
        <v>14</v>
      </c>
      <c r="S17" s="19" t="n">
        <v>15</v>
      </c>
      <c r="T17" s="53" t="n">
        <f aca="false">IF(R17&lt;=LastHist,RampMS_B,RampMS)</f>
        <v>4</v>
      </c>
    </row>
    <row r="18" customFormat="false" ht="15" hidden="false" customHeight="false" outlineLevel="0" collapsed="false">
      <c r="A18" s="0" t="s">
        <v>1342</v>
      </c>
      <c r="B18" s="0" t="s">
        <v>1333</v>
      </c>
      <c r="C18" s="100" t="s">
        <v>1273</v>
      </c>
      <c r="D18" s="118" t="n">
        <f aca="false">MSFT_MW/MSFT_N</f>
        <v>26.6666666666667</v>
      </c>
      <c r="E18" s="20" t="n">
        <f aca="false">MSFT_TCV/(5*MSFT_MW)</f>
        <v>14.4940833333333</v>
      </c>
      <c r="F18" s="52" t="n">
        <v>20</v>
      </c>
      <c r="G18" s="19" t="n">
        <v>15</v>
      </c>
      <c r="H18" s="53" t="n">
        <f aca="false">IF(R18&lt;=LastHist,R18,CHOOSE(Scen,Q18,R18,S18)+IF(R18&gt;=13,2*BloomSlipOn,0))</f>
        <v>15</v>
      </c>
      <c r="I18" s="67" t="n">
        <v>0</v>
      </c>
      <c r="J18" s="63" t="n">
        <v>0</v>
      </c>
      <c r="K18" s="25" t="n">
        <f aca="false">D18*E18*F18/4</f>
        <v>1932.54444444444</v>
      </c>
      <c r="L18" s="20" t="n">
        <f aca="false">E18*1000000/(CHOOSE(MATCH(C18,{"H";"B";"N"},0),GPUMW_H,GPUMW_B,GPUMW_N)*8760)</f>
        <v>3.30915144596652</v>
      </c>
      <c r="N18" s="18" t="s">
        <v>355</v>
      </c>
      <c r="O18" s="18" t="s">
        <v>1334</v>
      </c>
      <c r="P18" s="18" t="s">
        <v>1340</v>
      </c>
      <c r="Q18" s="19" t="n">
        <v>14</v>
      </c>
      <c r="R18" s="19" t="n">
        <v>15</v>
      </c>
      <c r="S18" s="19" t="n">
        <v>16</v>
      </c>
      <c r="T18" s="53" t="n">
        <f aca="false">IF(R18&lt;=LastHist,RampMS_B,RampMS)</f>
        <v>4</v>
      </c>
    </row>
    <row r="19" customFormat="false" ht="15" hidden="false" customHeight="false" outlineLevel="0" collapsed="false">
      <c r="A19" s="0" t="s">
        <v>1343</v>
      </c>
      <c r="B19" s="0" t="s">
        <v>1333</v>
      </c>
      <c r="C19" s="100" t="s">
        <v>1273</v>
      </c>
      <c r="D19" s="118" t="n">
        <f aca="false">MSFT_MW/MSFT_N</f>
        <v>26.6666666666667</v>
      </c>
      <c r="E19" s="20" t="n">
        <f aca="false">MSFT_TCV/(5*MSFT_MW)</f>
        <v>14.4940833333333</v>
      </c>
      <c r="F19" s="52" t="n">
        <v>20</v>
      </c>
      <c r="G19" s="19" t="n">
        <v>15</v>
      </c>
      <c r="H19" s="53" t="n">
        <f aca="false">IF(R19&lt;=LastHist,R19,CHOOSE(Scen,Q19,R19,S19)+IF(R19&gt;=13,2*BloomSlipOn,0))</f>
        <v>15</v>
      </c>
      <c r="I19" s="67" t="n">
        <v>0</v>
      </c>
      <c r="J19" s="63" t="n">
        <v>0</v>
      </c>
      <c r="K19" s="25" t="n">
        <f aca="false">D19*E19*F19/4</f>
        <v>1932.54444444444</v>
      </c>
      <c r="L19" s="20" t="n">
        <f aca="false">E19*1000000/(CHOOSE(MATCH(C19,{"H";"B";"N"},0),GPUMW_H,GPUMW_B,GPUMW_N)*8760)</f>
        <v>3.30915144596652</v>
      </c>
      <c r="N19" s="18" t="s">
        <v>355</v>
      </c>
      <c r="O19" s="18" t="s">
        <v>1334</v>
      </c>
      <c r="P19" s="18" t="s">
        <v>1340</v>
      </c>
      <c r="Q19" s="19" t="n">
        <v>14</v>
      </c>
      <c r="R19" s="19" t="n">
        <v>15</v>
      </c>
      <c r="S19" s="19" t="n">
        <v>16</v>
      </c>
      <c r="T19" s="53" t="n">
        <f aca="false">IF(R19&lt;=LastHist,RampMS_B,RampMS)</f>
        <v>4</v>
      </c>
    </row>
    <row r="20" customFormat="false" ht="15" hidden="false" customHeight="false" outlineLevel="0" collapsed="false">
      <c r="A20" s="0" t="s">
        <v>1344</v>
      </c>
      <c r="B20" s="0" t="s">
        <v>1333</v>
      </c>
      <c r="C20" s="100" t="s">
        <v>1273</v>
      </c>
      <c r="D20" s="118" t="n">
        <f aca="false">MSFT_MW/MSFT_N</f>
        <v>26.6666666666667</v>
      </c>
      <c r="E20" s="20" t="n">
        <f aca="false">MSFT_TCV/(5*MSFT_MW)</f>
        <v>14.4940833333333</v>
      </c>
      <c r="F20" s="52" t="n">
        <v>20</v>
      </c>
      <c r="G20" s="19" t="n">
        <v>15</v>
      </c>
      <c r="H20" s="53" t="n">
        <f aca="false">IF(R20&lt;=LastHist,R20,CHOOSE(Scen,Q20,R20,S20)+IF(R20&gt;=13,2*BloomSlipOn,0))</f>
        <v>15</v>
      </c>
      <c r="I20" s="67" t="n">
        <v>0</v>
      </c>
      <c r="J20" s="63" t="n">
        <v>0</v>
      </c>
      <c r="K20" s="25" t="n">
        <f aca="false">D20*E20*F20/4</f>
        <v>1932.54444444444</v>
      </c>
      <c r="L20" s="20" t="n">
        <f aca="false">E20*1000000/(CHOOSE(MATCH(C20,{"H";"B";"N"},0),GPUMW_H,GPUMW_B,GPUMW_N)*8760)</f>
        <v>3.30915144596652</v>
      </c>
      <c r="N20" s="18" t="s">
        <v>355</v>
      </c>
      <c r="O20" s="18" t="s">
        <v>1334</v>
      </c>
      <c r="P20" s="18" t="s">
        <v>1340</v>
      </c>
      <c r="Q20" s="19" t="n">
        <v>14</v>
      </c>
      <c r="R20" s="19" t="n">
        <v>15</v>
      </c>
      <c r="S20" s="19" t="n">
        <v>17</v>
      </c>
      <c r="T20" s="53" t="n">
        <f aca="false">IF(R20&lt;=LastHist,RampMS_B,RampMS)</f>
        <v>4</v>
      </c>
    </row>
    <row r="21" customFormat="false" ht="15" hidden="false" customHeight="false" outlineLevel="0" collapsed="false">
      <c r="A21" s="0" t="s">
        <v>1345</v>
      </c>
      <c r="B21" s="0" t="s">
        <v>1333</v>
      </c>
      <c r="C21" s="100" t="s">
        <v>1273</v>
      </c>
      <c r="D21" s="87" t="n">
        <v>0</v>
      </c>
      <c r="E21" s="20" t="n">
        <f aca="false">MSFT_TCV/(5*MSFT_MW)</f>
        <v>14.4940833333333</v>
      </c>
      <c r="F21" s="52" t="n">
        <v>20</v>
      </c>
      <c r="G21" s="67" t="n">
        <v>12</v>
      </c>
      <c r="H21" s="53" t="n">
        <f aca="false">IF(R21&lt;=LastHist,R21,CHOOSE(Scen,Q21,R21,S21)+IF(R21&gt;=13,2*BloomSlipOn,0))</f>
        <v>12</v>
      </c>
      <c r="I21" s="67" t="n">
        <v>0</v>
      </c>
      <c r="J21" s="63" t="n">
        <v>0</v>
      </c>
      <c r="K21" s="25" t="n">
        <f aca="false">D21*E21*F21/4</f>
        <v>0</v>
      </c>
      <c r="L21" s="20" t="n">
        <f aca="false">E21*1000000/(CHOOSE(MATCH(C21,{"H";"B";"N"},0),GPUMW_H,GPUMW_B,GPUMW_N)*8760)</f>
        <v>3.30915144596652</v>
      </c>
      <c r="N21" s="18" t="s">
        <v>382</v>
      </c>
      <c r="O21" s="18" t="s">
        <v>1334</v>
      </c>
      <c r="P21" s="18" t="s">
        <v>1346</v>
      </c>
      <c r="Q21" s="67" t="n">
        <v>12</v>
      </c>
      <c r="R21" s="67" t="n">
        <v>12</v>
      </c>
      <c r="S21" s="67" t="n">
        <v>12</v>
      </c>
      <c r="T21" s="53" t="n">
        <f aca="false">IF(R21&lt;=LastHist,RampMS_B,RampMS)</f>
        <v>4</v>
      </c>
    </row>
    <row r="22" customFormat="false" ht="15" hidden="false" customHeight="false" outlineLevel="0" collapsed="false">
      <c r="A22" s="0" t="s">
        <v>1347</v>
      </c>
      <c r="B22" s="0" t="s">
        <v>1333</v>
      </c>
      <c r="C22" s="100" t="s">
        <v>1273</v>
      </c>
      <c r="D22" s="87" t="n">
        <v>0</v>
      </c>
      <c r="E22" s="20" t="n">
        <f aca="false">MSFT_TCV/(5*MSFT_MW)</f>
        <v>14.4940833333333</v>
      </c>
      <c r="F22" s="52" t="n">
        <v>20</v>
      </c>
      <c r="G22" s="67" t="n">
        <v>12</v>
      </c>
      <c r="H22" s="53" t="n">
        <f aca="false">IF(R22&lt;=LastHist,R22,CHOOSE(Scen,Q22,R22,S22)+IF(R22&gt;=13,2*BloomSlipOn,0))</f>
        <v>12</v>
      </c>
      <c r="I22" s="67" t="n">
        <v>0</v>
      </c>
      <c r="J22" s="63" t="n">
        <v>0</v>
      </c>
      <c r="K22" s="25" t="n">
        <f aca="false">D22*E22*F22/4</f>
        <v>0</v>
      </c>
      <c r="L22" s="20" t="n">
        <f aca="false">E22*1000000/(CHOOSE(MATCH(C22,{"H";"B";"N"},0),GPUMW_H,GPUMW_B,GPUMW_N)*8760)</f>
        <v>3.30915144596652</v>
      </c>
      <c r="N22" s="18" t="s">
        <v>382</v>
      </c>
      <c r="O22" s="18" t="s">
        <v>1334</v>
      </c>
      <c r="P22" s="18" t="s">
        <v>1348</v>
      </c>
      <c r="Q22" s="67" t="n">
        <v>12</v>
      </c>
      <c r="R22" s="67" t="n">
        <v>12</v>
      </c>
      <c r="S22" s="67" t="n">
        <v>12</v>
      </c>
      <c r="T22" s="53" t="n">
        <f aca="false">IF(R22&lt;=LastHist,RampMS_B,RampMS)</f>
        <v>4</v>
      </c>
    </row>
    <row r="23" customFormat="false" ht="15" hidden="false" customHeight="false" outlineLevel="0" collapsed="false">
      <c r="A23" s="0" t="s">
        <v>1349</v>
      </c>
      <c r="B23" s="0" t="s">
        <v>1350</v>
      </c>
      <c r="C23" s="100" t="s">
        <v>1273</v>
      </c>
      <c r="D23" s="21" t="n">
        <f aca="false">M23/(E23*F23/4)</f>
        <v>24.0058333333333</v>
      </c>
      <c r="E23" s="20" t="n">
        <f aca="false">ACV_2026</f>
        <v>12</v>
      </c>
      <c r="F23" s="52" t="n">
        <v>20</v>
      </c>
      <c r="G23" s="52" t="n">
        <v>8</v>
      </c>
      <c r="H23" s="53" t="n">
        <f aca="false">IF(R23&lt;=LastHist,R23,CHOOSE(Scen,Q23,R23,S23))</f>
        <v>8</v>
      </c>
      <c r="I23" s="67" t="n">
        <v>0</v>
      </c>
      <c r="J23" s="63" t="n">
        <v>0</v>
      </c>
      <c r="K23" s="25" t="n">
        <f aca="false">D23*E23*F23/4</f>
        <v>1440.35</v>
      </c>
      <c r="L23" s="20" t="n">
        <f aca="false">E23*1000000/(CHOOSE(MATCH(C23,{"H";"B";"N"},0),GPUMW_H,GPUMW_B,GPUMW_N)*8760)</f>
        <v>2.73972602739726</v>
      </c>
      <c r="M23" s="78" t="n">
        <v>1440.35</v>
      </c>
      <c r="N23" s="18" t="s">
        <v>393</v>
      </c>
      <c r="O23" s="18" t="s">
        <v>1334</v>
      </c>
      <c r="P23" s="18" t="s">
        <v>1351</v>
      </c>
      <c r="Q23" s="67" t="n">
        <v>8</v>
      </c>
      <c r="R23" s="67" t="n">
        <v>8</v>
      </c>
      <c r="S23" s="67" t="n">
        <v>8</v>
      </c>
      <c r="T23" s="53" t="n">
        <f aca="false">1</f>
        <v>1</v>
      </c>
    </row>
    <row r="24" customFormat="false" ht="15" hidden="false" customHeight="false" outlineLevel="0" collapsed="false">
      <c r="A24" s="0" t="s">
        <v>1352</v>
      </c>
      <c r="B24" s="0" t="s">
        <v>1350</v>
      </c>
      <c r="C24" s="100" t="s">
        <v>1273</v>
      </c>
      <c r="D24" s="21" t="n">
        <f aca="false">M24/(E24*F24/4)</f>
        <v>24.0058333333333</v>
      </c>
      <c r="E24" s="20" t="n">
        <f aca="false">ACV_2026</f>
        <v>12</v>
      </c>
      <c r="F24" s="52" t="n">
        <v>20</v>
      </c>
      <c r="G24" s="52" t="n">
        <v>9</v>
      </c>
      <c r="H24" s="53" t="n">
        <f aca="false">IF(R24&lt;=LastHist,R24,CHOOSE(Scen,Q24,R24,S24))</f>
        <v>9</v>
      </c>
      <c r="I24" s="67" t="n">
        <v>0</v>
      </c>
      <c r="J24" s="63" t="n">
        <v>0</v>
      </c>
      <c r="K24" s="25" t="n">
        <f aca="false">D24*E24*F24/4</f>
        <v>1440.35</v>
      </c>
      <c r="L24" s="20" t="n">
        <f aca="false">E24*1000000/(CHOOSE(MATCH(C24,{"H";"B";"N"},0),GPUMW_H,GPUMW_B,GPUMW_N)*8760)</f>
        <v>2.73972602739726</v>
      </c>
      <c r="M24" s="78" t="n">
        <v>1440.35</v>
      </c>
      <c r="N24" s="18" t="s">
        <v>393</v>
      </c>
      <c r="O24" s="18" t="s">
        <v>1334</v>
      </c>
      <c r="P24" s="18" t="s">
        <v>1348</v>
      </c>
      <c r="Q24" s="67" t="n">
        <v>9</v>
      </c>
      <c r="R24" s="67" t="n">
        <v>9</v>
      </c>
      <c r="S24" s="67" t="n">
        <v>9</v>
      </c>
      <c r="T24" s="53" t="n">
        <f aca="false">1</f>
        <v>1</v>
      </c>
    </row>
    <row r="25" customFormat="false" ht="15" hidden="false" customHeight="false" outlineLevel="0" collapsed="false">
      <c r="A25" s="0" t="s">
        <v>1353</v>
      </c>
      <c r="B25" s="0" t="s">
        <v>1350</v>
      </c>
      <c r="C25" s="100" t="s">
        <v>1279</v>
      </c>
      <c r="D25" s="21" t="n">
        <f aca="false">M25/(E25*F25/4)</f>
        <v>53.3333333333333</v>
      </c>
      <c r="E25" s="20" t="n">
        <f aca="false">ACV_Q2</f>
        <v>22.5</v>
      </c>
      <c r="F25" s="52" t="n">
        <v>20</v>
      </c>
      <c r="G25" s="19" t="n">
        <v>15</v>
      </c>
      <c r="H25" s="53" t="n">
        <f aca="false">IF(R25&lt;=LastHist,R25,CHOOSE(Scen,Q25,R25,S25))</f>
        <v>15</v>
      </c>
      <c r="I25" s="67" t="n">
        <v>0</v>
      </c>
      <c r="J25" s="63" t="n">
        <v>0</v>
      </c>
      <c r="K25" s="25" t="n">
        <f aca="false">D25*E25*F25/4</f>
        <v>6000</v>
      </c>
      <c r="L25" s="20" t="n">
        <f aca="false">E25*1000000/(CHOOSE(MATCH(C25,{"H";"B";"N"},0),GPUMW_H,GPUMW_B,GPUMW_N)*8760)</f>
        <v>8.02654109589041</v>
      </c>
      <c r="M25" s="75" t="n">
        <v>6000</v>
      </c>
      <c r="N25" s="18" t="s">
        <v>355</v>
      </c>
      <c r="O25" s="18" t="s">
        <v>1334</v>
      </c>
      <c r="P25" s="18" t="s">
        <v>1354</v>
      </c>
      <c r="Q25" s="19" t="n">
        <v>13</v>
      </c>
      <c r="R25" s="19" t="n">
        <v>15</v>
      </c>
      <c r="S25" s="19" t="n">
        <v>16</v>
      </c>
      <c r="T25" s="53" t="n">
        <f aca="false">1</f>
        <v>1</v>
      </c>
    </row>
    <row r="26" customFormat="false" ht="15" hidden="false" customHeight="false" outlineLevel="0" collapsed="false">
      <c r="A26" s="0" t="s">
        <v>1355</v>
      </c>
      <c r="B26" s="0" t="s">
        <v>1350</v>
      </c>
      <c r="C26" s="100" t="s">
        <v>1279</v>
      </c>
      <c r="D26" s="21" t="n">
        <f aca="false">M26/(E26*F26/4)</f>
        <v>53.3333333333333</v>
      </c>
      <c r="E26" s="20" t="n">
        <f aca="false">ACV_Q2</f>
        <v>22.5</v>
      </c>
      <c r="F26" s="52" t="n">
        <v>20</v>
      </c>
      <c r="G26" s="19" t="n">
        <v>16</v>
      </c>
      <c r="H26" s="53" t="n">
        <f aca="false">IF(R26&lt;=LastHist,R26,CHOOSE(Scen,Q26,R26,S26))</f>
        <v>16</v>
      </c>
      <c r="I26" s="67" t="n">
        <v>0</v>
      </c>
      <c r="J26" s="63" t="n">
        <v>0</v>
      </c>
      <c r="K26" s="25" t="n">
        <f aca="false">D26*E26*F26/4</f>
        <v>6000</v>
      </c>
      <c r="L26" s="20" t="n">
        <f aca="false">E26*1000000/(CHOOSE(MATCH(C26,{"H";"B";"N"},0),GPUMW_H,GPUMW_B,GPUMW_N)*8760)</f>
        <v>8.02654109589041</v>
      </c>
      <c r="M26" s="75" t="n">
        <v>6000</v>
      </c>
      <c r="N26" s="18" t="s">
        <v>355</v>
      </c>
      <c r="O26" s="18" t="s">
        <v>1334</v>
      </c>
      <c r="P26" s="18" t="s">
        <v>1348</v>
      </c>
      <c r="Q26" s="19" t="n">
        <v>14</v>
      </c>
      <c r="R26" s="19" t="n">
        <v>16</v>
      </c>
      <c r="S26" s="19" t="n">
        <v>18</v>
      </c>
      <c r="T26" s="53" t="n">
        <f aca="false">1</f>
        <v>1</v>
      </c>
    </row>
    <row r="27" customFormat="false" ht="15" hidden="false" customHeight="false" outlineLevel="0" collapsed="false">
      <c r="A27" s="0" t="s">
        <v>1356</v>
      </c>
      <c r="B27" s="0" t="s">
        <v>1350</v>
      </c>
      <c r="C27" s="100" t="s">
        <v>1279</v>
      </c>
      <c r="D27" s="21" t="n">
        <f aca="false">M27/(E27*F27/4)</f>
        <v>133.333333333333</v>
      </c>
      <c r="E27" s="20" t="n">
        <f aca="false">ACV_Q2</f>
        <v>22.5</v>
      </c>
      <c r="F27" s="52" t="n">
        <v>20</v>
      </c>
      <c r="G27" s="67" t="n">
        <v>14</v>
      </c>
      <c r="H27" s="53" t="n">
        <f aca="false">IF(R27&lt;=LastHist,R27,CHOOSE(Scen,Q27,R27,S27))</f>
        <v>14</v>
      </c>
      <c r="I27" s="67" t="n">
        <v>1</v>
      </c>
      <c r="J27" s="63" t="n">
        <v>0</v>
      </c>
      <c r="K27" s="25" t="n">
        <f aca="false">D27*E27*F27/4</f>
        <v>15000</v>
      </c>
      <c r="L27" s="20" t="n">
        <f aca="false">E27*1000000/(CHOOSE(MATCH(C27,{"H";"B";"N"},0),GPUMW_H,GPUMW_B,GPUMW_N)*8760)</f>
        <v>8.02654109589041</v>
      </c>
      <c r="M27" s="78" t="n">
        <v>15000</v>
      </c>
      <c r="N27" s="18" t="s">
        <v>382</v>
      </c>
      <c r="O27" s="18" t="s">
        <v>1334</v>
      </c>
      <c r="P27" s="18" t="s">
        <v>1357</v>
      </c>
      <c r="Q27" s="67" t="n">
        <v>14</v>
      </c>
      <c r="R27" s="67" t="n">
        <v>14</v>
      </c>
      <c r="S27" s="67" t="n">
        <v>14</v>
      </c>
      <c r="T27" s="53" t="n">
        <f aca="false">1</f>
        <v>1</v>
      </c>
    </row>
    <row r="28" customFormat="false" ht="15" hidden="false" customHeight="false" outlineLevel="0" collapsed="false">
      <c r="A28" s="0" t="s">
        <v>1358</v>
      </c>
      <c r="B28" s="0" t="s">
        <v>1359</v>
      </c>
      <c r="C28" s="100" t="s">
        <v>1279</v>
      </c>
      <c r="D28" s="87" t="n">
        <v>0</v>
      </c>
      <c r="E28" s="20" t="n">
        <f aca="false">ACV_Q2</f>
        <v>22.5</v>
      </c>
      <c r="F28" s="67" t="n">
        <v>20</v>
      </c>
      <c r="G28" s="67" t="n">
        <v>16</v>
      </c>
      <c r="H28" s="53" t="n">
        <f aca="false">IF(R28&lt;=LastHist,R28,CHOOSE(Scen,Q28,R28,S28))</f>
        <v>16</v>
      </c>
      <c r="I28" s="67" t="n">
        <v>0</v>
      </c>
      <c r="J28" s="63" t="n">
        <v>0</v>
      </c>
      <c r="K28" s="25" t="n">
        <f aca="false">D28*E28*F28/4</f>
        <v>0</v>
      </c>
      <c r="L28" s="20" t="n">
        <f aca="false">E28*1000000/(CHOOSE(MATCH(C28,{"H";"B";"N"},0),GPUMW_H,GPUMW_B,GPUMW_N)*8760)</f>
        <v>8.02654109589041</v>
      </c>
      <c r="N28" s="18" t="s">
        <v>382</v>
      </c>
      <c r="O28" s="18" t="s">
        <v>1334</v>
      </c>
      <c r="P28" s="18" t="s">
        <v>1360</v>
      </c>
      <c r="Q28" s="67" t="n">
        <v>16</v>
      </c>
      <c r="R28" s="67" t="n">
        <v>16</v>
      </c>
      <c r="S28" s="67" t="n">
        <v>16</v>
      </c>
      <c r="T28" s="53" t="n">
        <f aca="false">1</f>
        <v>1</v>
      </c>
    </row>
    <row r="29" customFormat="false" ht="15" hidden="false" customHeight="false" outlineLevel="0" collapsed="false">
      <c r="A29" s="0" t="s">
        <v>1361</v>
      </c>
      <c r="B29" s="0" t="s">
        <v>1359</v>
      </c>
      <c r="C29" s="100" t="s">
        <v>1279</v>
      </c>
      <c r="D29" s="87" t="n">
        <v>0</v>
      </c>
      <c r="E29" s="20" t="n">
        <f aca="false">ACV_Q2</f>
        <v>22.5</v>
      </c>
      <c r="F29" s="67" t="n">
        <v>20</v>
      </c>
      <c r="G29" s="67" t="n">
        <v>20</v>
      </c>
      <c r="H29" s="53" t="n">
        <f aca="false">IF(R29&lt;=LastHist,R29,CHOOSE(Scen,Q29,R29,S29))</f>
        <v>20</v>
      </c>
      <c r="I29" s="67" t="n">
        <v>0</v>
      </c>
      <c r="J29" s="63" t="n">
        <v>0</v>
      </c>
      <c r="K29" s="25" t="n">
        <f aca="false">D29*E29*F29/4</f>
        <v>0</v>
      </c>
      <c r="L29" s="20" t="n">
        <f aca="false">E29*1000000/(CHOOSE(MATCH(C29,{"H";"B";"N"},0),GPUMW_H,GPUMW_B,GPUMW_N)*8760)</f>
        <v>8.02654109589041</v>
      </c>
      <c r="N29" s="18" t="s">
        <v>382</v>
      </c>
      <c r="O29" s="18" t="s">
        <v>1334</v>
      </c>
      <c r="P29" s="18"/>
      <c r="Q29" s="67" t="n">
        <v>20</v>
      </c>
      <c r="R29" s="67" t="n">
        <v>20</v>
      </c>
      <c r="S29" s="67" t="n">
        <v>20</v>
      </c>
      <c r="T29" s="53" t="n">
        <f aca="false">1</f>
        <v>1</v>
      </c>
    </row>
    <row r="30" customFormat="false" ht="15" hidden="false" customHeight="false" outlineLevel="0" collapsed="false">
      <c r="A30" s="3" t="s">
        <v>1362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1363</v>
      </c>
      <c r="K31" s="5" t="n">
        <f aca="false">SUM(K12:K20)-MSFT_TCV</f>
        <v>0</v>
      </c>
    </row>
    <row r="34" customFormat="false" ht="15" hidden="false" customHeight="false" outlineLevel="0" collapsed="false">
      <c r="A34" s="48" t="s">
        <v>1364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</row>
    <row r="35" customFormat="false" ht="15" hidden="false" customHeight="false" outlineLevel="0" collapsed="false">
      <c r="A35" s="101" t="s">
        <v>1365</v>
      </c>
      <c r="B35" s="18" t="s">
        <v>400</v>
      </c>
      <c r="C35" s="18"/>
      <c r="D35" s="18"/>
      <c r="F35" s="119" t="n">
        <f aca="false">(1-$I$12)*(1-$J$12)*$D$12*$E$12/4*MIN(1,MAX(0,(F$5-$H$12+1)/$T$12))*IF(F$5=$H$12,DelivFactor,IF(AND(F$5&gt;$H$12,F$5&lt;$H$12+$F$12),1,IF(F$5=$H$12+$F$12,1-DelivFactor,0)))</f>
        <v>0</v>
      </c>
      <c r="G35" s="119" t="n">
        <f aca="false">(1-$I$12)*(1-$J$12)*$D$12*$E$12/4*MIN(1,MAX(0,(G$5-$H$12+1)/$T$12))*IF(G$5=$H$12,DelivFactor,IF(AND(G$5&gt;$H$12,G$5&lt;$H$12+$F$12),1,IF(G$5=$H$12+$F$12,1-DelivFactor,0)))</f>
        <v>0</v>
      </c>
      <c r="H35" s="119" t="n">
        <f aca="false">(1-$I$12)*(1-$J$12)*$D$12*$E$12/4*MIN(1,MAX(0,(H$5-$H$12+1)/$T$12))*IF(H$5=$H$12,DelivFactor,IF(AND(H$5&gt;$H$12,H$5&lt;$H$12+$F$12),1,IF(H$5=$H$12+$F$12,1-DelivFactor,0)))</f>
        <v>0</v>
      </c>
      <c r="I35" s="119" t="n">
        <f aca="false">(1-$I$12)*(1-$J$12)*$D$12*$E$12/4*MIN(1,MAX(0,(I$5-$H$12+1)/$T$12))*IF(I$5=$H$12,DelivFactor,IF(AND(I$5&gt;$H$12,I$5&lt;$H$12+$F$12),1,IF(I$5=$H$12+$F$12,1-DelivFactor,0)))</f>
        <v>0</v>
      </c>
      <c r="J35" s="119" t="n">
        <f aca="false">(1-$I$12)*(1-$J$12)*$D$12*$E$12/4*MIN(1,MAX(0,(J$5-$H$12+1)/$T$12))*IF(J$5=$H$12,DelivFactor,IF(AND(J$5&gt;$H$12,J$5&lt;$H$12+$F$12),1,IF(J$5=$H$12+$F$12,1-DelivFactor,0)))</f>
        <v>0</v>
      </c>
      <c r="K35" s="119" t="n">
        <f aca="false">(1-$I$12)*(1-$J$12)*$D$12*$E$12/4*MIN(1,MAX(0,(K$5-$H$12+1)/$T$12))*IF(K$5=$H$12,DelivFactor,IF(AND(K$5&gt;$H$12,K$5&lt;$H$12+$F$12),1,IF(K$5=$H$12+$F$12,1-DelivFactor,0)))</f>
        <v>0</v>
      </c>
      <c r="L35" s="119" t="n">
        <f aca="false">(1-$I$12)*(1-$J$12)*$D$12*$E$12/4*MIN(1,MAX(0,(L$5-$H$12+1)/$T$12))*IF(L$5=$H$12,DelivFactor,IF(AND(L$5&gt;$H$12,L$5&lt;$H$12+$F$12),1,IF(L$5=$H$12+$F$12,1-DelivFactor,0)))</f>
        <v>0</v>
      </c>
      <c r="M35" s="119" t="n">
        <f aca="false">(1-$I$12)*(1-$J$12)*$D$12*$E$12/4*MIN(1,MAX(0,(M$5-$H$12+1)/$T$12))*IF(M$5=$H$12,DelivFactor,IF(AND(M$5&gt;$H$12,M$5&lt;$H$12+$F$12),1,IF(M$5=$H$12+$F$12,1-DelivFactor,0)))</f>
        <v>12.0784027777778</v>
      </c>
      <c r="N35" s="119" t="n">
        <f aca="false">(1-$I$12)*(1-$J$12)*$D$12*$E$12/4*MIN(1,MAX(0,(N$5-$H$12+1)/$T$12))*IF(N$5=$H$12,DelivFactor,IF(AND(N$5&gt;$H$12,N$5&lt;$H$12+$F$12),1,IF(N$5=$H$12+$F$12,1-DelivFactor,0)))</f>
        <v>48.3136111111111</v>
      </c>
      <c r="O35" s="119" t="n">
        <f aca="false">(1-$I$12)*(1-$J$12)*$D$12*$E$12/4*MIN(1,MAX(0,(O$5-$H$12+1)/$T$12))*IF(O$5=$H$12,DelivFactor,IF(AND(O$5&gt;$H$12,O$5&lt;$H$12+$F$12),1,IF(O$5=$H$12+$F$12,1-DelivFactor,0)))</f>
        <v>72.4704166666667</v>
      </c>
      <c r="P35" s="120" t="n">
        <f aca="false">(1-$I$12)*(1-$J$12)*$D$12*$E$12/4*MIN(1,MAX(0,(P$5-$H$12+1)/$T$12))*IF(P$5=$H$12,DelivFactor,IF(AND(P$5&gt;$H$12,P$5&lt;$H$12+$F$12),1,IF(P$5=$H$12+$F$12,1-DelivFactor,0)))</f>
        <v>96.6272222222222</v>
      </c>
      <c r="Q35" s="120" t="n">
        <f aca="false">(1-$I$12)*(1-$J$12)*$D$12*$E$12/4*MIN(1,MAX(0,(Q$5-$H$12+1)/$T$12))*IF(Q$5=$H$12,DelivFactor,IF(AND(Q$5&gt;$H$12,Q$5&lt;$H$12+$F$12),1,IF(Q$5=$H$12+$F$12,1-DelivFactor,0)))</f>
        <v>96.6272222222222</v>
      </c>
      <c r="R35" s="120" t="n">
        <f aca="false">(1-$I$12)*(1-$J$12)*$D$12*$E$12/4*MIN(1,MAX(0,(R$5-$H$12+1)/$T$12))*IF(R$5=$H$12,DelivFactor,IF(AND(R$5&gt;$H$12,R$5&lt;$H$12+$F$12),1,IF(R$5=$H$12+$F$12,1-DelivFactor,0)))</f>
        <v>96.6272222222222</v>
      </c>
      <c r="S35" s="120" t="n">
        <f aca="false">(1-$I$12)*(1-$J$12)*$D$12*$E$12/4*MIN(1,MAX(0,(S$5-$H$12+1)/$T$12))*IF(S$5=$H$12,DelivFactor,IF(AND(S$5&gt;$H$12,S$5&lt;$H$12+$F$12),1,IF(S$5=$H$12+$F$12,1-DelivFactor,0)))</f>
        <v>96.6272222222222</v>
      </c>
      <c r="T35" s="120" t="n">
        <f aca="false">(1-$I$12)*(1-$J$12)*$D$12*$E$12/4*MIN(1,MAX(0,(T$5-$H$12+1)/$T$12))*IF(T$5=$H$12,DelivFactor,IF(AND(T$5&gt;$H$12,T$5&lt;$H$12+$F$12),1,IF(T$5=$H$12+$F$12,1-DelivFactor,0)))</f>
        <v>96.6272222222222</v>
      </c>
      <c r="U35" s="120" t="n">
        <f aca="false">(1-$I$12)*(1-$J$12)*$D$12*$E$12/4*MIN(1,MAX(0,(U$5-$H$12+1)/$T$12))*IF(U$5=$H$12,DelivFactor,IF(AND(U$5&gt;$H$12,U$5&lt;$H$12+$F$12),1,IF(U$5=$H$12+$F$12,1-DelivFactor,0)))</f>
        <v>96.6272222222222</v>
      </c>
      <c r="V35" s="120" t="n">
        <f aca="false">(1-$I$12)*(1-$J$12)*$D$12*$E$12/4*MIN(1,MAX(0,(V$5-$H$12+1)/$T$12))*IF(V$5=$H$12,DelivFactor,IF(AND(V$5&gt;$H$12,V$5&lt;$H$12+$F$12),1,IF(V$5=$H$12+$F$12,1-DelivFactor,0)))</f>
        <v>96.6272222222222</v>
      </c>
      <c r="W35" s="120" t="n">
        <f aca="false">(1-$I$12)*(1-$J$12)*$D$12*$E$12/4*MIN(1,MAX(0,(W$5-$H$12+1)/$T$12))*IF(W$5=$H$12,DelivFactor,IF(AND(W$5&gt;$H$12,W$5&lt;$H$12+$F$12),1,IF(W$5=$H$12+$F$12,1-DelivFactor,0)))</f>
        <v>96.6272222222222</v>
      </c>
      <c r="X35" s="120" t="n">
        <f aca="false">(1-$I$12)*(1-$J$12)*$D$12*$E$12/4*MIN(1,MAX(0,(X$5-$H$12+1)/$T$12))*IF(X$5=$H$12,DelivFactor,IF(AND(X$5&gt;$H$12,X$5&lt;$H$12+$F$12),1,IF(X$5=$H$12+$F$12,1-DelivFactor,0)))</f>
        <v>96.6272222222222</v>
      </c>
      <c r="Y35" s="120" t="n">
        <f aca="false">(1-$I$12)*(1-$J$12)*$D$12*$E$12/4*MIN(1,MAX(0,(Y$5-$H$12+1)/$T$12))*IF(Y$5=$H$12,DelivFactor,IF(AND(Y$5&gt;$H$12,Y$5&lt;$H$12+$F$12),1,IF(Y$5=$H$12+$F$12,1-DelivFactor,0)))</f>
        <v>96.6272222222222</v>
      </c>
      <c r="Z35" s="120" t="n">
        <f aca="false">(1-$I$12)*(1-$J$12)*$D$12*$E$12/4*MIN(1,MAX(0,(Z$5-$H$12+1)/$T$12))*IF(Z$5=$H$12,DelivFactor,IF(AND(Z$5&gt;$H$12,Z$5&lt;$H$12+$F$12),1,IF(Z$5=$H$12+$F$12,1-DelivFactor,0)))</f>
        <v>96.6272222222222</v>
      </c>
      <c r="AA35" s="120" t="n">
        <f aca="false">(1-$I$12)*(1-$J$12)*$D$12*$E$12/4*MIN(1,MAX(0,(AA$5-$H$12+1)/$T$12))*IF(AA$5=$H$12,DelivFactor,IF(AND(AA$5&gt;$H$12,AA$5&lt;$H$12+$F$12),1,IF(AA$5=$H$12+$F$12,1-DelivFactor,0)))</f>
        <v>96.6272222222222</v>
      </c>
      <c r="AB35" s="120" t="n">
        <f aca="false">(1-$I$12)*(1-$J$12)*$D$12*$E$12/4*MIN(1,MAX(0,(AB$5-$H$12+1)/$T$12))*IF(AB$5=$H$12,DelivFactor,IF(AND(AB$5&gt;$H$12,AB$5&lt;$H$12+$F$12),1,IF(AB$5=$H$12+$F$12,1-DelivFactor,0)))</f>
        <v>96.6272222222222</v>
      </c>
      <c r="AC35" s="120" t="n">
        <f aca="false">(1-$I$12)*(1-$J$12)*$D$12*$E$12/4*MIN(1,MAX(0,(AC$5-$H$12+1)/$T$12))*IF(AC$5=$H$12,DelivFactor,IF(AND(AC$5&gt;$H$12,AC$5&lt;$H$12+$F$12),1,IF(AC$5=$H$12+$F$12,1-DelivFactor,0)))</f>
        <v>96.6272222222222</v>
      </c>
      <c r="AD35" s="120" t="n">
        <f aca="false">(1-$I$12)*(1-$J$12)*$D$12*$E$12/4*MIN(1,MAX(0,(AD$5-$H$12+1)/$T$12))*IF(AD$5=$H$12,DelivFactor,IF(AND(AD$5&gt;$H$12,AD$5&lt;$H$12+$F$12),1,IF(AD$5=$H$12+$F$12,1-DelivFactor,0)))</f>
        <v>96.6272222222222</v>
      </c>
      <c r="AE35" s="120" t="n">
        <f aca="false">(1-$I$12)*(1-$J$12)*$D$12*$E$12/4*MIN(1,MAX(0,(AE$5-$H$12+1)/$T$12))*IF(AE$5=$H$12,DelivFactor,IF(AND(AE$5&gt;$H$12,AE$5&lt;$H$12+$F$12),1,IF(AE$5=$H$12+$F$12,1-DelivFactor,0)))</f>
        <v>96.6272222222222</v>
      </c>
      <c r="AF35" s="120" t="n">
        <f aca="false">(1-$I$12)*(1-$J$12)*$D$12*$E$12/4*MIN(1,MAX(0,(AF$5-$H$12+1)/$T$12))*IF(AF$5=$H$12,DelivFactor,IF(AND(AF$5&gt;$H$12,AF$5&lt;$H$12+$F$12),1,IF(AF$5=$H$12+$F$12,1-DelivFactor,0)))</f>
        <v>96.6272222222222</v>
      </c>
      <c r="AG35" s="120" t="n">
        <f aca="false">(1-$I$12)*(1-$J$12)*$D$12*$E$12/4*MIN(1,MAX(0,(AG$5-$H$12+1)/$T$12))*IF(AG$5=$H$12,DelivFactor,IF(AND(AG$5&gt;$H$12,AG$5&lt;$H$12+$F$12),1,IF(AG$5=$H$12+$F$12,1-DelivFactor,0)))</f>
        <v>48.3136111111111</v>
      </c>
      <c r="AI35" s="120" t="n">
        <f aca="false">SUMIF($F$7:$AG$7,AI$7,$F35:$AG35)</f>
        <v>0</v>
      </c>
      <c r="AJ35" s="120" t="n">
        <f aca="false">SUMIF($F$7:$AG$7,AJ$7,$F35:$AG35)</f>
        <v>12.0784027777778</v>
      </c>
      <c r="AK35" s="120" t="n">
        <f aca="false">SUMIF($F$7:$AG$7,AK$7,$F35:$AG35)</f>
        <v>314.038472222222</v>
      </c>
      <c r="AL35" s="120" t="n">
        <f aca="false">SUMIF($F$7:$AG$7,AL$7,$F35:$AG35)</f>
        <v>386.508888888889</v>
      </c>
      <c r="AM35" s="120" t="n">
        <f aca="false">SUMIF($F$7:$AG$7,AM$7,$F35:$AG35)</f>
        <v>386.508888888889</v>
      </c>
      <c r="AN35" s="120" t="n">
        <f aca="false">SUMIF($F$7:$AG$7,AN$7,$F35:$AG35)</f>
        <v>386.508888888889</v>
      </c>
      <c r="AO35" s="120" t="n">
        <f aca="false">SUMIF($F$7:$AG$7,AO$7,$F35:$AG35)</f>
        <v>338.195277777778</v>
      </c>
    </row>
    <row r="36" customFormat="false" ht="15" hidden="false" customHeight="false" outlineLevel="0" collapsed="false">
      <c r="A36" s="101" t="s">
        <v>1366</v>
      </c>
      <c r="B36" s="18" t="s">
        <v>415</v>
      </c>
      <c r="C36" s="18"/>
      <c r="D36" s="18"/>
      <c r="F36" s="110" t="n">
        <f aca="false">(1-$I$12)*(1-$J$12)*$D$12*AND(F$5&gt;=$H$12,F$5&lt;$H$12+$F$12)</f>
        <v>0</v>
      </c>
      <c r="G36" s="110" t="n">
        <f aca="false">(1-$I$12)*(1-$J$12)*$D$12*AND(G$5&gt;=$H$12,G$5&lt;$H$12+$F$12)</f>
        <v>0</v>
      </c>
      <c r="H36" s="110" t="n">
        <f aca="false">(1-$I$12)*(1-$J$12)*$D$12*AND(H$5&gt;=$H$12,H$5&lt;$H$12+$F$12)</f>
        <v>0</v>
      </c>
      <c r="I36" s="110" t="n">
        <f aca="false">(1-$I$12)*(1-$J$12)*$D$12*AND(I$5&gt;=$H$12,I$5&lt;$H$12+$F$12)</f>
        <v>0</v>
      </c>
      <c r="J36" s="110" t="n">
        <f aca="false">(1-$I$12)*(1-$J$12)*$D$12*AND(J$5&gt;=$H$12,J$5&lt;$H$12+$F$12)</f>
        <v>0</v>
      </c>
      <c r="K36" s="110" t="n">
        <f aca="false">(1-$I$12)*(1-$J$12)*$D$12*AND(K$5&gt;=$H$12,K$5&lt;$H$12+$F$12)</f>
        <v>0</v>
      </c>
      <c r="L36" s="110" t="n">
        <f aca="false">(1-$I$12)*(1-$J$12)*$D$12*AND(L$5&gt;=$H$12,L$5&lt;$H$12+$F$12)</f>
        <v>0</v>
      </c>
      <c r="M36" s="110" t="n">
        <f aca="false">(1-$I$12)*(1-$J$12)*$D$12*AND(M$5&gt;=$H$12,M$5&lt;$H$12+$F$12)</f>
        <v>26.6666666666667</v>
      </c>
      <c r="N36" s="110" t="n">
        <f aca="false">(1-$I$12)*(1-$J$12)*$D$12*AND(N$5&gt;=$H$12,N$5&lt;$H$12+$F$12)</f>
        <v>26.6666666666667</v>
      </c>
      <c r="O36" s="110" t="n">
        <f aca="false">(1-$I$12)*(1-$J$12)*$D$12*AND(O$5&gt;=$H$12,O$5&lt;$H$12+$F$12)</f>
        <v>26.6666666666667</v>
      </c>
      <c r="P36" s="21" t="n">
        <f aca="false">(1-$I$12)*(1-$J$12)*$D$12*AND(P$5&gt;=$H$12,P$5&lt;$H$12+$F$12)</f>
        <v>26.6666666666667</v>
      </c>
      <c r="Q36" s="21" t="n">
        <f aca="false">(1-$I$12)*(1-$J$12)*$D$12*AND(Q$5&gt;=$H$12,Q$5&lt;$H$12+$F$12)</f>
        <v>26.6666666666667</v>
      </c>
      <c r="R36" s="21" t="n">
        <f aca="false">(1-$I$12)*(1-$J$12)*$D$12*AND(R$5&gt;=$H$12,R$5&lt;$H$12+$F$12)</f>
        <v>26.6666666666667</v>
      </c>
      <c r="S36" s="21" t="n">
        <f aca="false">(1-$I$12)*(1-$J$12)*$D$12*AND(S$5&gt;=$H$12,S$5&lt;$H$12+$F$12)</f>
        <v>26.6666666666667</v>
      </c>
      <c r="T36" s="21" t="n">
        <f aca="false">(1-$I$12)*(1-$J$12)*$D$12*AND(T$5&gt;=$H$12,T$5&lt;$H$12+$F$12)</f>
        <v>26.6666666666667</v>
      </c>
      <c r="U36" s="21" t="n">
        <f aca="false">(1-$I$12)*(1-$J$12)*$D$12*AND(U$5&gt;=$H$12,U$5&lt;$H$12+$F$12)</f>
        <v>26.6666666666667</v>
      </c>
      <c r="V36" s="21" t="n">
        <f aca="false">(1-$I$12)*(1-$J$12)*$D$12*AND(V$5&gt;=$H$12,V$5&lt;$H$12+$F$12)</f>
        <v>26.6666666666667</v>
      </c>
      <c r="W36" s="21" t="n">
        <f aca="false">(1-$I$12)*(1-$J$12)*$D$12*AND(W$5&gt;=$H$12,W$5&lt;$H$12+$F$12)</f>
        <v>26.6666666666667</v>
      </c>
      <c r="X36" s="21" t="n">
        <f aca="false">(1-$I$12)*(1-$J$12)*$D$12*AND(X$5&gt;=$H$12,X$5&lt;$H$12+$F$12)</f>
        <v>26.6666666666667</v>
      </c>
      <c r="Y36" s="21" t="n">
        <f aca="false">(1-$I$12)*(1-$J$12)*$D$12*AND(Y$5&gt;=$H$12,Y$5&lt;$H$12+$F$12)</f>
        <v>26.6666666666667</v>
      </c>
      <c r="Z36" s="21" t="n">
        <f aca="false">(1-$I$12)*(1-$J$12)*$D$12*AND(Z$5&gt;=$H$12,Z$5&lt;$H$12+$F$12)</f>
        <v>26.6666666666667</v>
      </c>
      <c r="AA36" s="21" t="n">
        <f aca="false">(1-$I$12)*(1-$J$12)*$D$12*AND(AA$5&gt;=$H$12,AA$5&lt;$H$12+$F$12)</f>
        <v>26.6666666666667</v>
      </c>
      <c r="AB36" s="21" t="n">
        <f aca="false">(1-$I$12)*(1-$J$12)*$D$12*AND(AB$5&gt;=$H$12,AB$5&lt;$H$12+$F$12)</f>
        <v>26.6666666666667</v>
      </c>
      <c r="AC36" s="21" t="n">
        <f aca="false">(1-$I$12)*(1-$J$12)*$D$12*AND(AC$5&gt;=$H$12,AC$5&lt;$H$12+$F$12)</f>
        <v>26.6666666666667</v>
      </c>
      <c r="AD36" s="21" t="n">
        <f aca="false">(1-$I$12)*(1-$J$12)*$D$12*AND(AD$5&gt;=$H$12,AD$5&lt;$H$12+$F$12)</f>
        <v>26.6666666666667</v>
      </c>
      <c r="AE36" s="21" t="n">
        <f aca="false">(1-$I$12)*(1-$J$12)*$D$12*AND(AE$5&gt;=$H$12,AE$5&lt;$H$12+$F$12)</f>
        <v>26.6666666666667</v>
      </c>
      <c r="AF36" s="21" t="n">
        <f aca="false">(1-$I$12)*(1-$J$12)*$D$12*AND(AF$5&gt;=$H$12,AF$5&lt;$H$12+$F$12)</f>
        <v>26.6666666666667</v>
      </c>
      <c r="AG36" s="21" t="n">
        <f aca="false">(1-$I$12)*(1-$J$12)*$D$12*AND(AG$5&gt;=$H$12,AG$5&lt;$H$12+$F$12)</f>
        <v>0</v>
      </c>
      <c r="AI36" s="21" t="n">
        <f aca="false">INDEX($F36:$AG36,1,MATCH(AI$7,$F$7:$AG$7,1))</f>
        <v>0</v>
      </c>
      <c r="AJ36" s="21" t="n">
        <f aca="false">INDEX($F36:$AG36,1,MATCH(AJ$7,$F$7:$AG$7,1))</f>
        <v>26.6666666666667</v>
      </c>
      <c r="AK36" s="21" t="n">
        <f aca="false">INDEX($F36:$AG36,1,MATCH(AK$7,$F$7:$AG$7,1))</f>
        <v>26.6666666666667</v>
      </c>
      <c r="AL36" s="21" t="n">
        <f aca="false">INDEX($F36:$AG36,1,MATCH(AL$7,$F$7:$AG$7,1))</f>
        <v>26.6666666666667</v>
      </c>
      <c r="AM36" s="21" t="n">
        <f aca="false">INDEX($F36:$AG36,1,MATCH(AM$7,$F$7:$AG$7,1))</f>
        <v>26.6666666666667</v>
      </c>
      <c r="AN36" s="21" t="n">
        <f aca="false">INDEX($F36:$AG36,1,MATCH(AN$7,$F$7:$AG$7,1))</f>
        <v>26.6666666666667</v>
      </c>
      <c r="AO36" s="21" t="n">
        <f aca="false">INDEX($F36:$AG36,1,MATCH(AO$7,$F$7:$AG$7,1))</f>
        <v>0</v>
      </c>
    </row>
    <row r="37" customFormat="false" ht="15" hidden="false" customHeight="false" outlineLevel="0" collapsed="false">
      <c r="A37" s="101" t="s">
        <v>1367</v>
      </c>
      <c r="B37" s="18" t="s">
        <v>400</v>
      </c>
      <c r="C37" s="18"/>
      <c r="D37" s="18"/>
      <c r="F37" s="119" t="n">
        <f aca="false">-(1-$I$12)*LD_Pct*$D$12*$E$12/4*AND(F$5&gt;=$G$12,F$5&lt;$H$12)</f>
        <v>-0</v>
      </c>
      <c r="G37" s="119" t="n">
        <f aca="false">-(1-$I$12)*LD_Pct*$D$12*$E$12/4*AND(G$5&gt;=$G$12,G$5&lt;$H$12)</f>
        <v>-0</v>
      </c>
      <c r="H37" s="119" t="n">
        <f aca="false">-(1-$I$12)*LD_Pct*$D$12*$E$12/4*AND(H$5&gt;=$G$12,H$5&lt;$H$12)</f>
        <v>-0</v>
      </c>
      <c r="I37" s="119" t="n">
        <f aca="false">-(1-$I$12)*LD_Pct*$D$12*$E$12/4*AND(I$5&gt;=$G$12,I$5&lt;$H$12)</f>
        <v>-0</v>
      </c>
      <c r="J37" s="119" t="n">
        <f aca="false">-(1-$I$12)*LD_Pct*$D$12*$E$12/4*AND(J$5&gt;=$G$12,J$5&lt;$H$12)</f>
        <v>-0</v>
      </c>
      <c r="K37" s="119" t="n">
        <f aca="false">-(1-$I$12)*LD_Pct*$D$12*$E$12/4*AND(K$5&gt;=$G$12,K$5&lt;$H$12)</f>
        <v>-0</v>
      </c>
      <c r="L37" s="119" t="n">
        <f aca="false">-(1-$I$12)*LD_Pct*$D$12*$E$12/4*AND(L$5&gt;=$G$12,L$5&lt;$H$12)</f>
        <v>-0</v>
      </c>
      <c r="M37" s="119" t="n">
        <f aca="false">-(1-$I$12)*LD_Pct*$D$12*$E$12/4*AND(M$5&gt;=$G$12,M$5&lt;$H$12)</f>
        <v>-0</v>
      </c>
      <c r="N37" s="119" t="n">
        <f aca="false">-(1-$I$12)*LD_Pct*$D$12*$E$12/4*AND(N$5&gt;=$G$12,N$5&lt;$H$12)</f>
        <v>-0</v>
      </c>
      <c r="O37" s="119" t="n">
        <f aca="false">-(1-$I$12)*LD_Pct*$D$12*$E$12/4*AND(O$5&gt;=$G$12,O$5&lt;$H$12)</f>
        <v>-0</v>
      </c>
      <c r="P37" s="120" t="n">
        <f aca="false">-(1-$I$12)*LD_Pct*$D$12*$E$12/4*AND(P$5&gt;=$G$12,P$5&lt;$H$12)</f>
        <v>-0</v>
      </c>
      <c r="Q37" s="120" t="n">
        <f aca="false">-(1-$I$12)*LD_Pct*$D$12*$E$12/4*AND(Q$5&gt;=$G$12,Q$5&lt;$H$12)</f>
        <v>-0</v>
      </c>
      <c r="R37" s="120" t="n">
        <f aca="false">-(1-$I$12)*LD_Pct*$D$12*$E$12/4*AND(R$5&gt;=$G$12,R$5&lt;$H$12)</f>
        <v>-0</v>
      </c>
      <c r="S37" s="120" t="n">
        <f aca="false">-(1-$I$12)*LD_Pct*$D$12*$E$12/4*AND(S$5&gt;=$G$12,S$5&lt;$H$12)</f>
        <v>-0</v>
      </c>
      <c r="T37" s="120" t="n">
        <f aca="false">-(1-$I$12)*LD_Pct*$D$12*$E$12/4*AND(T$5&gt;=$G$12,T$5&lt;$H$12)</f>
        <v>-0</v>
      </c>
      <c r="U37" s="120" t="n">
        <f aca="false">-(1-$I$12)*LD_Pct*$D$12*$E$12/4*AND(U$5&gt;=$G$12,U$5&lt;$H$12)</f>
        <v>-0</v>
      </c>
      <c r="V37" s="120" t="n">
        <f aca="false">-(1-$I$12)*LD_Pct*$D$12*$E$12/4*AND(V$5&gt;=$G$12,V$5&lt;$H$12)</f>
        <v>-0</v>
      </c>
      <c r="W37" s="120" t="n">
        <f aca="false">-(1-$I$12)*LD_Pct*$D$12*$E$12/4*AND(W$5&gt;=$G$12,W$5&lt;$H$12)</f>
        <v>-0</v>
      </c>
      <c r="X37" s="120" t="n">
        <f aca="false">-(1-$I$12)*LD_Pct*$D$12*$E$12/4*AND(X$5&gt;=$G$12,X$5&lt;$H$12)</f>
        <v>-0</v>
      </c>
      <c r="Y37" s="120" t="n">
        <f aca="false">-(1-$I$12)*LD_Pct*$D$12*$E$12/4*AND(Y$5&gt;=$G$12,Y$5&lt;$H$12)</f>
        <v>-0</v>
      </c>
      <c r="Z37" s="120" t="n">
        <f aca="false">-(1-$I$12)*LD_Pct*$D$12*$E$12/4*AND(Z$5&gt;=$G$12,Z$5&lt;$H$12)</f>
        <v>-0</v>
      </c>
      <c r="AA37" s="120" t="n">
        <f aca="false">-(1-$I$12)*LD_Pct*$D$12*$E$12/4*AND(AA$5&gt;=$G$12,AA$5&lt;$H$12)</f>
        <v>-0</v>
      </c>
      <c r="AB37" s="120" t="n">
        <f aca="false">-(1-$I$12)*LD_Pct*$D$12*$E$12/4*AND(AB$5&gt;=$G$12,AB$5&lt;$H$12)</f>
        <v>-0</v>
      </c>
      <c r="AC37" s="120" t="n">
        <f aca="false">-(1-$I$12)*LD_Pct*$D$12*$E$12/4*AND(AC$5&gt;=$G$12,AC$5&lt;$H$12)</f>
        <v>-0</v>
      </c>
      <c r="AD37" s="120" t="n">
        <f aca="false">-(1-$I$12)*LD_Pct*$D$12*$E$12/4*AND(AD$5&gt;=$G$12,AD$5&lt;$H$12)</f>
        <v>-0</v>
      </c>
      <c r="AE37" s="120" t="n">
        <f aca="false">-(1-$I$12)*LD_Pct*$D$12*$E$12/4*AND(AE$5&gt;=$G$12,AE$5&lt;$H$12)</f>
        <v>-0</v>
      </c>
      <c r="AF37" s="120" t="n">
        <f aca="false">-(1-$I$12)*LD_Pct*$D$12*$E$12/4*AND(AF$5&gt;=$G$12,AF$5&lt;$H$12)</f>
        <v>-0</v>
      </c>
      <c r="AG37" s="120" t="n">
        <f aca="false">-(1-$I$12)*LD_Pct*$D$12*$E$12/4*AND(AG$5&gt;=$G$12,AG$5&lt;$H$12)</f>
        <v>-0</v>
      </c>
      <c r="AI37" s="120" t="n">
        <f aca="false">SUMIF($F$7:$AG$7,AI$7,$F37:$AG37)</f>
        <v>0</v>
      </c>
      <c r="AJ37" s="120" t="n">
        <f aca="false">SUMIF($F$7:$AG$7,AJ$7,$F37:$AG37)</f>
        <v>0</v>
      </c>
      <c r="AK37" s="120" t="n">
        <f aca="false">SUMIF($F$7:$AG$7,AK$7,$F37:$AG37)</f>
        <v>0</v>
      </c>
      <c r="AL37" s="120" t="n">
        <f aca="false">SUMIF($F$7:$AG$7,AL$7,$F37:$AG37)</f>
        <v>0</v>
      </c>
      <c r="AM37" s="120" t="n">
        <f aca="false">SUMIF($F$7:$AG$7,AM$7,$F37:$AG37)</f>
        <v>0</v>
      </c>
      <c r="AN37" s="120" t="n">
        <f aca="false">SUMIF($F$7:$AG$7,AN$7,$F37:$AG37)</f>
        <v>0</v>
      </c>
      <c r="AO37" s="120" t="n">
        <f aca="false">SUMIF($F$7:$AG$7,AO$7,$F37:$AG37)</f>
        <v>0</v>
      </c>
    </row>
    <row r="38" customFormat="false" ht="15" hidden="false" customHeight="false" outlineLevel="0" collapsed="false">
      <c r="A38" s="101" t="s">
        <v>1368</v>
      </c>
      <c r="B38" s="18" t="s">
        <v>415</v>
      </c>
      <c r="C38" s="18"/>
      <c r="D38" s="18"/>
      <c r="F38" s="110" t="n">
        <f aca="false">(1-$I$12)*(1-$J$12)*$D$12*(F$5&gt;=$H$12+$F$12)</f>
        <v>0</v>
      </c>
      <c r="G38" s="110" t="n">
        <f aca="false">(1-$I$12)*(1-$J$12)*$D$12*(G$5&gt;=$H$12+$F$12)</f>
        <v>0</v>
      </c>
      <c r="H38" s="110" t="n">
        <f aca="false">(1-$I$12)*(1-$J$12)*$D$12*(H$5&gt;=$H$12+$F$12)</f>
        <v>0</v>
      </c>
      <c r="I38" s="110" t="n">
        <f aca="false">(1-$I$12)*(1-$J$12)*$D$12*(I$5&gt;=$H$12+$F$12)</f>
        <v>0</v>
      </c>
      <c r="J38" s="110" t="n">
        <f aca="false">(1-$I$12)*(1-$J$12)*$D$12*(J$5&gt;=$H$12+$F$12)</f>
        <v>0</v>
      </c>
      <c r="K38" s="110" t="n">
        <f aca="false">(1-$I$12)*(1-$J$12)*$D$12*(K$5&gt;=$H$12+$F$12)</f>
        <v>0</v>
      </c>
      <c r="L38" s="110" t="n">
        <f aca="false">(1-$I$12)*(1-$J$12)*$D$12*(L$5&gt;=$H$12+$F$12)</f>
        <v>0</v>
      </c>
      <c r="M38" s="110" t="n">
        <f aca="false">(1-$I$12)*(1-$J$12)*$D$12*(M$5&gt;=$H$12+$F$12)</f>
        <v>0</v>
      </c>
      <c r="N38" s="110" t="n">
        <f aca="false">(1-$I$12)*(1-$J$12)*$D$12*(N$5&gt;=$H$12+$F$12)</f>
        <v>0</v>
      </c>
      <c r="O38" s="110" t="n">
        <f aca="false">(1-$I$12)*(1-$J$12)*$D$12*(O$5&gt;=$H$12+$F$12)</f>
        <v>0</v>
      </c>
      <c r="P38" s="21" t="n">
        <f aca="false">(1-$I$12)*(1-$J$12)*$D$12*(P$5&gt;=$H$12+$F$12)</f>
        <v>0</v>
      </c>
      <c r="Q38" s="21" t="n">
        <f aca="false">(1-$I$12)*(1-$J$12)*$D$12*(Q$5&gt;=$H$12+$F$12)</f>
        <v>0</v>
      </c>
      <c r="R38" s="21" t="n">
        <f aca="false">(1-$I$12)*(1-$J$12)*$D$12*(R$5&gt;=$H$12+$F$12)</f>
        <v>0</v>
      </c>
      <c r="S38" s="21" t="n">
        <f aca="false">(1-$I$12)*(1-$J$12)*$D$12*(S$5&gt;=$H$12+$F$12)</f>
        <v>0</v>
      </c>
      <c r="T38" s="21" t="n">
        <f aca="false">(1-$I$12)*(1-$J$12)*$D$12*(T$5&gt;=$H$12+$F$12)</f>
        <v>0</v>
      </c>
      <c r="U38" s="21" t="n">
        <f aca="false">(1-$I$12)*(1-$J$12)*$D$12*(U$5&gt;=$H$12+$F$12)</f>
        <v>0</v>
      </c>
      <c r="V38" s="21" t="n">
        <f aca="false">(1-$I$12)*(1-$J$12)*$D$12*(V$5&gt;=$H$12+$F$12)</f>
        <v>0</v>
      </c>
      <c r="W38" s="21" t="n">
        <f aca="false">(1-$I$12)*(1-$J$12)*$D$12*(W$5&gt;=$H$12+$F$12)</f>
        <v>0</v>
      </c>
      <c r="X38" s="21" t="n">
        <f aca="false">(1-$I$12)*(1-$J$12)*$D$12*(X$5&gt;=$H$12+$F$12)</f>
        <v>0</v>
      </c>
      <c r="Y38" s="21" t="n">
        <f aca="false">(1-$I$12)*(1-$J$12)*$D$12*(Y$5&gt;=$H$12+$F$12)</f>
        <v>0</v>
      </c>
      <c r="Z38" s="21" t="n">
        <f aca="false">(1-$I$12)*(1-$J$12)*$D$12*(Z$5&gt;=$H$12+$F$12)</f>
        <v>0</v>
      </c>
      <c r="AA38" s="21" t="n">
        <f aca="false">(1-$I$12)*(1-$J$12)*$D$12*(AA$5&gt;=$H$12+$F$12)</f>
        <v>0</v>
      </c>
      <c r="AB38" s="21" t="n">
        <f aca="false">(1-$I$12)*(1-$J$12)*$D$12*(AB$5&gt;=$H$12+$F$12)</f>
        <v>0</v>
      </c>
      <c r="AC38" s="21" t="n">
        <f aca="false">(1-$I$12)*(1-$J$12)*$D$12*(AC$5&gt;=$H$12+$F$12)</f>
        <v>0</v>
      </c>
      <c r="AD38" s="21" t="n">
        <f aca="false">(1-$I$12)*(1-$J$12)*$D$12*(AD$5&gt;=$H$12+$F$12)</f>
        <v>0</v>
      </c>
      <c r="AE38" s="21" t="n">
        <f aca="false">(1-$I$12)*(1-$J$12)*$D$12*(AE$5&gt;=$H$12+$F$12)</f>
        <v>0</v>
      </c>
      <c r="AF38" s="21" t="n">
        <f aca="false">(1-$I$12)*(1-$J$12)*$D$12*(AF$5&gt;=$H$12+$F$12)</f>
        <v>0</v>
      </c>
      <c r="AG38" s="21" t="n">
        <f aca="false">(1-$I$12)*(1-$J$12)*$D$12*(AG$5&gt;=$H$12+$F$12)</f>
        <v>26.6666666666667</v>
      </c>
      <c r="AI38" s="21" t="n">
        <f aca="false">INDEX($F38:$AG38,1,MATCH(AI$7,$F$7:$AG$7,1))</f>
        <v>0</v>
      </c>
      <c r="AJ38" s="21" t="n">
        <f aca="false">INDEX($F38:$AG38,1,MATCH(AJ$7,$F$7:$AG$7,1))</f>
        <v>0</v>
      </c>
      <c r="AK38" s="21" t="n">
        <f aca="false">INDEX($F38:$AG38,1,MATCH(AK$7,$F$7:$AG$7,1))</f>
        <v>0</v>
      </c>
      <c r="AL38" s="21" t="n">
        <f aca="false">INDEX($F38:$AG38,1,MATCH(AL$7,$F$7:$AG$7,1))</f>
        <v>0</v>
      </c>
      <c r="AM38" s="21" t="n">
        <f aca="false">INDEX($F38:$AG38,1,MATCH(AM$7,$F$7:$AG$7,1))</f>
        <v>0</v>
      </c>
      <c r="AN38" s="21" t="n">
        <f aca="false">INDEX($F38:$AG38,1,MATCH(AN$7,$F$7:$AG$7,1))</f>
        <v>0</v>
      </c>
      <c r="AO38" s="21" t="n">
        <f aca="false">INDEX($F38:$AG38,1,MATCH(AO$7,$F$7:$AG$7,1))</f>
        <v>26.6666666666667</v>
      </c>
    </row>
    <row r="39" customFormat="false" ht="15" hidden="false" customHeight="false" outlineLevel="0" collapsed="false">
      <c r="A39" s="101" t="s">
        <v>1369</v>
      </c>
      <c r="B39" s="18" t="s">
        <v>400</v>
      </c>
      <c r="C39" s="18"/>
      <c r="D39" s="18" t="s">
        <v>1370</v>
      </c>
      <c r="F39" s="119" t="n">
        <f aca="false">F38*CHOOSE(MATCH($C$12,{"H";"B";"N"},0),GPUMW_H*ODc_H,GPUMW_B*ODc_B,GPUMW_N*ODc_N)*ResidUtil*Timeline!F$9*INDEX(Curve,1,MAX(1,MIN(8,INT((F$5-$H$12)/4)+1)))/1000000</f>
        <v>0</v>
      </c>
      <c r="G39" s="119" t="n">
        <f aca="false">G38*CHOOSE(MATCH($C$12,{"H";"B";"N"},0),GPUMW_H*ODc_H,GPUMW_B*ODc_B,GPUMW_N*ODc_N)*ResidUtil*Timeline!G$9*INDEX(Curve,1,MAX(1,MIN(8,INT((G$5-$H$12)/4)+1)))/1000000</f>
        <v>0</v>
      </c>
      <c r="H39" s="119" t="n">
        <f aca="false">H38*CHOOSE(MATCH($C$12,{"H";"B";"N"},0),GPUMW_H*ODc_H,GPUMW_B*ODc_B,GPUMW_N*ODc_N)*ResidUtil*Timeline!H$9*INDEX(Curve,1,MAX(1,MIN(8,INT((H$5-$H$12)/4)+1)))/1000000</f>
        <v>0</v>
      </c>
      <c r="I39" s="119" t="n">
        <f aca="false">I38*CHOOSE(MATCH($C$12,{"H";"B";"N"},0),GPUMW_H*ODc_H,GPUMW_B*ODc_B,GPUMW_N*ODc_N)*ResidUtil*Timeline!I$9*INDEX(Curve,1,MAX(1,MIN(8,INT((I$5-$H$12)/4)+1)))/1000000</f>
        <v>0</v>
      </c>
      <c r="J39" s="119" t="n">
        <f aca="false">J38*CHOOSE(MATCH($C$12,{"H";"B";"N"},0),GPUMW_H*ODc_H,GPUMW_B*ODc_B,GPUMW_N*ODc_N)*ResidUtil*Timeline!J$9*INDEX(Curve,1,MAX(1,MIN(8,INT((J$5-$H$12)/4)+1)))/1000000</f>
        <v>0</v>
      </c>
      <c r="K39" s="119" t="n">
        <f aca="false">K38*CHOOSE(MATCH($C$12,{"H";"B";"N"},0),GPUMW_H*ODc_H,GPUMW_B*ODc_B,GPUMW_N*ODc_N)*ResidUtil*Timeline!K$9*INDEX(Curve,1,MAX(1,MIN(8,INT((K$5-$H$12)/4)+1)))/1000000</f>
        <v>0</v>
      </c>
      <c r="L39" s="119" t="n">
        <f aca="false">L38*CHOOSE(MATCH($C$12,{"H";"B";"N"},0),GPUMW_H*ODc_H,GPUMW_B*ODc_B,GPUMW_N*ODc_N)*ResidUtil*Timeline!L$9*INDEX(Curve,1,MAX(1,MIN(8,INT((L$5-$H$12)/4)+1)))/1000000</f>
        <v>0</v>
      </c>
      <c r="M39" s="119" t="n">
        <f aca="false">M38*CHOOSE(MATCH($C$12,{"H";"B";"N"},0),GPUMW_H*ODc_H,GPUMW_B*ODc_B,GPUMW_N*ODc_N)*ResidUtil*Timeline!M$9*INDEX(Curve,1,MAX(1,MIN(8,INT((M$5-$H$12)/4)+1)))/1000000</f>
        <v>0</v>
      </c>
      <c r="N39" s="119" t="n">
        <f aca="false">N38*CHOOSE(MATCH($C$12,{"H";"B";"N"},0),GPUMW_H*ODc_H,GPUMW_B*ODc_B,GPUMW_N*ODc_N)*ResidUtil*Timeline!N$9*INDEX(Curve,1,MAX(1,MIN(8,INT((N$5-$H$12)/4)+1)))/1000000</f>
        <v>0</v>
      </c>
      <c r="O39" s="119" t="n">
        <f aca="false">O38*CHOOSE(MATCH($C$12,{"H";"B";"N"},0),GPUMW_H*ODc_H,GPUMW_B*ODc_B,GPUMW_N*ODc_N)*ResidUtil*Timeline!O$9*INDEX(Curve,1,MAX(1,MIN(8,INT((O$5-$H$12)/4)+1)))/1000000</f>
        <v>0</v>
      </c>
      <c r="P39" s="120" t="n">
        <f aca="false">P38*CHOOSE(MATCH($C$12,{"H";"B";"N"},0),GPUMW_H*ODc_H,GPUMW_B*ODc_B,GPUMW_N*ODc_N)*ResidUtil*Timeline!P$9*INDEX(Curve,1,MAX(1,MIN(8,INT((P$5-$H$12)/4)+1)))/1000000</f>
        <v>0</v>
      </c>
      <c r="Q39" s="120" t="n">
        <f aca="false">Q38*CHOOSE(MATCH($C$12,{"H";"B";"N"},0),GPUMW_H*ODc_H,GPUMW_B*ODc_B,GPUMW_N*ODc_N)*ResidUtil*Timeline!Q$9*INDEX(Curve,1,MAX(1,MIN(8,INT((Q$5-$H$12)/4)+1)))/1000000</f>
        <v>0</v>
      </c>
      <c r="R39" s="120" t="n">
        <f aca="false">R38*CHOOSE(MATCH($C$12,{"H";"B";"N"},0),GPUMW_H*ODc_H,GPUMW_B*ODc_B,GPUMW_N*ODc_N)*ResidUtil*Timeline!R$9*INDEX(Curve,1,MAX(1,MIN(8,INT((R$5-$H$12)/4)+1)))/1000000</f>
        <v>0</v>
      </c>
      <c r="S39" s="120" t="n">
        <f aca="false">S38*CHOOSE(MATCH($C$12,{"H";"B";"N"},0),GPUMW_H*ODc_H,GPUMW_B*ODc_B,GPUMW_N*ODc_N)*ResidUtil*Timeline!S$9*INDEX(Curve,1,MAX(1,MIN(8,INT((S$5-$H$12)/4)+1)))/1000000</f>
        <v>0</v>
      </c>
      <c r="T39" s="120" t="n">
        <f aca="false">T38*CHOOSE(MATCH($C$12,{"H";"B";"N"},0),GPUMW_H*ODc_H,GPUMW_B*ODc_B,GPUMW_N*ODc_N)*ResidUtil*Timeline!T$9*INDEX(Curve,1,MAX(1,MIN(8,INT((T$5-$H$12)/4)+1)))/1000000</f>
        <v>0</v>
      </c>
      <c r="U39" s="120" t="n">
        <f aca="false">U38*CHOOSE(MATCH($C$12,{"H";"B";"N"},0),GPUMW_H*ODc_H,GPUMW_B*ODc_B,GPUMW_N*ODc_N)*ResidUtil*Timeline!U$9*INDEX(Curve,1,MAX(1,MIN(8,INT((U$5-$H$12)/4)+1)))/1000000</f>
        <v>0</v>
      </c>
      <c r="V39" s="120" t="n">
        <f aca="false">V38*CHOOSE(MATCH($C$12,{"H";"B";"N"},0),GPUMW_H*ODc_H,GPUMW_B*ODc_B,GPUMW_N*ODc_N)*ResidUtil*Timeline!V$9*INDEX(Curve,1,MAX(1,MIN(8,INT((V$5-$H$12)/4)+1)))/1000000</f>
        <v>0</v>
      </c>
      <c r="W39" s="120" t="n">
        <f aca="false">W38*CHOOSE(MATCH($C$12,{"H";"B";"N"},0),GPUMW_H*ODc_H,GPUMW_B*ODc_B,GPUMW_N*ODc_N)*ResidUtil*Timeline!W$9*INDEX(Curve,1,MAX(1,MIN(8,INT((W$5-$H$12)/4)+1)))/1000000</f>
        <v>0</v>
      </c>
      <c r="X39" s="120" t="n">
        <f aca="false">X38*CHOOSE(MATCH($C$12,{"H";"B";"N"},0),GPUMW_H*ODc_H,GPUMW_B*ODc_B,GPUMW_N*ODc_N)*ResidUtil*Timeline!X$9*INDEX(Curve,1,MAX(1,MIN(8,INT((X$5-$H$12)/4)+1)))/1000000</f>
        <v>0</v>
      </c>
      <c r="Y39" s="120" t="n">
        <f aca="false">Y38*CHOOSE(MATCH($C$12,{"H";"B";"N"},0),GPUMW_H*ODc_H,GPUMW_B*ODc_B,GPUMW_N*ODc_N)*ResidUtil*Timeline!Y$9*INDEX(Curve,1,MAX(1,MIN(8,INT((Y$5-$H$12)/4)+1)))/1000000</f>
        <v>0</v>
      </c>
      <c r="Z39" s="120" t="n">
        <f aca="false">Z38*CHOOSE(MATCH($C$12,{"H";"B";"N"},0),GPUMW_H*ODc_H,GPUMW_B*ODc_B,GPUMW_N*ODc_N)*ResidUtil*Timeline!Z$9*INDEX(Curve,1,MAX(1,MIN(8,INT((Z$5-$H$12)/4)+1)))/1000000</f>
        <v>0</v>
      </c>
      <c r="AA39" s="120" t="n">
        <f aca="false">AA38*CHOOSE(MATCH($C$12,{"H";"B";"N"},0),GPUMW_H*ODc_H,GPUMW_B*ODc_B,GPUMW_N*ODc_N)*ResidUtil*Timeline!AA$9*INDEX(Curve,1,MAX(1,MIN(8,INT((AA$5-$H$12)/4)+1)))/1000000</f>
        <v>0</v>
      </c>
      <c r="AB39" s="120" t="n">
        <f aca="false">AB38*CHOOSE(MATCH($C$12,{"H";"B";"N"},0),GPUMW_H*ODc_H,GPUMW_B*ODc_B,GPUMW_N*ODc_N)*ResidUtil*Timeline!AB$9*INDEX(Curve,1,MAX(1,MIN(8,INT((AB$5-$H$12)/4)+1)))/1000000</f>
        <v>0</v>
      </c>
      <c r="AC39" s="120" t="n">
        <f aca="false">AC38*CHOOSE(MATCH($C$12,{"H";"B";"N"},0),GPUMW_H*ODc_H,GPUMW_B*ODc_B,GPUMW_N*ODc_N)*ResidUtil*Timeline!AC$9*INDEX(Curve,1,MAX(1,MIN(8,INT((AC$5-$H$12)/4)+1)))/1000000</f>
        <v>0</v>
      </c>
      <c r="AD39" s="120" t="n">
        <f aca="false">AD38*CHOOSE(MATCH($C$12,{"H";"B";"N"},0),GPUMW_H*ODc_H,GPUMW_B*ODc_B,GPUMW_N*ODc_N)*ResidUtil*Timeline!AD$9*INDEX(Curve,1,MAX(1,MIN(8,INT((AD$5-$H$12)/4)+1)))/1000000</f>
        <v>0</v>
      </c>
      <c r="AE39" s="120" t="n">
        <f aca="false">AE38*CHOOSE(MATCH($C$12,{"H";"B";"N"},0),GPUMW_H*ODc_H,GPUMW_B*ODc_B,GPUMW_N*ODc_N)*ResidUtil*Timeline!AE$9*INDEX(Curve,1,MAX(1,MIN(8,INT((AE$5-$H$12)/4)+1)))/1000000</f>
        <v>0</v>
      </c>
      <c r="AF39" s="120" t="n">
        <f aca="false">AF38*CHOOSE(MATCH($C$12,{"H";"B";"N"},0),GPUMW_H*ODc_H,GPUMW_B*ODc_B,GPUMW_N*ODc_N)*ResidUtil*Timeline!AF$9*INDEX(Curve,1,MAX(1,MIN(8,INT((AF$5-$H$12)/4)+1)))/1000000</f>
        <v>0</v>
      </c>
      <c r="AG39" s="120" t="n">
        <f aca="false">AG38*CHOOSE(MATCH($C$12,{"H";"B";"N"},0),GPUMW_H*ODc_H,GPUMW_B*ODc_B,GPUMW_N*ODc_N)*ResidUtil*Timeline!AG$9*INDEX(Curve,1,MAX(1,MIN(8,INT((AG$5-$H$12)/4)+1)))/1000000</f>
        <v>108.352816</v>
      </c>
      <c r="AI39" s="120" t="n">
        <f aca="false">SUMIF($F$7:$AG$7,AI$7,$F39:$AG39)</f>
        <v>0</v>
      </c>
      <c r="AJ39" s="120" t="n">
        <f aca="false">SUMIF($F$7:$AG$7,AJ$7,$F39:$AG39)</f>
        <v>0</v>
      </c>
      <c r="AK39" s="120" t="n">
        <f aca="false">SUMIF($F$7:$AG$7,AK$7,$F39:$AG39)</f>
        <v>0</v>
      </c>
      <c r="AL39" s="120" t="n">
        <f aca="false">SUMIF($F$7:$AG$7,AL$7,$F39:$AG39)</f>
        <v>0</v>
      </c>
      <c r="AM39" s="120" t="n">
        <f aca="false">SUMIF($F$7:$AG$7,AM$7,$F39:$AG39)</f>
        <v>0</v>
      </c>
      <c r="AN39" s="120" t="n">
        <f aca="false">SUMIF($F$7:$AG$7,AN$7,$F39:$AG39)</f>
        <v>0</v>
      </c>
      <c r="AO39" s="120" t="n">
        <f aca="false">SUMIF($F$7:$AG$7,AO$7,$F39:$AG39)</f>
        <v>108.352816</v>
      </c>
    </row>
    <row r="40" customFormat="false" ht="15" hidden="false" customHeight="false" outlineLevel="0" collapsed="false">
      <c r="A40" s="101" t="s">
        <v>1371</v>
      </c>
      <c r="B40" s="18" t="s">
        <v>400</v>
      </c>
      <c r="C40" s="18"/>
      <c r="D40" s="18"/>
      <c r="F40" s="119" t="n">
        <f aca="false">(1-$I$13)*(1-$J$13)*$D$13*$E$13/4*MIN(1,MAX(0,(F$5-$H$13+1)/$T$13))*IF(F$5=$H$13,DelivFactor,IF(AND(F$5&gt;$H$13,F$5&lt;$H$13+$F$13),1,IF(F$5=$H$13+$F$13,1-DelivFactor,0)))</f>
        <v>0</v>
      </c>
      <c r="G40" s="119" t="n">
        <f aca="false">(1-$I$13)*(1-$J$13)*$D$13*$E$13/4*MIN(1,MAX(0,(G$5-$H$13+1)/$T$13))*IF(G$5=$H$13,DelivFactor,IF(AND(G$5&gt;$H$13,G$5&lt;$H$13+$F$13),1,IF(G$5=$H$13+$F$13,1-DelivFactor,0)))</f>
        <v>0</v>
      </c>
      <c r="H40" s="119" t="n">
        <f aca="false">(1-$I$13)*(1-$J$13)*$D$13*$E$13/4*MIN(1,MAX(0,(H$5-$H$13+1)/$T$13))*IF(H$5=$H$13,DelivFactor,IF(AND(H$5&gt;$H$13,H$5&lt;$H$13+$F$13),1,IF(H$5=$H$13+$F$13,1-DelivFactor,0)))</f>
        <v>0</v>
      </c>
      <c r="I40" s="119" t="n">
        <f aca="false">(1-$I$13)*(1-$J$13)*$D$13*$E$13/4*MIN(1,MAX(0,(I$5-$H$13+1)/$T$13))*IF(I$5=$H$13,DelivFactor,IF(AND(I$5&gt;$H$13,I$5&lt;$H$13+$F$13),1,IF(I$5=$H$13+$F$13,1-DelivFactor,0)))</f>
        <v>0</v>
      </c>
      <c r="J40" s="119" t="n">
        <f aca="false">(1-$I$13)*(1-$J$13)*$D$13*$E$13/4*MIN(1,MAX(0,(J$5-$H$13+1)/$T$13))*IF(J$5=$H$13,DelivFactor,IF(AND(J$5&gt;$H$13,J$5&lt;$H$13+$F$13),1,IF(J$5=$H$13+$F$13,1-DelivFactor,0)))</f>
        <v>0</v>
      </c>
      <c r="K40" s="119" t="n">
        <f aca="false">(1-$I$13)*(1-$J$13)*$D$13*$E$13/4*MIN(1,MAX(0,(K$5-$H$13+1)/$T$13))*IF(K$5=$H$13,DelivFactor,IF(AND(K$5&gt;$H$13,K$5&lt;$H$13+$F$13),1,IF(K$5=$H$13+$F$13,1-DelivFactor,0)))</f>
        <v>0</v>
      </c>
      <c r="L40" s="119" t="n">
        <f aca="false">(1-$I$13)*(1-$J$13)*$D$13*$E$13/4*MIN(1,MAX(0,(L$5-$H$13+1)/$T$13))*IF(L$5=$H$13,DelivFactor,IF(AND(L$5&gt;$H$13,L$5&lt;$H$13+$F$13),1,IF(L$5=$H$13+$F$13,1-DelivFactor,0)))</f>
        <v>0</v>
      </c>
      <c r="M40" s="119" t="n">
        <f aca="false">(1-$I$13)*(1-$J$13)*$D$13*$E$13/4*MIN(1,MAX(0,(M$5-$H$13+1)/$T$13))*IF(M$5=$H$13,DelivFactor,IF(AND(M$5&gt;$H$13,M$5&lt;$H$13+$F$13),1,IF(M$5=$H$13+$F$13,1-DelivFactor,0)))</f>
        <v>0</v>
      </c>
      <c r="N40" s="119" t="n">
        <f aca="false">(1-$I$13)*(1-$J$13)*$D$13*$E$13/4*MIN(1,MAX(0,(N$5-$H$13+1)/$T$13))*IF(N$5=$H$13,DelivFactor,IF(AND(N$5&gt;$H$13,N$5&lt;$H$13+$F$13),1,IF(N$5=$H$13+$F$13,1-DelivFactor,0)))</f>
        <v>12.0784027777778</v>
      </c>
      <c r="O40" s="119" t="n">
        <f aca="false">(1-$I$13)*(1-$J$13)*$D$13*$E$13/4*MIN(1,MAX(0,(O$5-$H$13+1)/$T$13))*IF(O$5=$H$13,DelivFactor,IF(AND(O$5&gt;$H$13,O$5&lt;$H$13+$F$13),1,IF(O$5=$H$13+$F$13,1-DelivFactor,0)))</f>
        <v>48.3136111111111</v>
      </c>
      <c r="P40" s="120" t="n">
        <f aca="false">(1-$I$13)*(1-$J$13)*$D$13*$E$13/4*MIN(1,MAX(0,(P$5-$H$13+1)/$T$13))*IF(P$5=$H$13,DelivFactor,IF(AND(P$5&gt;$H$13,P$5&lt;$H$13+$F$13),1,IF(P$5=$H$13+$F$13,1-DelivFactor,0)))</f>
        <v>72.4704166666667</v>
      </c>
      <c r="Q40" s="120" t="n">
        <f aca="false">(1-$I$13)*(1-$J$13)*$D$13*$E$13/4*MIN(1,MAX(0,(Q$5-$H$13+1)/$T$13))*IF(Q$5=$H$13,DelivFactor,IF(AND(Q$5&gt;$H$13,Q$5&lt;$H$13+$F$13),1,IF(Q$5=$H$13+$F$13,1-DelivFactor,0)))</f>
        <v>96.6272222222222</v>
      </c>
      <c r="R40" s="120" t="n">
        <f aca="false">(1-$I$13)*(1-$J$13)*$D$13*$E$13/4*MIN(1,MAX(0,(R$5-$H$13+1)/$T$13))*IF(R$5=$H$13,DelivFactor,IF(AND(R$5&gt;$H$13,R$5&lt;$H$13+$F$13),1,IF(R$5=$H$13+$F$13,1-DelivFactor,0)))</f>
        <v>96.6272222222222</v>
      </c>
      <c r="S40" s="120" t="n">
        <f aca="false">(1-$I$13)*(1-$J$13)*$D$13*$E$13/4*MIN(1,MAX(0,(S$5-$H$13+1)/$T$13))*IF(S$5=$H$13,DelivFactor,IF(AND(S$5&gt;$H$13,S$5&lt;$H$13+$F$13),1,IF(S$5=$H$13+$F$13,1-DelivFactor,0)))</f>
        <v>96.6272222222222</v>
      </c>
      <c r="T40" s="120" t="n">
        <f aca="false">(1-$I$13)*(1-$J$13)*$D$13*$E$13/4*MIN(1,MAX(0,(T$5-$H$13+1)/$T$13))*IF(T$5=$H$13,DelivFactor,IF(AND(T$5&gt;$H$13,T$5&lt;$H$13+$F$13),1,IF(T$5=$H$13+$F$13,1-DelivFactor,0)))</f>
        <v>96.6272222222222</v>
      </c>
      <c r="U40" s="120" t="n">
        <f aca="false">(1-$I$13)*(1-$J$13)*$D$13*$E$13/4*MIN(1,MAX(0,(U$5-$H$13+1)/$T$13))*IF(U$5=$H$13,DelivFactor,IF(AND(U$5&gt;$H$13,U$5&lt;$H$13+$F$13),1,IF(U$5=$H$13+$F$13,1-DelivFactor,0)))</f>
        <v>96.6272222222222</v>
      </c>
      <c r="V40" s="120" t="n">
        <f aca="false">(1-$I$13)*(1-$J$13)*$D$13*$E$13/4*MIN(1,MAX(0,(V$5-$H$13+1)/$T$13))*IF(V$5=$H$13,DelivFactor,IF(AND(V$5&gt;$H$13,V$5&lt;$H$13+$F$13),1,IF(V$5=$H$13+$F$13,1-DelivFactor,0)))</f>
        <v>96.6272222222222</v>
      </c>
      <c r="W40" s="120" t="n">
        <f aca="false">(1-$I$13)*(1-$J$13)*$D$13*$E$13/4*MIN(1,MAX(0,(W$5-$H$13+1)/$T$13))*IF(W$5=$H$13,DelivFactor,IF(AND(W$5&gt;$H$13,W$5&lt;$H$13+$F$13),1,IF(W$5=$H$13+$F$13,1-DelivFactor,0)))</f>
        <v>96.6272222222222</v>
      </c>
      <c r="X40" s="120" t="n">
        <f aca="false">(1-$I$13)*(1-$J$13)*$D$13*$E$13/4*MIN(1,MAX(0,(X$5-$H$13+1)/$T$13))*IF(X$5=$H$13,DelivFactor,IF(AND(X$5&gt;$H$13,X$5&lt;$H$13+$F$13),1,IF(X$5=$H$13+$F$13,1-DelivFactor,0)))</f>
        <v>96.6272222222222</v>
      </c>
      <c r="Y40" s="120" t="n">
        <f aca="false">(1-$I$13)*(1-$J$13)*$D$13*$E$13/4*MIN(1,MAX(0,(Y$5-$H$13+1)/$T$13))*IF(Y$5=$H$13,DelivFactor,IF(AND(Y$5&gt;$H$13,Y$5&lt;$H$13+$F$13),1,IF(Y$5=$H$13+$F$13,1-DelivFactor,0)))</f>
        <v>96.6272222222222</v>
      </c>
      <c r="Z40" s="120" t="n">
        <f aca="false">(1-$I$13)*(1-$J$13)*$D$13*$E$13/4*MIN(1,MAX(0,(Z$5-$H$13+1)/$T$13))*IF(Z$5=$H$13,DelivFactor,IF(AND(Z$5&gt;$H$13,Z$5&lt;$H$13+$F$13),1,IF(Z$5=$H$13+$F$13,1-DelivFactor,0)))</f>
        <v>96.6272222222222</v>
      </c>
      <c r="AA40" s="120" t="n">
        <f aca="false">(1-$I$13)*(1-$J$13)*$D$13*$E$13/4*MIN(1,MAX(0,(AA$5-$H$13+1)/$T$13))*IF(AA$5=$H$13,DelivFactor,IF(AND(AA$5&gt;$H$13,AA$5&lt;$H$13+$F$13),1,IF(AA$5=$H$13+$F$13,1-DelivFactor,0)))</f>
        <v>96.6272222222222</v>
      </c>
      <c r="AB40" s="120" t="n">
        <f aca="false">(1-$I$13)*(1-$J$13)*$D$13*$E$13/4*MIN(1,MAX(0,(AB$5-$H$13+1)/$T$13))*IF(AB$5=$H$13,DelivFactor,IF(AND(AB$5&gt;$H$13,AB$5&lt;$H$13+$F$13),1,IF(AB$5=$H$13+$F$13,1-DelivFactor,0)))</f>
        <v>96.6272222222222</v>
      </c>
      <c r="AC40" s="120" t="n">
        <f aca="false">(1-$I$13)*(1-$J$13)*$D$13*$E$13/4*MIN(1,MAX(0,(AC$5-$H$13+1)/$T$13))*IF(AC$5=$H$13,DelivFactor,IF(AND(AC$5&gt;$H$13,AC$5&lt;$H$13+$F$13),1,IF(AC$5=$H$13+$F$13,1-DelivFactor,0)))</f>
        <v>96.6272222222222</v>
      </c>
      <c r="AD40" s="120" t="n">
        <f aca="false">(1-$I$13)*(1-$J$13)*$D$13*$E$13/4*MIN(1,MAX(0,(AD$5-$H$13+1)/$T$13))*IF(AD$5=$H$13,DelivFactor,IF(AND(AD$5&gt;$H$13,AD$5&lt;$H$13+$F$13),1,IF(AD$5=$H$13+$F$13,1-DelivFactor,0)))</f>
        <v>96.6272222222222</v>
      </c>
      <c r="AE40" s="120" t="n">
        <f aca="false">(1-$I$13)*(1-$J$13)*$D$13*$E$13/4*MIN(1,MAX(0,(AE$5-$H$13+1)/$T$13))*IF(AE$5=$H$13,DelivFactor,IF(AND(AE$5&gt;$H$13,AE$5&lt;$H$13+$F$13),1,IF(AE$5=$H$13+$F$13,1-DelivFactor,0)))</f>
        <v>96.6272222222222</v>
      </c>
      <c r="AF40" s="120" t="n">
        <f aca="false">(1-$I$13)*(1-$J$13)*$D$13*$E$13/4*MIN(1,MAX(0,(AF$5-$H$13+1)/$T$13))*IF(AF$5=$H$13,DelivFactor,IF(AND(AF$5&gt;$H$13,AF$5&lt;$H$13+$F$13),1,IF(AF$5=$H$13+$F$13,1-DelivFactor,0)))</f>
        <v>96.6272222222222</v>
      </c>
      <c r="AG40" s="120" t="n">
        <f aca="false">(1-$I$13)*(1-$J$13)*$D$13*$E$13/4*MIN(1,MAX(0,(AG$5-$H$13+1)/$T$13))*IF(AG$5=$H$13,DelivFactor,IF(AND(AG$5&gt;$H$13,AG$5&lt;$H$13+$F$13),1,IF(AG$5=$H$13+$F$13,1-DelivFactor,0)))</f>
        <v>96.6272222222222</v>
      </c>
      <c r="AI40" s="120" t="n">
        <f aca="false">SUMIF($F$7:$AG$7,AI$7,$F40:$AG40)</f>
        <v>0</v>
      </c>
      <c r="AJ40" s="120" t="n">
        <f aca="false">SUMIF($F$7:$AG$7,AJ$7,$F40:$AG40)</f>
        <v>0</v>
      </c>
      <c r="AK40" s="120" t="n">
        <f aca="false">SUMIF($F$7:$AG$7,AK$7,$F40:$AG40)</f>
        <v>229.489652777778</v>
      </c>
      <c r="AL40" s="120" t="n">
        <f aca="false">SUMIF($F$7:$AG$7,AL$7,$F40:$AG40)</f>
        <v>386.508888888889</v>
      </c>
      <c r="AM40" s="120" t="n">
        <f aca="false">SUMIF($F$7:$AG$7,AM$7,$F40:$AG40)</f>
        <v>386.508888888889</v>
      </c>
      <c r="AN40" s="120" t="n">
        <f aca="false">SUMIF($F$7:$AG$7,AN$7,$F40:$AG40)</f>
        <v>386.508888888889</v>
      </c>
      <c r="AO40" s="120" t="n">
        <f aca="false">SUMIF($F$7:$AG$7,AO$7,$F40:$AG40)</f>
        <v>386.508888888889</v>
      </c>
    </row>
    <row r="41" customFormat="false" ht="15" hidden="false" customHeight="false" outlineLevel="0" collapsed="false">
      <c r="A41" s="101" t="s">
        <v>1372</v>
      </c>
      <c r="B41" s="18" t="s">
        <v>415</v>
      </c>
      <c r="C41" s="18"/>
      <c r="D41" s="18"/>
      <c r="F41" s="110" t="n">
        <f aca="false">(1-$I$13)*(1-$J$13)*$D$13*AND(F$5&gt;=$H$13,F$5&lt;$H$13+$F$13)</f>
        <v>0</v>
      </c>
      <c r="G41" s="110" t="n">
        <f aca="false">(1-$I$13)*(1-$J$13)*$D$13*AND(G$5&gt;=$H$13,G$5&lt;$H$13+$F$13)</f>
        <v>0</v>
      </c>
      <c r="H41" s="110" t="n">
        <f aca="false">(1-$I$13)*(1-$J$13)*$D$13*AND(H$5&gt;=$H$13,H$5&lt;$H$13+$F$13)</f>
        <v>0</v>
      </c>
      <c r="I41" s="110" t="n">
        <f aca="false">(1-$I$13)*(1-$J$13)*$D$13*AND(I$5&gt;=$H$13,I$5&lt;$H$13+$F$13)</f>
        <v>0</v>
      </c>
      <c r="J41" s="110" t="n">
        <f aca="false">(1-$I$13)*(1-$J$13)*$D$13*AND(J$5&gt;=$H$13,J$5&lt;$H$13+$F$13)</f>
        <v>0</v>
      </c>
      <c r="K41" s="110" t="n">
        <f aca="false">(1-$I$13)*(1-$J$13)*$D$13*AND(K$5&gt;=$H$13,K$5&lt;$H$13+$F$13)</f>
        <v>0</v>
      </c>
      <c r="L41" s="110" t="n">
        <f aca="false">(1-$I$13)*(1-$J$13)*$D$13*AND(L$5&gt;=$H$13,L$5&lt;$H$13+$F$13)</f>
        <v>0</v>
      </c>
      <c r="M41" s="110" t="n">
        <f aca="false">(1-$I$13)*(1-$J$13)*$D$13*AND(M$5&gt;=$H$13,M$5&lt;$H$13+$F$13)</f>
        <v>0</v>
      </c>
      <c r="N41" s="110" t="n">
        <f aca="false">(1-$I$13)*(1-$J$13)*$D$13*AND(N$5&gt;=$H$13,N$5&lt;$H$13+$F$13)</f>
        <v>26.6666666666667</v>
      </c>
      <c r="O41" s="110" t="n">
        <f aca="false">(1-$I$13)*(1-$J$13)*$D$13*AND(O$5&gt;=$H$13,O$5&lt;$H$13+$F$13)</f>
        <v>26.6666666666667</v>
      </c>
      <c r="P41" s="21" t="n">
        <f aca="false">(1-$I$13)*(1-$J$13)*$D$13*AND(P$5&gt;=$H$13,P$5&lt;$H$13+$F$13)</f>
        <v>26.6666666666667</v>
      </c>
      <c r="Q41" s="21" t="n">
        <f aca="false">(1-$I$13)*(1-$J$13)*$D$13*AND(Q$5&gt;=$H$13,Q$5&lt;$H$13+$F$13)</f>
        <v>26.6666666666667</v>
      </c>
      <c r="R41" s="21" t="n">
        <f aca="false">(1-$I$13)*(1-$J$13)*$D$13*AND(R$5&gt;=$H$13,R$5&lt;$H$13+$F$13)</f>
        <v>26.6666666666667</v>
      </c>
      <c r="S41" s="21" t="n">
        <f aca="false">(1-$I$13)*(1-$J$13)*$D$13*AND(S$5&gt;=$H$13,S$5&lt;$H$13+$F$13)</f>
        <v>26.6666666666667</v>
      </c>
      <c r="T41" s="21" t="n">
        <f aca="false">(1-$I$13)*(1-$J$13)*$D$13*AND(T$5&gt;=$H$13,T$5&lt;$H$13+$F$13)</f>
        <v>26.6666666666667</v>
      </c>
      <c r="U41" s="21" t="n">
        <f aca="false">(1-$I$13)*(1-$J$13)*$D$13*AND(U$5&gt;=$H$13,U$5&lt;$H$13+$F$13)</f>
        <v>26.6666666666667</v>
      </c>
      <c r="V41" s="21" t="n">
        <f aca="false">(1-$I$13)*(1-$J$13)*$D$13*AND(V$5&gt;=$H$13,V$5&lt;$H$13+$F$13)</f>
        <v>26.6666666666667</v>
      </c>
      <c r="W41" s="21" t="n">
        <f aca="false">(1-$I$13)*(1-$J$13)*$D$13*AND(W$5&gt;=$H$13,W$5&lt;$H$13+$F$13)</f>
        <v>26.6666666666667</v>
      </c>
      <c r="X41" s="21" t="n">
        <f aca="false">(1-$I$13)*(1-$J$13)*$D$13*AND(X$5&gt;=$H$13,X$5&lt;$H$13+$F$13)</f>
        <v>26.6666666666667</v>
      </c>
      <c r="Y41" s="21" t="n">
        <f aca="false">(1-$I$13)*(1-$J$13)*$D$13*AND(Y$5&gt;=$H$13,Y$5&lt;$H$13+$F$13)</f>
        <v>26.6666666666667</v>
      </c>
      <c r="Z41" s="21" t="n">
        <f aca="false">(1-$I$13)*(1-$J$13)*$D$13*AND(Z$5&gt;=$H$13,Z$5&lt;$H$13+$F$13)</f>
        <v>26.6666666666667</v>
      </c>
      <c r="AA41" s="21" t="n">
        <f aca="false">(1-$I$13)*(1-$J$13)*$D$13*AND(AA$5&gt;=$H$13,AA$5&lt;$H$13+$F$13)</f>
        <v>26.6666666666667</v>
      </c>
      <c r="AB41" s="21" t="n">
        <f aca="false">(1-$I$13)*(1-$J$13)*$D$13*AND(AB$5&gt;=$H$13,AB$5&lt;$H$13+$F$13)</f>
        <v>26.6666666666667</v>
      </c>
      <c r="AC41" s="21" t="n">
        <f aca="false">(1-$I$13)*(1-$J$13)*$D$13*AND(AC$5&gt;=$H$13,AC$5&lt;$H$13+$F$13)</f>
        <v>26.6666666666667</v>
      </c>
      <c r="AD41" s="21" t="n">
        <f aca="false">(1-$I$13)*(1-$J$13)*$D$13*AND(AD$5&gt;=$H$13,AD$5&lt;$H$13+$F$13)</f>
        <v>26.6666666666667</v>
      </c>
      <c r="AE41" s="21" t="n">
        <f aca="false">(1-$I$13)*(1-$J$13)*$D$13*AND(AE$5&gt;=$H$13,AE$5&lt;$H$13+$F$13)</f>
        <v>26.6666666666667</v>
      </c>
      <c r="AF41" s="21" t="n">
        <f aca="false">(1-$I$13)*(1-$J$13)*$D$13*AND(AF$5&gt;=$H$13,AF$5&lt;$H$13+$F$13)</f>
        <v>26.6666666666667</v>
      </c>
      <c r="AG41" s="21" t="n">
        <f aca="false">(1-$I$13)*(1-$J$13)*$D$13*AND(AG$5&gt;=$H$13,AG$5&lt;$H$13+$F$13)</f>
        <v>26.6666666666667</v>
      </c>
      <c r="AI41" s="21" t="n">
        <f aca="false">INDEX($F41:$AG41,1,MATCH(AI$7,$F$7:$AG$7,1))</f>
        <v>0</v>
      </c>
      <c r="AJ41" s="21" t="n">
        <f aca="false">INDEX($F41:$AG41,1,MATCH(AJ$7,$F$7:$AG$7,1))</f>
        <v>0</v>
      </c>
      <c r="AK41" s="21" t="n">
        <f aca="false">INDEX($F41:$AG41,1,MATCH(AK$7,$F$7:$AG$7,1))</f>
        <v>26.6666666666667</v>
      </c>
      <c r="AL41" s="21" t="n">
        <f aca="false">INDEX($F41:$AG41,1,MATCH(AL$7,$F$7:$AG$7,1))</f>
        <v>26.6666666666667</v>
      </c>
      <c r="AM41" s="21" t="n">
        <f aca="false">INDEX($F41:$AG41,1,MATCH(AM$7,$F$7:$AG$7,1))</f>
        <v>26.6666666666667</v>
      </c>
      <c r="AN41" s="21" t="n">
        <f aca="false">INDEX($F41:$AG41,1,MATCH(AN$7,$F$7:$AG$7,1))</f>
        <v>26.6666666666667</v>
      </c>
      <c r="AO41" s="21" t="n">
        <f aca="false">INDEX($F41:$AG41,1,MATCH(AO$7,$F$7:$AG$7,1))</f>
        <v>26.6666666666667</v>
      </c>
    </row>
    <row r="42" customFormat="false" ht="15" hidden="false" customHeight="false" outlineLevel="0" collapsed="false">
      <c r="A42" s="101" t="s">
        <v>1373</v>
      </c>
      <c r="B42" s="18" t="s">
        <v>400</v>
      </c>
      <c r="C42" s="18"/>
      <c r="D42" s="18"/>
      <c r="F42" s="119" t="n">
        <f aca="false">-(1-$I$13)*LD_Pct*$D$13*$E$13/4*AND(F$5&gt;=$G$13,F$5&lt;$H$13)</f>
        <v>-0</v>
      </c>
      <c r="G42" s="119" t="n">
        <f aca="false">-(1-$I$13)*LD_Pct*$D$13*$E$13/4*AND(G$5&gt;=$G$13,G$5&lt;$H$13)</f>
        <v>-0</v>
      </c>
      <c r="H42" s="119" t="n">
        <f aca="false">-(1-$I$13)*LD_Pct*$D$13*$E$13/4*AND(H$5&gt;=$G$13,H$5&lt;$H$13)</f>
        <v>-0</v>
      </c>
      <c r="I42" s="119" t="n">
        <f aca="false">-(1-$I$13)*LD_Pct*$D$13*$E$13/4*AND(I$5&gt;=$G$13,I$5&lt;$H$13)</f>
        <v>-0</v>
      </c>
      <c r="J42" s="119" t="n">
        <f aca="false">-(1-$I$13)*LD_Pct*$D$13*$E$13/4*AND(J$5&gt;=$G$13,J$5&lt;$H$13)</f>
        <v>-0</v>
      </c>
      <c r="K42" s="119" t="n">
        <f aca="false">-(1-$I$13)*LD_Pct*$D$13*$E$13/4*AND(K$5&gt;=$G$13,K$5&lt;$H$13)</f>
        <v>-0</v>
      </c>
      <c r="L42" s="119" t="n">
        <f aca="false">-(1-$I$13)*LD_Pct*$D$13*$E$13/4*AND(L$5&gt;=$G$13,L$5&lt;$H$13)</f>
        <v>-0</v>
      </c>
      <c r="M42" s="119" t="n">
        <f aca="false">-(1-$I$13)*LD_Pct*$D$13*$E$13/4*AND(M$5&gt;=$G$13,M$5&lt;$H$13)</f>
        <v>-0</v>
      </c>
      <c r="N42" s="119" t="n">
        <f aca="false">-(1-$I$13)*LD_Pct*$D$13*$E$13/4*AND(N$5&gt;=$G$13,N$5&lt;$H$13)</f>
        <v>-0</v>
      </c>
      <c r="O42" s="119" t="n">
        <f aca="false">-(1-$I$13)*LD_Pct*$D$13*$E$13/4*AND(O$5&gt;=$G$13,O$5&lt;$H$13)</f>
        <v>-0</v>
      </c>
      <c r="P42" s="120" t="n">
        <f aca="false">-(1-$I$13)*LD_Pct*$D$13*$E$13/4*AND(P$5&gt;=$G$13,P$5&lt;$H$13)</f>
        <v>-0</v>
      </c>
      <c r="Q42" s="120" t="n">
        <f aca="false">-(1-$I$13)*LD_Pct*$D$13*$E$13/4*AND(Q$5&gt;=$G$13,Q$5&lt;$H$13)</f>
        <v>-0</v>
      </c>
      <c r="R42" s="120" t="n">
        <f aca="false">-(1-$I$13)*LD_Pct*$D$13*$E$13/4*AND(R$5&gt;=$G$13,R$5&lt;$H$13)</f>
        <v>-0</v>
      </c>
      <c r="S42" s="120" t="n">
        <f aca="false">-(1-$I$13)*LD_Pct*$D$13*$E$13/4*AND(S$5&gt;=$G$13,S$5&lt;$H$13)</f>
        <v>-0</v>
      </c>
      <c r="T42" s="120" t="n">
        <f aca="false">-(1-$I$13)*LD_Pct*$D$13*$E$13/4*AND(T$5&gt;=$G$13,T$5&lt;$H$13)</f>
        <v>-0</v>
      </c>
      <c r="U42" s="120" t="n">
        <f aca="false">-(1-$I$13)*LD_Pct*$D$13*$E$13/4*AND(U$5&gt;=$G$13,U$5&lt;$H$13)</f>
        <v>-0</v>
      </c>
      <c r="V42" s="120" t="n">
        <f aca="false">-(1-$I$13)*LD_Pct*$D$13*$E$13/4*AND(V$5&gt;=$G$13,V$5&lt;$H$13)</f>
        <v>-0</v>
      </c>
      <c r="W42" s="120" t="n">
        <f aca="false">-(1-$I$13)*LD_Pct*$D$13*$E$13/4*AND(W$5&gt;=$G$13,W$5&lt;$H$13)</f>
        <v>-0</v>
      </c>
      <c r="X42" s="120" t="n">
        <f aca="false">-(1-$I$13)*LD_Pct*$D$13*$E$13/4*AND(X$5&gt;=$G$13,X$5&lt;$H$13)</f>
        <v>-0</v>
      </c>
      <c r="Y42" s="120" t="n">
        <f aca="false">-(1-$I$13)*LD_Pct*$D$13*$E$13/4*AND(Y$5&gt;=$G$13,Y$5&lt;$H$13)</f>
        <v>-0</v>
      </c>
      <c r="Z42" s="120" t="n">
        <f aca="false">-(1-$I$13)*LD_Pct*$D$13*$E$13/4*AND(Z$5&gt;=$G$13,Z$5&lt;$H$13)</f>
        <v>-0</v>
      </c>
      <c r="AA42" s="120" t="n">
        <f aca="false">-(1-$I$13)*LD_Pct*$D$13*$E$13/4*AND(AA$5&gt;=$G$13,AA$5&lt;$H$13)</f>
        <v>-0</v>
      </c>
      <c r="AB42" s="120" t="n">
        <f aca="false">-(1-$I$13)*LD_Pct*$D$13*$E$13/4*AND(AB$5&gt;=$G$13,AB$5&lt;$H$13)</f>
        <v>-0</v>
      </c>
      <c r="AC42" s="120" t="n">
        <f aca="false">-(1-$I$13)*LD_Pct*$D$13*$E$13/4*AND(AC$5&gt;=$G$13,AC$5&lt;$H$13)</f>
        <v>-0</v>
      </c>
      <c r="AD42" s="120" t="n">
        <f aca="false">-(1-$I$13)*LD_Pct*$D$13*$E$13/4*AND(AD$5&gt;=$G$13,AD$5&lt;$H$13)</f>
        <v>-0</v>
      </c>
      <c r="AE42" s="120" t="n">
        <f aca="false">-(1-$I$13)*LD_Pct*$D$13*$E$13/4*AND(AE$5&gt;=$G$13,AE$5&lt;$H$13)</f>
        <v>-0</v>
      </c>
      <c r="AF42" s="120" t="n">
        <f aca="false">-(1-$I$13)*LD_Pct*$D$13*$E$13/4*AND(AF$5&gt;=$G$13,AF$5&lt;$H$13)</f>
        <v>-0</v>
      </c>
      <c r="AG42" s="120" t="n">
        <f aca="false">-(1-$I$13)*LD_Pct*$D$13*$E$13/4*AND(AG$5&gt;=$G$13,AG$5&lt;$H$13)</f>
        <v>-0</v>
      </c>
      <c r="AI42" s="120" t="n">
        <f aca="false">SUMIF($F$7:$AG$7,AI$7,$F42:$AG42)</f>
        <v>0</v>
      </c>
      <c r="AJ42" s="120" t="n">
        <f aca="false">SUMIF($F$7:$AG$7,AJ$7,$F42:$AG42)</f>
        <v>0</v>
      </c>
      <c r="AK42" s="120" t="n">
        <f aca="false">SUMIF($F$7:$AG$7,AK$7,$F42:$AG42)</f>
        <v>0</v>
      </c>
      <c r="AL42" s="120" t="n">
        <f aca="false">SUMIF($F$7:$AG$7,AL$7,$F42:$AG42)</f>
        <v>0</v>
      </c>
      <c r="AM42" s="120" t="n">
        <f aca="false">SUMIF($F$7:$AG$7,AM$7,$F42:$AG42)</f>
        <v>0</v>
      </c>
      <c r="AN42" s="120" t="n">
        <f aca="false">SUMIF($F$7:$AG$7,AN$7,$F42:$AG42)</f>
        <v>0</v>
      </c>
      <c r="AO42" s="120" t="n">
        <f aca="false">SUMIF($F$7:$AG$7,AO$7,$F42:$AG42)</f>
        <v>0</v>
      </c>
    </row>
    <row r="43" customFormat="false" ht="15" hidden="false" customHeight="false" outlineLevel="0" collapsed="false">
      <c r="A43" s="101" t="s">
        <v>1374</v>
      </c>
      <c r="B43" s="18" t="s">
        <v>415</v>
      </c>
      <c r="C43" s="18"/>
      <c r="D43" s="18"/>
      <c r="F43" s="110" t="n">
        <f aca="false">(1-$I$13)*(1-$J$13)*$D$13*(F$5&gt;=$H$13+$F$13)</f>
        <v>0</v>
      </c>
      <c r="G43" s="110" t="n">
        <f aca="false">(1-$I$13)*(1-$J$13)*$D$13*(G$5&gt;=$H$13+$F$13)</f>
        <v>0</v>
      </c>
      <c r="H43" s="110" t="n">
        <f aca="false">(1-$I$13)*(1-$J$13)*$D$13*(H$5&gt;=$H$13+$F$13)</f>
        <v>0</v>
      </c>
      <c r="I43" s="110" t="n">
        <f aca="false">(1-$I$13)*(1-$J$13)*$D$13*(I$5&gt;=$H$13+$F$13)</f>
        <v>0</v>
      </c>
      <c r="J43" s="110" t="n">
        <f aca="false">(1-$I$13)*(1-$J$13)*$D$13*(J$5&gt;=$H$13+$F$13)</f>
        <v>0</v>
      </c>
      <c r="K43" s="110" t="n">
        <f aca="false">(1-$I$13)*(1-$J$13)*$D$13*(K$5&gt;=$H$13+$F$13)</f>
        <v>0</v>
      </c>
      <c r="L43" s="110" t="n">
        <f aca="false">(1-$I$13)*(1-$J$13)*$D$13*(L$5&gt;=$H$13+$F$13)</f>
        <v>0</v>
      </c>
      <c r="M43" s="110" t="n">
        <f aca="false">(1-$I$13)*(1-$J$13)*$D$13*(M$5&gt;=$H$13+$F$13)</f>
        <v>0</v>
      </c>
      <c r="N43" s="110" t="n">
        <f aca="false">(1-$I$13)*(1-$J$13)*$D$13*(N$5&gt;=$H$13+$F$13)</f>
        <v>0</v>
      </c>
      <c r="O43" s="110" t="n">
        <f aca="false">(1-$I$13)*(1-$J$13)*$D$13*(O$5&gt;=$H$13+$F$13)</f>
        <v>0</v>
      </c>
      <c r="P43" s="21" t="n">
        <f aca="false">(1-$I$13)*(1-$J$13)*$D$13*(P$5&gt;=$H$13+$F$13)</f>
        <v>0</v>
      </c>
      <c r="Q43" s="21" t="n">
        <f aca="false">(1-$I$13)*(1-$J$13)*$D$13*(Q$5&gt;=$H$13+$F$13)</f>
        <v>0</v>
      </c>
      <c r="R43" s="21" t="n">
        <f aca="false">(1-$I$13)*(1-$J$13)*$D$13*(R$5&gt;=$H$13+$F$13)</f>
        <v>0</v>
      </c>
      <c r="S43" s="21" t="n">
        <f aca="false">(1-$I$13)*(1-$J$13)*$D$13*(S$5&gt;=$H$13+$F$13)</f>
        <v>0</v>
      </c>
      <c r="T43" s="21" t="n">
        <f aca="false">(1-$I$13)*(1-$J$13)*$D$13*(T$5&gt;=$H$13+$F$13)</f>
        <v>0</v>
      </c>
      <c r="U43" s="21" t="n">
        <f aca="false">(1-$I$13)*(1-$J$13)*$D$13*(U$5&gt;=$H$13+$F$13)</f>
        <v>0</v>
      </c>
      <c r="V43" s="21" t="n">
        <f aca="false">(1-$I$13)*(1-$J$13)*$D$13*(V$5&gt;=$H$13+$F$13)</f>
        <v>0</v>
      </c>
      <c r="W43" s="21" t="n">
        <f aca="false">(1-$I$13)*(1-$J$13)*$D$13*(W$5&gt;=$H$13+$F$13)</f>
        <v>0</v>
      </c>
      <c r="X43" s="21" t="n">
        <f aca="false">(1-$I$13)*(1-$J$13)*$D$13*(X$5&gt;=$H$13+$F$13)</f>
        <v>0</v>
      </c>
      <c r="Y43" s="21" t="n">
        <f aca="false">(1-$I$13)*(1-$J$13)*$D$13*(Y$5&gt;=$H$13+$F$13)</f>
        <v>0</v>
      </c>
      <c r="Z43" s="21" t="n">
        <f aca="false">(1-$I$13)*(1-$J$13)*$D$13*(Z$5&gt;=$H$13+$F$13)</f>
        <v>0</v>
      </c>
      <c r="AA43" s="21" t="n">
        <f aca="false">(1-$I$13)*(1-$J$13)*$D$13*(AA$5&gt;=$H$13+$F$13)</f>
        <v>0</v>
      </c>
      <c r="AB43" s="21" t="n">
        <f aca="false">(1-$I$13)*(1-$J$13)*$D$13*(AB$5&gt;=$H$13+$F$13)</f>
        <v>0</v>
      </c>
      <c r="AC43" s="21" t="n">
        <f aca="false">(1-$I$13)*(1-$J$13)*$D$13*(AC$5&gt;=$H$13+$F$13)</f>
        <v>0</v>
      </c>
      <c r="AD43" s="21" t="n">
        <f aca="false">(1-$I$13)*(1-$J$13)*$D$13*(AD$5&gt;=$H$13+$F$13)</f>
        <v>0</v>
      </c>
      <c r="AE43" s="21" t="n">
        <f aca="false">(1-$I$13)*(1-$J$13)*$D$13*(AE$5&gt;=$H$13+$F$13)</f>
        <v>0</v>
      </c>
      <c r="AF43" s="21" t="n">
        <f aca="false">(1-$I$13)*(1-$J$13)*$D$13*(AF$5&gt;=$H$13+$F$13)</f>
        <v>0</v>
      </c>
      <c r="AG43" s="21" t="n">
        <f aca="false">(1-$I$13)*(1-$J$13)*$D$13*(AG$5&gt;=$H$13+$F$13)</f>
        <v>0</v>
      </c>
      <c r="AI43" s="21" t="n">
        <f aca="false">INDEX($F43:$AG43,1,MATCH(AI$7,$F$7:$AG$7,1))</f>
        <v>0</v>
      </c>
      <c r="AJ43" s="21" t="n">
        <f aca="false">INDEX($F43:$AG43,1,MATCH(AJ$7,$F$7:$AG$7,1))</f>
        <v>0</v>
      </c>
      <c r="AK43" s="21" t="n">
        <f aca="false">INDEX($F43:$AG43,1,MATCH(AK$7,$F$7:$AG$7,1))</f>
        <v>0</v>
      </c>
      <c r="AL43" s="21" t="n">
        <f aca="false">INDEX($F43:$AG43,1,MATCH(AL$7,$F$7:$AG$7,1))</f>
        <v>0</v>
      </c>
      <c r="AM43" s="21" t="n">
        <f aca="false">INDEX($F43:$AG43,1,MATCH(AM$7,$F$7:$AG$7,1))</f>
        <v>0</v>
      </c>
      <c r="AN43" s="21" t="n">
        <f aca="false">INDEX($F43:$AG43,1,MATCH(AN$7,$F$7:$AG$7,1))</f>
        <v>0</v>
      </c>
      <c r="AO43" s="21" t="n">
        <f aca="false">INDEX($F43:$AG43,1,MATCH(AO$7,$F$7:$AG$7,1))</f>
        <v>0</v>
      </c>
    </row>
    <row r="44" customFormat="false" ht="15" hidden="false" customHeight="false" outlineLevel="0" collapsed="false">
      <c r="A44" s="101" t="s">
        <v>1375</v>
      </c>
      <c r="B44" s="18" t="s">
        <v>400</v>
      </c>
      <c r="C44" s="18"/>
      <c r="D44" s="18" t="s">
        <v>1370</v>
      </c>
      <c r="F44" s="119" t="n">
        <f aca="false">F43*CHOOSE(MATCH($C$13,{"H";"B";"N"},0),GPUMW_H*ODc_H,GPUMW_B*ODc_B,GPUMW_N*ODc_N)*ResidUtil*Timeline!F$9*INDEX(Curve,1,MAX(1,MIN(8,INT((F$5-$H$13)/4)+1)))/1000000</f>
        <v>0</v>
      </c>
      <c r="G44" s="119" t="n">
        <f aca="false">G43*CHOOSE(MATCH($C$13,{"H";"B";"N"},0),GPUMW_H*ODc_H,GPUMW_B*ODc_B,GPUMW_N*ODc_N)*ResidUtil*Timeline!G$9*INDEX(Curve,1,MAX(1,MIN(8,INT((G$5-$H$13)/4)+1)))/1000000</f>
        <v>0</v>
      </c>
      <c r="H44" s="119" t="n">
        <f aca="false">H43*CHOOSE(MATCH($C$13,{"H";"B";"N"},0),GPUMW_H*ODc_H,GPUMW_B*ODc_B,GPUMW_N*ODc_N)*ResidUtil*Timeline!H$9*INDEX(Curve,1,MAX(1,MIN(8,INT((H$5-$H$13)/4)+1)))/1000000</f>
        <v>0</v>
      </c>
      <c r="I44" s="119" t="n">
        <f aca="false">I43*CHOOSE(MATCH($C$13,{"H";"B";"N"},0),GPUMW_H*ODc_H,GPUMW_B*ODc_B,GPUMW_N*ODc_N)*ResidUtil*Timeline!I$9*INDEX(Curve,1,MAX(1,MIN(8,INT((I$5-$H$13)/4)+1)))/1000000</f>
        <v>0</v>
      </c>
      <c r="J44" s="119" t="n">
        <f aca="false">J43*CHOOSE(MATCH($C$13,{"H";"B";"N"},0),GPUMW_H*ODc_H,GPUMW_B*ODc_B,GPUMW_N*ODc_N)*ResidUtil*Timeline!J$9*INDEX(Curve,1,MAX(1,MIN(8,INT((J$5-$H$13)/4)+1)))/1000000</f>
        <v>0</v>
      </c>
      <c r="K44" s="119" t="n">
        <f aca="false">K43*CHOOSE(MATCH($C$13,{"H";"B";"N"},0),GPUMW_H*ODc_H,GPUMW_B*ODc_B,GPUMW_N*ODc_N)*ResidUtil*Timeline!K$9*INDEX(Curve,1,MAX(1,MIN(8,INT((K$5-$H$13)/4)+1)))/1000000</f>
        <v>0</v>
      </c>
      <c r="L44" s="119" t="n">
        <f aca="false">L43*CHOOSE(MATCH($C$13,{"H";"B";"N"},0),GPUMW_H*ODc_H,GPUMW_B*ODc_B,GPUMW_N*ODc_N)*ResidUtil*Timeline!L$9*INDEX(Curve,1,MAX(1,MIN(8,INT((L$5-$H$13)/4)+1)))/1000000</f>
        <v>0</v>
      </c>
      <c r="M44" s="119" t="n">
        <f aca="false">M43*CHOOSE(MATCH($C$13,{"H";"B";"N"},0),GPUMW_H*ODc_H,GPUMW_B*ODc_B,GPUMW_N*ODc_N)*ResidUtil*Timeline!M$9*INDEX(Curve,1,MAX(1,MIN(8,INT((M$5-$H$13)/4)+1)))/1000000</f>
        <v>0</v>
      </c>
      <c r="N44" s="119" t="n">
        <f aca="false">N43*CHOOSE(MATCH($C$13,{"H";"B";"N"},0),GPUMW_H*ODc_H,GPUMW_B*ODc_B,GPUMW_N*ODc_N)*ResidUtil*Timeline!N$9*INDEX(Curve,1,MAX(1,MIN(8,INT((N$5-$H$13)/4)+1)))/1000000</f>
        <v>0</v>
      </c>
      <c r="O44" s="119" t="n">
        <f aca="false">O43*CHOOSE(MATCH($C$13,{"H";"B";"N"},0),GPUMW_H*ODc_H,GPUMW_B*ODc_B,GPUMW_N*ODc_N)*ResidUtil*Timeline!O$9*INDEX(Curve,1,MAX(1,MIN(8,INT((O$5-$H$13)/4)+1)))/1000000</f>
        <v>0</v>
      </c>
      <c r="P44" s="120" t="n">
        <f aca="false">P43*CHOOSE(MATCH($C$13,{"H";"B";"N"},0),GPUMW_H*ODc_H,GPUMW_B*ODc_B,GPUMW_N*ODc_N)*ResidUtil*Timeline!P$9*INDEX(Curve,1,MAX(1,MIN(8,INT((P$5-$H$13)/4)+1)))/1000000</f>
        <v>0</v>
      </c>
      <c r="Q44" s="120" t="n">
        <f aca="false">Q43*CHOOSE(MATCH($C$13,{"H";"B";"N"},0),GPUMW_H*ODc_H,GPUMW_B*ODc_B,GPUMW_N*ODc_N)*ResidUtil*Timeline!Q$9*INDEX(Curve,1,MAX(1,MIN(8,INT((Q$5-$H$13)/4)+1)))/1000000</f>
        <v>0</v>
      </c>
      <c r="R44" s="120" t="n">
        <f aca="false">R43*CHOOSE(MATCH($C$13,{"H";"B";"N"},0),GPUMW_H*ODc_H,GPUMW_B*ODc_B,GPUMW_N*ODc_N)*ResidUtil*Timeline!R$9*INDEX(Curve,1,MAX(1,MIN(8,INT((R$5-$H$13)/4)+1)))/1000000</f>
        <v>0</v>
      </c>
      <c r="S44" s="120" t="n">
        <f aca="false">S43*CHOOSE(MATCH($C$13,{"H";"B";"N"},0),GPUMW_H*ODc_H,GPUMW_B*ODc_B,GPUMW_N*ODc_N)*ResidUtil*Timeline!S$9*INDEX(Curve,1,MAX(1,MIN(8,INT((S$5-$H$13)/4)+1)))/1000000</f>
        <v>0</v>
      </c>
      <c r="T44" s="120" t="n">
        <f aca="false">T43*CHOOSE(MATCH($C$13,{"H";"B";"N"},0),GPUMW_H*ODc_H,GPUMW_B*ODc_B,GPUMW_N*ODc_N)*ResidUtil*Timeline!T$9*INDEX(Curve,1,MAX(1,MIN(8,INT((T$5-$H$13)/4)+1)))/1000000</f>
        <v>0</v>
      </c>
      <c r="U44" s="120" t="n">
        <f aca="false">U43*CHOOSE(MATCH($C$13,{"H";"B";"N"},0),GPUMW_H*ODc_H,GPUMW_B*ODc_B,GPUMW_N*ODc_N)*ResidUtil*Timeline!U$9*INDEX(Curve,1,MAX(1,MIN(8,INT((U$5-$H$13)/4)+1)))/1000000</f>
        <v>0</v>
      </c>
      <c r="V44" s="120" t="n">
        <f aca="false">V43*CHOOSE(MATCH($C$13,{"H";"B";"N"},0),GPUMW_H*ODc_H,GPUMW_B*ODc_B,GPUMW_N*ODc_N)*ResidUtil*Timeline!V$9*INDEX(Curve,1,MAX(1,MIN(8,INT((V$5-$H$13)/4)+1)))/1000000</f>
        <v>0</v>
      </c>
      <c r="W44" s="120" t="n">
        <f aca="false">W43*CHOOSE(MATCH($C$13,{"H";"B";"N"},0),GPUMW_H*ODc_H,GPUMW_B*ODc_B,GPUMW_N*ODc_N)*ResidUtil*Timeline!W$9*INDEX(Curve,1,MAX(1,MIN(8,INT((W$5-$H$13)/4)+1)))/1000000</f>
        <v>0</v>
      </c>
      <c r="X44" s="120" t="n">
        <f aca="false">X43*CHOOSE(MATCH($C$13,{"H";"B";"N"},0),GPUMW_H*ODc_H,GPUMW_B*ODc_B,GPUMW_N*ODc_N)*ResidUtil*Timeline!X$9*INDEX(Curve,1,MAX(1,MIN(8,INT((X$5-$H$13)/4)+1)))/1000000</f>
        <v>0</v>
      </c>
      <c r="Y44" s="120" t="n">
        <f aca="false">Y43*CHOOSE(MATCH($C$13,{"H";"B";"N"},0),GPUMW_H*ODc_H,GPUMW_B*ODc_B,GPUMW_N*ODc_N)*ResidUtil*Timeline!Y$9*INDEX(Curve,1,MAX(1,MIN(8,INT((Y$5-$H$13)/4)+1)))/1000000</f>
        <v>0</v>
      </c>
      <c r="Z44" s="120" t="n">
        <f aca="false">Z43*CHOOSE(MATCH($C$13,{"H";"B";"N"},0),GPUMW_H*ODc_H,GPUMW_B*ODc_B,GPUMW_N*ODc_N)*ResidUtil*Timeline!Z$9*INDEX(Curve,1,MAX(1,MIN(8,INT((Z$5-$H$13)/4)+1)))/1000000</f>
        <v>0</v>
      </c>
      <c r="AA44" s="120" t="n">
        <f aca="false">AA43*CHOOSE(MATCH($C$13,{"H";"B";"N"},0),GPUMW_H*ODc_H,GPUMW_B*ODc_B,GPUMW_N*ODc_N)*ResidUtil*Timeline!AA$9*INDEX(Curve,1,MAX(1,MIN(8,INT((AA$5-$H$13)/4)+1)))/1000000</f>
        <v>0</v>
      </c>
      <c r="AB44" s="120" t="n">
        <f aca="false">AB43*CHOOSE(MATCH($C$13,{"H";"B";"N"},0),GPUMW_H*ODc_H,GPUMW_B*ODc_B,GPUMW_N*ODc_N)*ResidUtil*Timeline!AB$9*INDEX(Curve,1,MAX(1,MIN(8,INT((AB$5-$H$13)/4)+1)))/1000000</f>
        <v>0</v>
      </c>
      <c r="AC44" s="120" t="n">
        <f aca="false">AC43*CHOOSE(MATCH($C$13,{"H";"B";"N"},0),GPUMW_H*ODc_H,GPUMW_B*ODc_B,GPUMW_N*ODc_N)*ResidUtil*Timeline!AC$9*INDEX(Curve,1,MAX(1,MIN(8,INT((AC$5-$H$13)/4)+1)))/1000000</f>
        <v>0</v>
      </c>
      <c r="AD44" s="120" t="n">
        <f aca="false">AD43*CHOOSE(MATCH($C$13,{"H";"B";"N"},0),GPUMW_H*ODc_H,GPUMW_B*ODc_B,GPUMW_N*ODc_N)*ResidUtil*Timeline!AD$9*INDEX(Curve,1,MAX(1,MIN(8,INT((AD$5-$H$13)/4)+1)))/1000000</f>
        <v>0</v>
      </c>
      <c r="AE44" s="120" t="n">
        <f aca="false">AE43*CHOOSE(MATCH($C$13,{"H";"B";"N"},0),GPUMW_H*ODc_H,GPUMW_B*ODc_B,GPUMW_N*ODc_N)*ResidUtil*Timeline!AE$9*INDEX(Curve,1,MAX(1,MIN(8,INT((AE$5-$H$13)/4)+1)))/1000000</f>
        <v>0</v>
      </c>
      <c r="AF44" s="120" t="n">
        <f aca="false">AF43*CHOOSE(MATCH($C$13,{"H";"B";"N"},0),GPUMW_H*ODc_H,GPUMW_B*ODc_B,GPUMW_N*ODc_N)*ResidUtil*Timeline!AF$9*INDEX(Curve,1,MAX(1,MIN(8,INT((AF$5-$H$13)/4)+1)))/1000000</f>
        <v>0</v>
      </c>
      <c r="AG44" s="120" t="n">
        <f aca="false">AG43*CHOOSE(MATCH($C$13,{"H";"B";"N"},0),GPUMW_H*ODc_H,GPUMW_B*ODc_B,GPUMW_N*ODc_N)*ResidUtil*Timeline!AG$9*INDEX(Curve,1,MAX(1,MIN(8,INT((AG$5-$H$13)/4)+1)))/1000000</f>
        <v>0</v>
      </c>
      <c r="AI44" s="120" t="n">
        <f aca="false">SUMIF($F$7:$AG$7,AI$7,$F44:$AG44)</f>
        <v>0</v>
      </c>
      <c r="AJ44" s="120" t="n">
        <f aca="false">SUMIF($F$7:$AG$7,AJ$7,$F44:$AG44)</f>
        <v>0</v>
      </c>
      <c r="AK44" s="120" t="n">
        <f aca="false">SUMIF($F$7:$AG$7,AK$7,$F44:$AG44)</f>
        <v>0</v>
      </c>
      <c r="AL44" s="120" t="n">
        <f aca="false">SUMIF($F$7:$AG$7,AL$7,$F44:$AG44)</f>
        <v>0</v>
      </c>
      <c r="AM44" s="120" t="n">
        <f aca="false">SUMIF($F$7:$AG$7,AM$7,$F44:$AG44)</f>
        <v>0</v>
      </c>
      <c r="AN44" s="120" t="n">
        <f aca="false">SUMIF($F$7:$AG$7,AN$7,$F44:$AG44)</f>
        <v>0</v>
      </c>
      <c r="AO44" s="120" t="n">
        <f aca="false">SUMIF($F$7:$AG$7,AO$7,$F44:$AG44)</f>
        <v>0</v>
      </c>
    </row>
    <row r="45" customFormat="false" ht="15" hidden="false" customHeight="false" outlineLevel="0" collapsed="false">
      <c r="A45" s="101" t="s">
        <v>1376</v>
      </c>
      <c r="B45" s="18" t="s">
        <v>400</v>
      </c>
      <c r="C45" s="18"/>
      <c r="D45" s="18"/>
      <c r="F45" s="119" t="n">
        <f aca="false">(1-$I$14)*(1-$J$14)*$D$14*$E$14/4*MIN(1,MAX(0,(F$5-$H$14+1)/$T$14))*IF(F$5=$H$14,DelivFactor,IF(AND(F$5&gt;$H$14,F$5&lt;$H$14+$F$14),1,IF(F$5=$H$14+$F$14,1-DelivFactor,0)))</f>
        <v>0</v>
      </c>
      <c r="G45" s="119" t="n">
        <f aca="false">(1-$I$14)*(1-$J$14)*$D$14*$E$14/4*MIN(1,MAX(0,(G$5-$H$14+1)/$T$14))*IF(G$5=$H$14,DelivFactor,IF(AND(G$5&gt;$H$14,G$5&lt;$H$14+$F$14),1,IF(G$5=$H$14+$F$14,1-DelivFactor,0)))</f>
        <v>0</v>
      </c>
      <c r="H45" s="119" t="n">
        <f aca="false">(1-$I$14)*(1-$J$14)*$D$14*$E$14/4*MIN(1,MAX(0,(H$5-$H$14+1)/$T$14))*IF(H$5=$H$14,DelivFactor,IF(AND(H$5&gt;$H$14,H$5&lt;$H$14+$F$14),1,IF(H$5=$H$14+$F$14,1-DelivFactor,0)))</f>
        <v>0</v>
      </c>
      <c r="I45" s="119" t="n">
        <f aca="false">(1-$I$14)*(1-$J$14)*$D$14*$E$14/4*MIN(1,MAX(0,(I$5-$H$14+1)/$T$14))*IF(I$5=$H$14,DelivFactor,IF(AND(I$5&gt;$H$14,I$5&lt;$H$14+$F$14),1,IF(I$5=$H$14+$F$14,1-DelivFactor,0)))</f>
        <v>0</v>
      </c>
      <c r="J45" s="119" t="n">
        <f aca="false">(1-$I$14)*(1-$J$14)*$D$14*$E$14/4*MIN(1,MAX(0,(J$5-$H$14+1)/$T$14))*IF(J$5=$H$14,DelivFactor,IF(AND(J$5&gt;$H$14,J$5&lt;$H$14+$F$14),1,IF(J$5=$H$14+$F$14,1-DelivFactor,0)))</f>
        <v>0</v>
      </c>
      <c r="K45" s="119" t="n">
        <f aca="false">(1-$I$14)*(1-$J$14)*$D$14*$E$14/4*MIN(1,MAX(0,(K$5-$H$14+1)/$T$14))*IF(K$5=$H$14,DelivFactor,IF(AND(K$5&gt;$H$14,K$5&lt;$H$14+$F$14),1,IF(K$5=$H$14+$F$14,1-DelivFactor,0)))</f>
        <v>0</v>
      </c>
      <c r="L45" s="119" t="n">
        <f aca="false">(1-$I$14)*(1-$J$14)*$D$14*$E$14/4*MIN(1,MAX(0,(L$5-$H$14+1)/$T$14))*IF(L$5=$H$14,DelivFactor,IF(AND(L$5&gt;$H$14,L$5&lt;$H$14+$F$14),1,IF(L$5=$H$14+$F$14,1-DelivFactor,0)))</f>
        <v>0</v>
      </c>
      <c r="M45" s="119" t="n">
        <f aca="false">(1-$I$14)*(1-$J$14)*$D$14*$E$14/4*MIN(1,MAX(0,(M$5-$H$14+1)/$T$14))*IF(M$5=$H$14,DelivFactor,IF(AND(M$5&gt;$H$14,M$5&lt;$H$14+$F$14),1,IF(M$5=$H$14+$F$14,1-DelivFactor,0)))</f>
        <v>0</v>
      </c>
      <c r="N45" s="119" t="n">
        <f aca="false">(1-$I$14)*(1-$J$14)*$D$14*$E$14/4*MIN(1,MAX(0,(N$5-$H$14+1)/$T$14))*IF(N$5=$H$14,DelivFactor,IF(AND(N$5&gt;$H$14,N$5&lt;$H$14+$F$14),1,IF(N$5=$H$14+$F$14,1-DelivFactor,0)))</f>
        <v>0</v>
      </c>
      <c r="O45" s="119" t="n">
        <f aca="false">(1-$I$14)*(1-$J$14)*$D$14*$E$14/4*MIN(1,MAX(0,(O$5-$H$14+1)/$T$14))*IF(O$5=$H$14,DelivFactor,IF(AND(O$5&gt;$H$14,O$5&lt;$H$14+$F$14),1,IF(O$5=$H$14+$F$14,1-DelivFactor,0)))</f>
        <v>0</v>
      </c>
      <c r="P45" s="120" t="n">
        <f aca="false">(1-$I$14)*(1-$J$14)*$D$14*$E$14/4*MIN(1,MAX(0,(P$5-$H$14+1)/$T$14))*IF(P$5=$H$14,DelivFactor,IF(AND(P$5&gt;$H$14,P$5&lt;$H$14+$F$14),1,IF(P$5=$H$14+$F$14,1-DelivFactor,0)))</f>
        <v>12.0784027777778</v>
      </c>
      <c r="Q45" s="120" t="n">
        <f aca="false">(1-$I$14)*(1-$J$14)*$D$14*$E$14/4*MIN(1,MAX(0,(Q$5-$H$14+1)/$T$14))*IF(Q$5=$H$14,DelivFactor,IF(AND(Q$5&gt;$H$14,Q$5&lt;$H$14+$F$14),1,IF(Q$5=$H$14+$F$14,1-DelivFactor,0)))</f>
        <v>48.3136111111111</v>
      </c>
      <c r="R45" s="120" t="n">
        <f aca="false">(1-$I$14)*(1-$J$14)*$D$14*$E$14/4*MIN(1,MAX(0,(R$5-$H$14+1)/$T$14))*IF(R$5=$H$14,DelivFactor,IF(AND(R$5&gt;$H$14,R$5&lt;$H$14+$F$14),1,IF(R$5=$H$14+$F$14,1-DelivFactor,0)))</f>
        <v>72.4704166666667</v>
      </c>
      <c r="S45" s="120" t="n">
        <f aca="false">(1-$I$14)*(1-$J$14)*$D$14*$E$14/4*MIN(1,MAX(0,(S$5-$H$14+1)/$T$14))*IF(S$5=$H$14,DelivFactor,IF(AND(S$5&gt;$H$14,S$5&lt;$H$14+$F$14),1,IF(S$5=$H$14+$F$14,1-DelivFactor,0)))</f>
        <v>96.6272222222222</v>
      </c>
      <c r="T45" s="120" t="n">
        <f aca="false">(1-$I$14)*(1-$J$14)*$D$14*$E$14/4*MIN(1,MAX(0,(T$5-$H$14+1)/$T$14))*IF(T$5=$H$14,DelivFactor,IF(AND(T$5&gt;$H$14,T$5&lt;$H$14+$F$14),1,IF(T$5=$H$14+$F$14,1-DelivFactor,0)))</f>
        <v>96.6272222222222</v>
      </c>
      <c r="U45" s="120" t="n">
        <f aca="false">(1-$I$14)*(1-$J$14)*$D$14*$E$14/4*MIN(1,MAX(0,(U$5-$H$14+1)/$T$14))*IF(U$5=$H$14,DelivFactor,IF(AND(U$5&gt;$H$14,U$5&lt;$H$14+$F$14),1,IF(U$5=$H$14+$F$14,1-DelivFactor,0)))</f>
        <v>96.6272222222222</v>
      </c>
      <c r="V45" s="120" t="n">
        <f aca="false">(1-$I$14)*(1-$J$14)*$D$14*$E$14/4*MIN(1,MAX(0,(V$5-$H$14+1)/$T$14))*IF(V$5=$H$14,DelivFactor,IF(AND(V$5&gt;$H$14,V$5&lt;$H$14+$F$14),1,IF(V$5=$H$14+$F$14,1-DelivFactor,0)))</f>
        <v>96.6272222222222</v>
      </c>
      <c r="W45" s="120" t="n">
        <f aca="false">(1-$I$14)*(1-$J$14)*$D$14*$E$14/4*MIN(1,MAX(0,(W$5-$H$14+1)/$T$14))*IF(W$5=$H$14,DelivFactor,IF(AND(W$5&gt;$H$14,W$5&lt;$H$14+$F$14),1,IF(W$5=$H$14+$F$14,1-DelivFactor,0)))</f>
        <v>96.6272222222222</v>
      </c>
      <c r="X45" s="120" t="n">
        <f aca="false">(1-$I$14)*(1-$J$14)*$D$14*$E$14/4*MIN(1,MAX(0,(X$5-$H$14+1)/$T$14))*IF(X$5=$H$14,DelivFactor,IF(AND(X$5&gt;$H$14,X$5&lt;$H$14+$F$14),1,IF(X$5=$H$14+$F$14,1-DelivFactor,0)))</f>
        <v>96.6272222222222</v>
      </c>
      <c r="Y45" s="120" t="n">
        <f aca="false">(1-$I$14)*(1-$J$14)*$D$14*$E$14/4*MIN(1,MAX(0,(Y$5-$H$14+1)/$T$14))*IF(Y$5=$H$14,DelivFactor,IF(AND(Y$5&gt;$H$14,Y$5&lt;$H$14+$F$14),1,IF(Y$5=$H$14+$F$14,1-DelivFactor,0)))</f>
        <v>96.6272222222222</v>
      </c>
      <c r="Z45" s="120" t="n">
        <f aca="false">(1-$I$14)*(1-$J$14)*$D$14*$E$14/4*MIN(1,MAX(0,(Z$5-$H$14+1)/$T$14))*IF(Z$5=$H$14,DelivFactor,IF(AND(Z$5&gt;$H$14,Z$5&lt;$H$14+$F$14),1,IF(Z$5=$H$14+$F$14,1-DelivFactor,0)))</f>
        <v>96.6272222222222</v>
      </c>
      <c r="AA45" s="120" t="n">
        <f aca="false">(1-$I$14)*(1-$J$14)*$D$14*$E$14/4*MIN(1,MAX(0,(AA$5-$H$14+1)/$T$14))*IF(AA$5=$H$14,DelivFactor,IF(AND(AA$5&gt;$H$14,AA$5&lt;$H$14+$F$14),1,IF(AA$5=$H$14+$F$14,1-DelivFactor,0)))</f>
        <v>96.6272222222222</v>
      </c>
      <c r="AB45" s="120" t="n">
        <f aca="false">(1-$I$14)*(1-$J$14)*$D$14*$E$14/4*MIN(1,MAX(0,(AB$5-$H$14+1)/$T$14))*IF(AB$5=$H$14,DelivFactor,IF(AND(AB$5&gt;$H$14,AB$5&lt;$H$14+$F$14),1,IF(AB$5=$H$14+$F$14,1-DelivFactor,0)))</f>
        <v>96.6272222222222</v>
      </c>
      <c r="AC45" s="120" t="n">
        <f aca="false">(1-$I$14)*(1-$J$14)*$D$14*$E$14/4*MIN(1,MAX(0,(AC$5-$H$14+1)/$T$14))*IF(AC$5=$H$14,DelivFactor,IF(AND(AC$5&gt;$H$14,AC$5&lt;$H$14+$F$14),1,IF(AC$5=$H$14+$F$14,1-DelivFactor,0)))</f>
        <v>96.6272222222222</v>
      </c>
      <c r="AD45" s="120" t="n">
        <f aca="false">(1-$I$14)*(1-$J$14)*$D$14*$E$14/4*MIN(1,MAX(0,(AD$5-$H$14+1)/$T$14))*IF(AD$5=$H$14,DelivFactor,IF(AND(AD$5&gt;$H$14,AD$5&lt;$H$14+$F$14),1,IF(AD$5=$H$14+$F$14,1-DelivFactor,0)))</f>
        <v>96.6272222222222</v>
      </c>
      <c r="AE45" s="120" t="n">
        <f aca="false">(1-$I$14)*(1-$J$14)*$D$14*$E$14/4*MIN(1,MAX(0,(AE$5-$H$14+1)/$T$14))*IF(AE$5=$H$14,DelivFactor,IF(AND(AE$5&gt;$H$14,AE$5&lt;$H$14+$F$14),1,IF(AE$5=$H$14+$F$14,1-DelivFactor,0)))</f>
        <v>96.6272222222222</v>
      </c>
      <c r="AF45" s="120" t="n">
        <f aca="false">(1-$I$14)*(1-$J$14)*$D$14*$E$14/4*MIN(1,MAX(0,(AF$5-$H$14+1)/$T$14))*IF(AF$5=$H$14,DelivFactor,IF(AND(AF$5&gt;$H$14,AF$5&lt;$H$14+$F$14),1,IF(AF$5=$H$14+$F$14,1-DelivFactor,0)))</f>
        <v>96.6272222222222</v>
      </c>
      <c r="AG45" s="120" t="n">
        <f aca="false">(1-$I$14)*(1-$J$14)*$D$14*$E$14/4*MIN(1,MAX(0,(AG$5-$H$14+1)/$T$14))*IF(AG$5=$H$14,DelivFactor,IF(AND(AG$5&gt;$H$14,AG$5&lt;$H$14+$F$14),1,IF(AG$5=$H$14+$F$14,1-DelivFactor,0)))</f>
        <v>96.6272222222222</v>
      </c>
      <c r="AI45" s="120" t="n">
        <f aca="false">SUMIF($F$7:$AG$7,AI$7,$F45:$AG45)</f>
        <v>0</v>
      </c>
      <c r="AJ45" s="120" t="n">
        <f aca="false">SUMIF($F$7:$AG$7,AJ$7,$F45:$AG45)</f>
        <v>0</v>
      </c>
      <c r="AK45" s="120" t="n">
        <f aca="false">SUMIF($F$7:$AG$7,AK$7,$F45:$AG45)</f>
        <v>60.3920138888889</v>
      </c>
      <c r="AL45" s="120" t="n">
        <f aca="false">SUMIF($F$7:$AG$7,AL$7,$F45:$AG45)</f>
        <v>362.352083333333</v>
      </c>
      <c r="AM45" s="120" t="n">
        <f aca="false">SUMIF($F$7:$AG$7,AM$7,$F45:$AG45)</f>
        <v>386.508888888889</v>
      </c>
      <c r="AN45" s="120" t="n">
        <f aca="false">SUMIF($F$7:$AG$7,AN$7,$F45:$AG45)</f>
        <v>386.508888888889</v>
      </c>
      <c r="AO45" s="120" t="n">
        <f aca="false">SUMIF($F$7:$AG$7,AO$7,$F45:$AG45)</f>
        <v>386.508888888889</v>
      </c>
    </row>
    <row r="46" customFormat="false" ht="15" hidden="false" customHeight="false" outlineLevel="0" collapsed="false">
      <c r="A46" s="101" t="s">
        <v>1377</v>
      </c>
      <c r="B46" s="18" t="s">
        <v>415</v>
      </c>
      <c r="C46" s="18"/>
      <c r="D46" s="18"/>
      <c r="F46" s="110" t="n">
        <f aca="false">(1-$I$14)*(1-$J$14)*$D$14*AND(F$5&gt;=$H$14,F$5&lt;$H$14+$F$14)</f>
        <v>0</v>
      </c>
      <c r="G46" s="110" t="n">
        <f aca="false">(1-$I$14)*(1-$J$14)*$D$14*AND(G$5&gt;=$H$14,G$5&lt;$H$14+$F$14)</f>
        <v>0</v>
      </c>
      <c r="H46" s="110" t="n">
        <f aca="false">(1-$I$14)*(1-$J$14)*$D$14*AND(H$5&gt;=$H$14,H$5&lt;$H$14+$F$14)</f>
        <v>0</v>
      </c>
      <c r="I46" s="110" t="n">
        <f aca="false">(1-$I$14)*(1-$J$14)*$D$14*AND(I$5&gt;=$H$14,I$5&lt;$H$14+$F$14)</f>
        <v>0</v>
      </c>
      <c r="J46" s="110" t="n">
        <f aca="false">(1-$I$14)*(1-$J$14)*$D$14*AND(J$5&gt;=$H$14,J$5&lt;$H$14+$F$14)</f>
        <v>0</v>
      </c>
      <c r="K46" s="110" t="n">
        <f aca="false">(1-$I$14)*(1-$J$14)*$D$14*AND(K$5&gt;=$H$14,K$5&lt;$H$14+$F$14)</f>
        <v>0</v>
      </c>
      <c r="L46" s="110" t="n">
        <f aca="false">(1-$I$14)*(1-$J$14)*$D$14*AND(L$5&gt;=$H$14,L$5&lt;$H$14+$F$14)</f>
        <v>0</v>
      </c>
      <c r="M46" s="110" t="n">
        <f aca="false">(1-$I$14)*(1-$J$14)*$D$14*AND(M$5&gt;=$H$14,M$5&lt;$H$14+$F$14)</f>
        <v>0</v>
      </c>
      <c r="N46" s="110" t="n">
        <f aca="false">(1-$I$14)*(1-$J$14)*$D$14*AND(N$5&gt;=$H$14,N$5&lt;$H$14+$F$14)</f>
        <v>0</v>
      </c>
      <c r="O46" s="110" t="n">
        <f aca="false">(1-$I$14)*(1-$J$14)*$D$14*AND(O$5&gt;=$H$14,O$5&lt;$H$14+$F$14)</f>
        <v>0</v>
      </c>
      <c r="P46" s="21" t="n">
        <f aca="false">(1-$I$14)*(1-$J$14)*$D$14*AND(P$5&gt;=$H$14,P$5&lt;$H$14+$F$14)</f>
        <v>26.6666666666667</v>
      </c>
      <c r="Q46" s="21" t="n">
        <f aca="false">(1-$I$14)*(1-$J$14)*$D$14*AND(Q$5&gt;=$H$14,Q$5&lt;$H$14+$F$14)</f>
        <v>26.6666666666667</v>
      </c>
      <c r="R46" s="21" t="n">
        <f aca="false">(1-$I$14)*(1-$J$14)*$D$14*AND(R$5&gt;=$H$14,R$5&lt;$H$14+$F$14)</f>
        <v>26.6666666666667</v>
      </c>
      <c r="S46" s="21" t="n">
        <f aca="false">(1-$I$14)*(1-$J$14)*$D$14*AND(S$5&gt;=$H$14,S$5&lt;$H$14+$F$14)</f>
        <v>26.6666666666667</v>
      </c>
      <c r="T46" s="21" t="n">
        <f aca="false">(1-$I$14)*(1-$J$14)*$D$14*AND(T$5&gt;=$H$14,T$5&lt;$H$14+$F$14)</f>
        <v>26.6666666666667</v>
      </c>
      <c r="U46" s="21" t="n">
        <f aca="false">(1-$I$14)*(1-$J$14)*$D$14*AND(U$5&gt;=$H$14,U$5&lt;$H$14+$F$14)</f>
        <v>26.6666666666667</v>
      </c>
      <c r="V46" s="21" t="n">
        <f aca="false">(1-$I$14)*(1-$J$14)*$D$14*AND(V$5&gt;=$H$14,V$5&lt;$H$14+$F$14)</f>
        <v>26.6666666666667</v>
      </c>
      <c r="W46" s="21" t="n">
        <f aca="false">(1-$I$14)*(1-$J$14)*$D$14*AND(W$5&gt;=$H$14,W$5&lt;$H$14+$F$14)</f>
        <v>26.6666666666667</v>
      </c>
      <c r="X46" s="21" t="n">
        <f aca="false">(1-$I$14)*(1-$J$14)*$D$14*AND(X$5&gt;=$H$14,X$5&lt;$H$14+$F$14)</f>
        <v>26.6666666666667</v>
      </c>
      <c r="Y46" s="21" t="n">
        <f aca="false">(1-$I$14)*(1-$J$14)*$D$14*AND(Y$5&gt;=$H$14,Y$5&lt;$H$14+$F$14)</f>
        <v>26.6666666666667</v>
      </c>
      <c r="Z46" s="21" t="n">
        <f aca="false">(1-$I$14)*(1-$J$14)*$D$14*AND(Z$5&gt;=$H$14,Z$5&lt;$H$14+$F$14)</f>
        <v>26.6666666666667</v>
      </c>
      <c r="AA46" s="21" t="n">
        <f aca="false">(1-$I$14)*(1-$J$14)*$D$14*AND(AA$5&gt;=$H$14,AA$5&lt;$H$14+$F$14)</f>
        <v>26.6666666666667</v>
      </c>
      <c r="AB46" s="21" t="n">
        <f aca="false">(1-$I$14)*(1-$J$14)*$D$14*AND(AB$5&gt;=$H$14,AB$5&lt;$H$14+$F$14)</f>
        <v>26.6666666666667</v>
      </c>
      <c r="AC46" s="21" t="n">
        <f aca="false">(1-$I$14)*(1-$J$14)*$D$14*AND(AC$5&gt;=$H$14,AC$5&lt;$H$14+$F$14)</f>
        <v>26.6666666666667</v>
      </c>
      <c r="AD46" s="21" t="n">
        <f aca="false">(1-$I$14)*(1-$J$14)*$D$14*AND(AD$5&gt;=$H$14,AD$5&lt;$H$14+$F$14)</f>
        <v>26.6666666666667</v>
      </c>
      <c r="AE46" s="21" t="n">
        <f aca="false">(1-$I$14)*(1-$J$14)*$D$14*AND(AE$5&gt;=$H$14,AE$5&lt;$H$14+$F$14)</f>
        <v>26.6666666666667</v>
      </c>
      <c r="AF46" s="21" t="n">
        <f aca="false">(1-$I$14)*(1-$J$14)*$D$14*AND(AF$5&gt;=$H$14,AF$5&lt;$H$14+$F$14)</f>
        <v>26.6666666666667</v>
      </c>
      <c r="AG46" s="21" t="n">
        <f aca="false">(1-$I$14)*(1-$J$14)*$D$14*AND(AG$5&gt;=$H$14,AG$5&lt;$H$14+$F$14)</f>
        <v>26.6666666666667</v>
      </c>
      <c r="AI46" s="21" t="n">
        <f aca="false">INDEX($F46:$AG46,1,MATCH(AI$7,$F$7:$AG$7,1))</f>
        <v>0</v>
      </c>
      <c r="AJ46" s="21" t="n">
        <f aca="false">INDEX($F46:$AG46,1,MATCH(AJ$7,$F$7:$AG$7,1))</f>
        <v>0</v>
      </c>
      <c r="AK46" s="21" t="n">
        <f aca="false">INDEX($F46:$AG46,1,MATCH(AK$7,$F$7:$AG$7,1))</f>
        <v>26.6666666666667</v>
      </c>
      <c r="AL46" s="21" t="n">
        <f aca="false">INDEX($F46:$AG46,1,MATCH(AL$7,$F$7:$AG$7,1))</f>
        <v>26.6666666666667</v>
      </c>
      <c r="AM46" s="21" t="n">
        <f aca="false">INDEX($F46:$AG46,1,MATCH(AM$7,$F$7:$AG$7,1))</f>
        <v>26.6666666666667</v>
      </c>
      <c r="AN46" s="21" t="n">
        <f aca="false">INDEX($F46:$AG46,1,MATCH(AN$7,$F$7:$AG$7,1))</f>
        <v>26.6666666666667</v>
      </c>
      <c r="AO46" s="21" t="n">
        <f aca="false">INDEX($F46:$AG46,1,MATCH(AO$7,$F$7:$AG$7,1))</f>
        <v>26.6666666666667</v>
      </c>
    </row>
    <row r="47" customFormat="false" ht="15" hidden="false" customHeight="false" outlineLevel="0" collapsed="false">
      <c r="A47" s="101" t="s">
        <v>1378</v>
      </c>
      <c r="B47" s="18" t="s">
        <v>400</v>
      </c>
      <c r="C47" s="18"/>
      <c r="D47" s="18"/>
      <c r="F47" s="119" t="n">
        <f aca="false">-(1-$I$14)*LD_Pct*$D$14*$E$14/4*AND(F$5&gt;=$G$14,F$5&lt;$H$14)</f>
        <v>-0</v>
      </c>
      <c r="G47" s="119" t="n">
        <f aca="false">-(1-$I$14)*LD_Pct*$D$14*$E$14/4*AND(G$5&gt;=$G$14,G$5&lt;$H$14)</f>
        <v>-0</v>
      </c>
      <c r="H47" s="119" t="n">
        <f aca="false">-(1-$I$14)*LD_Pct*$D$14*$E$14/4*AND(H$5&gt;=$G$14,H$5&lt;$H$14)</f>
        <v>-0</v>
      </c>
      <c r="I47" s="119" t="n">
        <f aca="false">-(1-$I$14)*LD_Pct*$D$14*$E$14/4*AND(I$5&gt;=$G$14,I$5&lt;$H$14)</f>
        <v>-0</v>
      </c>
      <c r="J47" s="119" t="n">
        <f aca="false">-(1-$I$14)*LD_Pct*$D$14*$E$14/4*AND(J$5&gt;=$G$14,J$5&lt;$H$14)</f>
        <v>-0</v>
      </c>
      <c r="K47" s="119" t="n">
        <f aca="false">-(1-$I$14)*LD_Pct*$D$14*$E$14/4*AND(K$5&gt;=$G$14,K$5&lt;$H$14)</f>
        <v>-0</v>
      </c>
      <c r="L47" s="119" t="n">
        <f aca="false">-(1-$I$14)*LD_Pct*$D$14*$E$14/4*AND(L$5&gt;=$G$14,L$5&lt;$H$14)</f>
        <v>-0</v>
      </c>
      <c r="M47" s="119" t="n">
        <f aca="false">-(1-$I$14)*LD_Pct*$D$14*$E$14/4*AND(M$5&gt;=$G$14,M$5&lt;$H$14)</f>
        <v>-0</v>
      </c>
      <c r="N47" s="119" t="n">
        <f aca="false">-(1-$I$14)*LD_Pct*$D$14*$E$14/4*AND(N$5&gt;=$G$14,N$5&lt;$H$14)</f>
        <v>-0</v>
      </c>
      <c r="O47" s="119" t="n">
        <f aca="false">-(1-$I$14)*LD_Pct*$D$14*$E$14/4*AND(O$5&gt;=$G$14,O$5&lt;$H$14)</f>
        <v>-0</v>
      </c>
      <c r="P47" s="120" t="n">
        <f aca="false">-(1-$I$14)*LD_Pct*$D$14*$E$14/4*AND(P$5&gt;=$G$14,P$5&lt;$H$14)</f>
        <v>-0</v>
      </c>
      <c r="Q47" s="120" t="n">
        <f aca="false">-(1-$I$14)*LD_Pct*$D$14*$E$14/4*AND(Q$5&gt;=$G$14,Q$5&lt;$H$14)</f>
        <v>-0</v>
      </c>
      <c r="R47" s="120" t="n">
        <f aca="false">-(1-$I$14)*LD_Pct*$D$14*$E$14/4*AND(R$5&gt;=$G$14,R$5&lt;$H$14)</f>
        <v>-0</v>
      </c>
      <c r="S47" s="120" t="n">
        <f aca="false">-(1-$I$14)*LD_Pct*$D$14*$E$14/4*AND(S$5&gt;=$G$14,S$5&lt;$H$14)</f>
        <v>-0</v>
      </c>
      <c r="T47" s="120" t="n">
        <f aca="false">-(1-$I$14)*LD_Pct*$D$14*$E$14/4*AND(T$5&gt;=$G$14,T$5&lt;$H$14)</f>
        <v>-0</v>
      </c>
      <c r="U47" s="120" t="n">
        <f aca="false">-(1-$I$14)*LD_Pct*$D$14*$E$14/4*AND(U$5&gt;=$G$14,U$5&lt;$H$14)</f>
        <v>-0</v>
      </c>
      <c r="V47" s="120" t="n">
        <f aca="false">-(1-$I$14)*LD_Pct*$D$14*$E$14/4*AND(V$5&gt;=$G$14,V$5&lt;$H$14)</f>
        <v>-0</v>
      </c>
      <c r="W47" s="120" t="n">
        <f aca="false">-(1-$I$14)*LD_Pct*$D$14*$E$14/4*AND(W$5&gt;=$G$14,W$5&lt;$H$14)</f>
        <v>-0</v>
      </c>
      <c r="X47" s="120" t="n">
        <f aca="false">-(1-$I$14)*LD_Pct*$D$14*$E$14/4*AND(X$5&gt;=$G$14,X$5&lt;$H$14)</f>
        <v>-0</v>
      </c>
      <c r="Y47" s="120" t="n">
        <f aca="false">-(1-$I$14)*LD_Pct*$D$14*$E$14/4*AND(Y$5&gt;=$G$14,Y$5&lt;$H$14)</f>
        <v>-0</v>
      </c>
      <c r="Z47" s="120" t="n">
        <f aca="false">-(1-$I$14)*LD_Pct*$D$14*$E$14/4*AND(Z$5&gt;=$G$14,Z$5&lt;$H$14)</f>
        <v>-0</v>
      </c>
      <c r="AA47" s="120" t="n">
        <f aca="false">-(1-$I$14)*LD_Pct*$D$14*$E$14/4*AND(AA$5&gt;=$G$14,AA$5&lt;$H$14)</f>
        <v>-0</v>
      </c>
      <c r="AB47" s="120" t="n">
        <f aca="false">-(1-$I$14)*LD_Pct*$D$14*$E$14/4*AND(AB$5&gt;=$G$14,AB$5&lt;$H$14)</f>
        <v>-0</v>
      </c>
      <c r="AC47" s="120" t="n">
        <f aca="false">-(1-$I$14)*LD_Pct*$D$14*$E$14/4*AND(AC$5&gt;=$G$14,AC$5&lt;$H$14)</f>
        <v>-0</v>
      </c>
      <c r="AD47" s="120" t="n">
        <f aca="false">-(1-$I$14)*LD_Pct*$D$14*$E$14/4*AND(AD$5&gt;=$G$14,AD$5&lt;$H$14)</f>
        <v>-0</v>
      </c>
      <c r="AE47" s="120" t="n">
        <f aca="false">-(1-$I$14)*LD_Pct*$D$14*$E$14/4*AND(AE$5&gt;=$G$14,AE$5&lt;$H$14)</f>
        <v>-0</v>
      </c>
      <c r="AF47" s="120" t="n">
        <f aca="false">-(1-$I$14)*LD_Pct*$D$14*$E$14/4*AND(AF$5&gt;=$G$14,AF$5&lt;$H$14)</f>
        <v>-0</v>
      </c>
      <c r="AG47" s="120" t="n">
        <f aca="false">-(1-$I$14)*LD_Pct*$D$14*$E$14/4*AND(AG$5&gt;=$G$14,AG$5&lt;$H$14)</f>
        <v>-0</v>
      </c>
      <c r="AI47" s="120" t="n">
        <f aca="false">SUMIF($F$7:$AG$7,AI$7,$F47:$AG47)</f>
        <v>0</v>
      </c>
      <c r="AJ47" s="120" t="n">
        <f aca="false">SUMIF($F$7:$AG$7,AJ$7,$F47:$AG47)</f>
        <v>0</v>
      </c>
      <c r="AK47" s="120" t="n">
        <f aca="false">SUMIF($F$7:$AG$7,AK$7,$F47:$AG47)</f>
        <v>0</v>
      </c>
      <c r="AL47" s="120" t="n">
        <f aca="false">SUMIF($F$7:$AG$7,AL$7,$F47:$AG47)</f>
        <v>0</v>
      </c>
      <c r="AM47" s="120" t="n">
        <f aca="false">SUMIF($F$7:$AG$7,AM$7,$F47:$AG47)</f>
        <v>0</v>
      </c>
      <c r="AN47" s="120" t="n">
        <f aca="false">SUMIF($F$7:$AG$7,AN$7,$F47:$AG47)</f>
        <v>0</v>
      </c>
      <c r="AO47" s="120" t="n">
        <f aca="false">SUMIF($F$7:$AG$7,AO$7,$F47:$AG47)</f>
        <v>0</v>
      </c>
    </row>
    <row r="48" customFormat="false" ht="15" hidden="false" customHeight="false" outlineLevel="0" collapsed="false">
      <c r="A48" s="101" t="s">
        <v>1379</v>
      </c>
      <c r="B48" s="18" t="s">
        <v>415</v>
      </c>
      <c r="C48" s="18"/>
      <c r="D48" s="18"/>
      <c r="F48" s="110" t="n">
        <f aca="false">(1-$I$14)*(1-$J$14)*$D$14*(F$5&gt;=$H$14+$F$14)</f>
        <v>0</v>
      </c>
      <c r="G48" s="110" t="n">
        <f aca="false">(1-$I$14)*(1-$J$14)*$D$14*(G$5&gt;=$H$14+$F$14)</f>
        <v>0</v>
      </c>
      <c r="H48" s="110" t="n">
        <f aca="false">(1-$I$14)*(1-$J$14)*$D$14*(H$5&gt;=$H$14+$F$14)</f>
        <v>0</v>
      </c>
      <c r="I48" s="110" t="n">
        <f aca="false">(1-$I$14)*(1-$J$14)*$D$14*(I$5&gt;=$H$14+$F$14)</f>
        <v>0</v>
      </c>
      <c r="J48" s="110" t="n">
        <f aca="false">(1-$I$14)*(1-$J$14)*$D$14*(J$5&gt;=$H$14+$F$14)</f>
        <v>0</v>
      </c>
      <c r="K48" s="110" t="n">
        <f aca="false">(1-$I$14)*(1-$J$14)*$D$14*(K$5&gt;=$H$14+$F$14)</f>
        <v>0</v>
      </c>
      <c r="L48" s="110" t="n">
        <f aca="false">(1-$I$14)*(1-$J$14)*$D$14*(L$5&gt;=$H$14+$F$14)</f>
        <v>0</v>
      </c>
      <c r="M48" s="110" t="n">
        <f aca="false">(1-$I$14)*(1-$J$14)*$D$14*(M$5&gt;=$H$14+$F$14)</f>
        <v>0</v>
      </c>
      <c r="N48" s="110" t="n">
        <f aca="false">(1-$I$14)*(1-$J$14)*$D$14*(N$5&gt;=$H$14+$F$14)</f>
        <v>0</v>
      </c>
      <c r="O48" s="110" t="n">
        <f aca="false">(1-$I$14)*(1-$J$14)*$D$14*(O$5&gt;=$H$14+$F$14)</f>
        <v>0</v>
      </c>
      <c r="P48" s="21" t="n">
        <f aca="false">(1-$I$14)*(1-$J$14)*$D$14*(P$5&gt;=$H$14+$F$14)</f>
        <v>0</v>
      </c>
      <c r="Q48" s="21" t="n">
        <f aca="false">(1-$I$14)*(1-$J$14)*$D$14*(Q$5&gt;=$H$14+$F$14)</f>
        <v>0</v>
      </c>
      <c r="R48" s="21" t="n">
        <f aca="false">(1-$I$14)*(1-$J$14)*$D$14*(R$5&gt;=$H$14+$F$14)</f>
        <v>0</v>
      </c>
      <c r="S48" s="21" t="n">
        <f aca="false">(1-$I$14)*(1-$J$14)*$D$14*(S$5&gt;=$H$14+$F$14)</f>
        <v>0</v>
      </c>
      <c r="T48" s="21" t="n">
        <f aca="false">(1-$I$14)*(1-$J$14)*$D$14*(T$5&gt;=$H$14+$F$14)</f>
        <v>0</v>
      </c>
      <c r="U48" s="21" t="n">
        <f aca="false">(1-$I$14)*(1-$J$14)*$D$14*(U$5&gt;=$H$14+$F$14)</f>
        <v>0</v>
      </c>
      <c r="V48" s="21" t="n">
        <f aca="false">(1-$I$14)*(1-$J$14)*$D$14*(V$5&gt;=$H$14+$F$14)</f>
        <v>0</v>
      </c>
      <c r="W48" s="21" t="n">
        <f aca="false">(1-$I$14)*(1-$J$14)*$D$14*(W$5&gt;=$H$14+$F$14)</f>
        <v>0</v>
      </c>
      <c r="X48" s="21" t="n">
        <f aca="false">(1-$I$14)*(1-$J$14)*$D$14*(X$5&gt;=$H$14+$F$14)</f>
        <v>0</v>
      </c>
      <c r="Y48" s="21" t="n">
        <f aca="false">(1-$I$14)*(1-$J$14)*$D$14*(Y$5&gt;=$H$14+$F$14)</f>
        <v>0</v>
      </c>
      <c r="Z48" s="21" t="n">
        <f aca="false">(1-$I$14)*(1-$J$14)*$D$14*(Z$5&gt;=$H$14+$F$14)</f>
        <v>0</v>
      </c>
      <c r="AA48" s="21" t="n">
        <f aca="false">(1-$I$14)*(1-$J$14)*$D$14*(AA$5&gt;=$H$14+$F$14)</f>
        <v>0</v>
      </c>
      <c r="AB48" s="21" t="n">
        <f aca="false">(1-$I$14)*(1-$J$14)*$D$14*(AB$5&gt;=$H$14+$F$14)</f>
        <v>0</v>
      </c>
      <c r="AC48" s="21" t="n">
        <f aca="false">(1-$I$14)*(1-$J$14)*$D$14*(AC$5&gt;=$H$14+$F$14)</f>
        <v>0</v>
      </c>
      <c r="AD48" s="21" t="n">
        <f aca="false">(1-$I$14)*(1-$J$14)*$D$14*(AD$5&gt;=$H$14+$F$14)</f>
        <v>0</v>
      </c>
      <c r="AE48" s="21" t="n">
        <f aca="false">(1-$I$14)*(1-$J$14)*$D$14*(AE$5&gt;=$H$14+$F$14)</f>
        <v>0</v>
      </c>
      <c r="AF48" s="21" t="n">
        <f aca="false">(1-$I$14)*(1-$J$14)*$D$14*(AF$5&gt;=$H$14+$F$14)</f>
        <v>0</v>
      </c>
      <c r="AG48" s="21" t="n">
        <f aca="false">(1-$I$14)*(1-$J$14)*$D$14*(AG$5&gt;=$H$14+$F$14)</f>
        <v>0</v>
      </c>
      <c r="AI48" s="21" t="n">
        <f aca="false">INDEX($F48:$AG48,1,MATCH(AI$7,$F$7:$AG$7,1))</f>
        <v>0</v>
      </c>
      <c r="AJ48" s="21" t="n">
        <f aca="false">INDEX($F48:$AG48,1,MATCH(AJ$7,$F$7:$AG$7,1))</f>
        <v>0</v>
      </c>
      <c r="AK48" s="21" t="n">
        <f aca="false">INDEX($F48:$AG48,1,MATCH(AK$7,$F$7:$AG$7,1))</f>
        <v>0</v>
      </c>
      <c r="AL48" s="21" t="n">
        <f aca="false">INDEX($F48:$AG48,1,MATCH(AL$7,$F$7:$AG$7,1))</f>
        <v>0</v>
      </c>
      <c r="AM48" s="21" t="n">
        <f aca="false">INDEX($F48:$AG48,1,MATCH(AM$7,$F$7:$AG$7,1))</f>
        <v>0</v>
      </c>
      <c r="AN48" s="21" t="n">
        <f aca="false">INDEX($F48:$AG48,1,MATCH(AN$7,$F$7:$AG$7,1))</f>
        <v>0</v>
      </c>
      <c r="AO48" s="21" t="n">
        <f aca="false">INDEX($F48:$AG48,1,MATCH(AO$7,$F$7:$AG$7,1))</f>
        <v>0</v>
      </c>
    </row>
    <row r="49" customFormat="false" ht="15" hidden="false" customHeight="false" outlineLevel="0" collapsed="false">
      <c r="A49" s="101" t="s">
        <v>1380</v>
      </c>
      <c r="B49" s="18" t="s">
        <v>400</v>
      </c>
      <c r="C49" s="18"/>
      <c r="D49" s="18" t="s">
        <v>1370</v>
      </c>
      <c r="F49" s="119" t="n">
        <f aca="false">F48*CHOOSE(MATCH($C$14,{"H";"B";"N"},0),GPUMW_H*ODc_H,GPUMW_B*ODc_B,GPUMW_N*ODc_N)*ResidUtil*Timeline!F$9*INDEX(Curve,1,MAX(1,MIN(8,INT((F$5-$H$14)/4)+1)))/1000000</f>
        <v>0</v>
      </c>
      <c r="G49" s="119" t="n">
        <f aca="false">G48*CHOOSE(MATCH($C$14,{"H";"B";"N"},0),GPUMW_H*ODc_H,GPUMW_B*ODc_B,GPUMW_N*ODc_N)*ResidUtil*Timeline!G$9*INDEX(Curve,1,MAX(1,MIN(8,INT((G$5-$H$14)/4)+1)))/1000000</f>
        <v>0</v>
      </c>
      <c r="H49" s="119" t="n">
        <f aca="false">H48*CHOOSE(MATCH($C$14,{"H";"B";"N"},0),GPUMW_H*ODc_H,GPUMW_B*ODc_B,GPUMW_N*ODc_N)*ResidUtil*Timeline!H$9*INDEX(Curve,1,MAX(1,MIN(8,INT((H$5-$H$14)/4)+1)))/1000000</f>
        <v>0</v>
      </c>
      <c r="I49" s="119" t="n">
        <f aca="false">I48*CHOOSE(MATCH($C$14,{"H";"B";"N"},0),GPUMW_H*ODc_H,GPUMW_B*ODc_B,GPUMW_N*ODc_N)*ResidUtil*Timeline!I$9*INDEX(Curve,1,MAX(1,MIN(8,INT((I$5-$H$14)/4)+1)))/1000000</f>
        <v>0</v>
      </c>
      <c r="J49" s="119" t="n">
        <f aca="false">J48*CHOOSE(MATCH($C$14,{"H";"B";"N"},0),GPUMW_H*ODc_H,GPUMW_B*ODc_B,GPUMW_N*ODc_N)*ResidUtil*Timeline!J$9*INDEX(Curve,1,MAX(1,MIN(8,INT((J$5-$H$14)/4)+1)))/1000000</f>
        <v>0</v>
      </c>
      <c r="K49" s="119" t="n">
        <f aca="false">K48*CHOOSE(MATCH($C$14,{"H";"B";"N"},0),GPUMW_H*ODc_H,GPUMW_B*ODc_B,GPUMW_N*ODc_N)*ResidUtil*Timeline!K$9*INDEX(Curve,1,MAX(1,MIN(8,INT((K$5-$H$14)/4)+1)))/1000000</f>
        <v>0</v>
      </c>
      <c r="L49" s="119" t="n">
        <f aca="false">L48*CHOOSE(MATCH($C$14,{"H";"B";"N"},0),GPUMW_H*ODc_H,GPUMW_B*ODc_B,GPUMW_N*ODc_N)*ResidUtil*Timeline!L$9*INDEX(Curve,1,MAX(1,MIN(8,INT((L$5-$H$14)/4)+1)))/1000000</f>
        <v>0</v>
      </c>
      <c r="M49" s="119" t="n">
        <f aca="false">M48*CHOOSE(MATCH($C$14,{"H";"B";"N"},0),GPUMW_H*ODc_H,GPUMW_B*ODc_B,GPUMW_N*ODc_N)*ResidUtil*Timeline!M$9*INDEX(Curve,1,MAX(1,MIN(8,INT((M$5-$H$14)/4)+1)))/1000000</f>
        <v>0</v>
      </c>
      <c r="N49" s="119" t="n">
        <f aca="false">N48*CHOOSE(MATCH($C$14,{"H";"B";"N"},0),GPUMW_H*ODc_H,GPUMW_B*ODc_B,GPUMW_N*ODc_N)*ResidUtil*Timeline!N$9*INDEX(Curve,1,MAX(1,MIN(8,INT((N$5-$H$14)/4)+1)))/1000000</f>
        <v>0</v>
      </c>
      <c r="O49" s="119" t="n">
        <f aca="false">O48*CHOOSE(MATCH($C$14,{"H";"B";"N"},0),GPUMW_H*ODc_H,GPUMW_B*ODc_B,GPUMW_N*ODc_N)*ResidUtil*Timeline!O$9*INDEX(Curve,1,MAX(1,MIN(8,INT((O$5-$H$14)/4)+1)))/1000000</f>
        <v>0</v>
      </c>
      <c r="P49" s="120" t="n">
        <f aca="false">P48*CHOOSE(MATCH($C$14,{"H";"B";"N"},0),GPUMW_H*ODc_H,GPUMW_B*ODc_B,GPUMW_N*ODc_N)*ResidUtil*Timeline!P$9*INDEX(Curve,1,MAX(1,MIN(8,INT((P$5-$H$14)/4)+1)))/1000000</f>
        <v>0</v>
      </c>
      <c r="Q49" s="120" t="n">
        <f aca="false">Q48*CHOOSE(MATCH($C$14,{"H";"B";"N"},0),GPUMW_H*ODc_H,GPUMW_B*ODc_B,GPUMW_N*ODc_N)*ResidUtil*Timeline!Q$9*INDEX(Curve,1,MAX(1,MIN(8,INT((Q$5-$H$14)/4)+1)))/1000000</f>
        <v>0</v>
      </c>
      <c r="R49" s="120" t="n">
        <f aca="false">R48*CHOOSE(MATCH($C$14,{"H";"B";"N"},0),GPUMW_H*ODc_H,GPUMW_B*ODc_B,GPUMW_N*ODc_N)*ResidUtil*Timeline!R$9*INDEX(Curve,1,MAX(1,MIN(8,INT((R$5-$H$14)/4)+1)))/1000000</f>
        <v>0</v>
      </c>
      <c r="S49" s="120" t="n">
        <f aca="false">S48*CHOOSE(MATCH($C$14,{"H";"B";"N"},0),GPUMW_H*ODc_H,GPUMW_B*ODc_B,GPUMW_N*ODc_N)*ResidUtil*Timeline!S$9*INDEX(Curve,1,MAX(1,MIN(8,INT((S$5-$H$14)/4)+1)))/1000000</f>
        <v>0</v>
      </c>
      <c r="T49" s="120" t="n">
        <f aca="false">T48*CHOOSE(MATCH($C$14,{"H";"B";"N"},0),GPUMW_H*ODc_H,GPUMW_B*ODc_B,GPUMW_N*ODc_N)*ResidUtil*Timeline!T$9*INDEX(Curve,1,MAX(1,MIN(8,INT((T$5-$H$14)/4)+1)))/1000000</f>
        <v>0</v>
      </c>
      <c r="U49" s="120" t="n">
        <f aca="false">U48*CHOOSE(MATCH($C$14,{"H";"B";"N"},0),GPUMW_H*ODc_H,GPUMW_B*ODc_B,GPUMW_N*ODc_N)*ResidUtil*Timeline!U$9*INDEX(Curve,1,MAX(1,MIN(8,INT((U$5-$H$14)/4)+1)))/1000000</f>
        <v>0</v>
      </c>
      <c r="V49" s="120" t="n">
        <f aca="false">V48*CHOOSE(MATCH($C$14,{"H";"B";"N"},0),GPUMW_H*ODc_H,GPUMW_B*ODc_B,GPUMW_N*ODc_N)*ResidUtil*Timeline!V$9*INDEX(Curve,1,MAX(1,MIN(8,INT((V$5-$H$14)/4)+1)))/1000000</f>
        <v>0</v>
      </c>
      <c r="W49" s="120" t="n">
        <f aca="false">W48*CHOOSE(MATCH($C$14,{"H";"B";"N"},0),GPUMW_H*ODc_H,GPUMW_B*ODc_B,GPUMW_N*ODc_N)*ResidUtil*Timeline!W$9*INDEX(Curve,1,MAX(1,MIN(8,INT((W$5-$H$14)/4)+1)))/1000000</f>
        <v>0</v>
      </c>
      <c r="X49" s="120" t="n">
        <f aca="false">X48*CHOOSE(MATCH($C$14,{"H";"B";"N"},0),GPUMW_H*ODc_H,GPUMW_B*ODc_B,GPUMW_N*ODc_N)*ResidUtil*Timeline!X$9*INDEX(Curve,1,MAX(1,MIN(8,INT((X$5-$H$14)/4)+1)))/1000000</f>
        <v>0</v>
      </c>
      <c r="Y49" s="120" t="n">
        <f aca="false">Y48*CHOOSE(MATCH($C$14,{"H";"B";"N"},0),GPUMW_H*ODc_H,GPUMW_B*ODc_B,GPUMW_N*ODc_N)*ResidUtil*Timeline!Y$9*INDEX(Curve,1,MAX(1,MIN(8,INT((Y$5-$H$14)/4)+1)))/1000000</f>
        <v>0</v>
      </c>
      <c r="Z49" s="120" t="n">
        <f aca="false">Z48*CHOOSE(MATCH($C$14,{"H";"B";"N"},0),GPUMW_H*ODc_H,GPUMW_B*ODc_B,GPUMW_N*ODc_N)*ResidUtil*Timeline!Z$9*INDEX(Curve,1,MAX(1,MIN(8,INT((Z$5-$H$14)/4)+1)))/1000000</f>
        <v>0</v>
      </c>
      <c r="AA49" s="120" t="n">
        <f aca="false">AA48*CHOOSE(MATCH($C$14,{"H";"B";"N"},0),GPUMW_H*ODc_H,GPUMW_B*ODc_B,GPUMW_N*ODc_N)*ResidUtil*Timeline!AA$9*INDEX(Curve,1,MAX(1,MIN(8,INT((AA$5-$H$14)/4)+1)))/1000000</f>
        <v>0</v>
      </c>
      <c r="AB49" s="120" t="n">
        <f aca="false">AB48*CHOOSE(MATCH($C$14,{"H";"B";"N"},0),GPUMW_H*ODc_H,GPUMW_B*ODc_B,GPUMW_N*ODc_N)*ResidUtil*Timeline!AB$9*INDEX(Curve,1,MAX(1,MIN(8,INT((AB$5-$H$14)/4)+1)))/1000000</f>
        <v>0</v>
      </c>
      <c r="AC49" s="120" t="n">
        <f aca="false">AC48*CHOOSE(MATCH($C$14,{"H";"B";"N"},0),GPUMW_H*ODc_H,GPUMW_B*ODc_B,GPUMW_N*ODc_N)*ResidUtil*Timeline!AC$9*INDEX(Curve,1,MAX(1,MIN(8,INT((AC$5-$H$14)/4)+1)))/1000000</f>
        <v>0</v>
      </c>
      <c r="AD49" s="120" t="n">
        <f aca="false">AD48*CHOOSE(MATCH($C$14,{"H";"B";"N"},0),GPUMW_H*ODc_H,GPUMW_B*ODc_B,GPUMW_N*ODc_N)*ResidUtil*Timeline!AD$9*INDEX(Curve,1,MAX(1,MIN(8,INT((AD$5-$H$14)/4)+1)))/1000000</f>
        <v>0</v>
      </c>
      <c r="AE49" s="120" t="n">
        <f aca="false">AE48*CHOOSE(MATCH($C$14,{"H";"B";"N"},0),GPUMW_H*ODc_H,GPUMW_B*ODc_B,GPUMW_N*ODc_N)*ResidUtil*Timeline!AE$9*INDEX(Curve,1,MAX(1,MIN(8,INT((AE$5-$H$14)/4)+1)))/1000000</f>
        <v>0</v>
      </c>
      <c r="AF49" s="120" t="n">
        <f aca="false">AF48*CHOOSE(MATCH($C$14,{"H";"B";"N"},0),GPUMW_H*ODc_H,GPUMW_B*ODc_B,GPUMW_N*ODc_N)*ResidUtil*Timeline!AF$9*INDEX(Curve,1,MAX(1,MIN(8,INT((AF$5-$H$14)/4)+1)))/1000000</f>
        <v>0</v>
      </c>
      <c r="AG49" s="120" t="n">
        <f aca="false">AG48*CHOOSE(MATCH($C$14,{"H";"B";"N"},0),GPUMW_H*ODc_H,GPUMW_B*ODc_B,GPUMW_N*ODc_N)*ResidUtil*Timeline!AG$9*INDEX(Curve,1,MAX(1,MIN(8,INT((AG$5-$H$14)/4)+1)))/1000000</f>
        <v>0</v>
      </c>
      <c r="AI49" s="120" t="n">
        <f aca="false">SUMIF($F$7:$AG$7,AI$7,$F49:$AG49)</f>
        <v>0</v>
      </c>
      <c r="AJ49" s="120" t="n">
        <f aca="false">SUMIF($F$7:$AG$7,AJ$7,$F49:$AG49)</f>
        <v>0</v>
      </c>
      <c r="AK49" s="120" t="n">
        <f aca="false">SUMIF($F$7:$AG$7,AK$7,$F49:$AG49)</f>
        <v>0</v>
      </c>
      <c r="AL49" s="120" t="n">
        <f aca="false">SUMIF($F$7:$AG$7,AL$7,$F49:$AG49)</f>
        <v>0</v>
      </c>
      <c r="AM49" s="120" t="n">
        <f aca="false">SUMIF($F$7:$AG$7,AM$7,$F49:$AG49)</f>
        <v>0</v>
      </c>
      <c r="AN49" s="120" t="n">
        <f aca="false">SUMIF($F$7:$AG$7,AN$7,$F49:$AG49)</f>
        <v>0</v>
      </c>
      <c r="AO49" s="120" t="n">
        <f aca="false">SUMIF($F$7:$AG$7,AO$7,$F49:$AG49)</f>
        <v>0</v>
      </c>
    </row>
    <row r="50" customFormat="false" ht="15" hidden="false" customHeight="false" outlineLevel="0" collapsed="false">
      <c r="A50" s="101" t="s">
        <v>1381</v>
      </c>
      <c r="B50" s="18" t="s">
        <v>400</v>
      </c>
      <c r="C50" s="18"/>
      <c r="D50" s="18"/>
      <c r="F50" s="119" t="n">
        <f aca="false">(1-$I$15)*(1-$J$15)*$D$15*$E$15/4*MIN(1,MAX(0,(F$5-$H$15+1)/$T$15))*IF(F$5=$H$15,DelivFactor,IF(AND(F$5&gt;$H$15,F$5&lt;$H$15+$F$15),1,IF(F$5=$H$15+$F$15,1-DelivFactor,0)))</f>
        <v>0</v>
      </c>
      <c r="G50" s="119" t="n">
        <f aca="false">(1-$I$15)*(1-$J$15)*$D$15*$E$15/4*MIN(1,MAX(0,(G$5-$H$15+1)/$T$15))*IF(G$5=$H$15,DelivFactor,IF(AND(G$5&gt;$H$15,G$5&lt;$H$15+$F$15),1,IF(G$5=$H$15+$F$15,1-DelivFactor,0)))</f>
        <v>0</v>
      </c>
      <c r="H50" s="119" t="n">
        <f aca="false">(1-$I$15)*(1-$J$15)*$D$15*$E$15/4*MIN(1,MAX(0,(H$5-$H$15+1)/$T$15))*IF(H$5=$H$15,DelivFactor,IF(AND(H$5&gt;$H$15,H$5&lt;$H$15+$F$15),1,IF(H$5=$H$15+$F$15,1-DelivFactor,0)))</f>
        <v>0</v>
      </c>
      <c r="I50" s="119" t="n">
        <f aca="false">(1-$I$15)*(1-$J$15)*$D$15*$E$15/4*MIN(1,MAX(0,(I$5-$H$15+1)/$T$15))*IF(I$5=$H$15,DelivFactor,IF(AND(I$5&gt;$H$15,I$5&lt;$H$15+$F$15),1,IF(I$5=$H$15+$F$15,1-DelivFactor,0)))</f>
        <v>0</v>
      </c>
      <c r="J50" s="119" t="n">
        <f aca="false">(1-$I$15)*(1-$J$15)*$D$15*$E$15/4*MIN(1,MAX(0,(J$5-$H$15+1)/$T$15))*IF(J$5=$H$15,DelivFactor,IF(AND(J$5&gt;$H$15,J$5&lt;$H$15+$F$15),1,IF(J$5=$H$15+$F$15,1-DelivFactor,0)))</f>
        <v>0</v>
      </c>
      <c r="K50" s="119" t="n">
        <f aca="false">(1-$I$15)*(1-$J$15)*$D$15*$E$15/4*MIN(1,MAX(0,(K$5-$H$15+1)/$T$15))*IF(K$5=$H$15,DelivFactor,IF(AND(K$5&gt;$H$15,K$5&lt;$H$15+$F$15),1,IF(K$5=$H$15+$F$15,1-DelivFactor,0)))</f>
        <v>0</v>
      </c>
      <c r="L50" s="119" t="n">
        <f aca="false">(1-$I$15)*(1-$J$15)*$D$15*$E$15/4*MIN(1,MAX(0,(L$5-$H$15+1)/$T$15))*IF(L$5=$H$15,DelivFactor,IF(AND(L$5&gt;$H$15,L$5&lt;$H$15+$F$15),1,IF(L$5=$H$15+$F$15,1-DelivFactor,0)))</f>
        <v>0</v>
      </c>
      <c r="M50" s="119" t="n">
        <f aca="false">(1-$I$15)*(1-$J$15)*$D$15*$E$15/4*MIN(1,MAX(0,(M$5-$H$15+1)/$T$15))*IF(M$5=$H$15,DelivFactor,IF(AND(M$5&gt;$H$15,M$5&lt;$H$15+$F$15),1,IF(M$5=$H$15+$F$15,1-DelivFactor,0)))</f>
        <v>0</v>
      </c>
      <c r="N50" s="119" t="n">
        <f aca="false">(1-$I$15)*(1-$J$15)*$D$15*$E$15/4*MIN(1,MAX(0,(N$5-$H$15+1)/$T$15))*IF(N$5=$H$15,DelivFactor,IF(AND(N$5&gt;$H$15,N$5&lt;$H$15+$F$15),1,IF(N$5=$H$15+$F$15,1-DelivFactor,0)))</f>
        <v>0</v>
      </c>
      <c r="O50" s="119" t="n">
        <f aca="false">(1-$I$15)*(1-$J$15)*$D$15*$E$15/4*MIN(1,MAX(0,(O$5-$H$15+1)/$T$15))*IF(O$5=$H$15,DelivFactor,IF(AND(O$5&gt;$H$15,O$5&lt;$H$15+$F$15),1,IF(O$5=$H$15+$F$15,1-DelivFactor,0)))</f>
        <v>0</v>
      </c>
      <c r="P50" s="120" t="n">
        <f aca="false">(1-$I$15)*(1-$J$15)*$D$15*$E$15/4*MIN(1,MAX(0,(P$5-$H$15+1)/$T$15))*IF(P$5=$H$15,DelivFactor,IF(AND(P$5&gt;$H$15,P$5&lt;$H$15+$F$15),1,IF(P$5=$H$15+$F$15,1-DelivFactor,0)))</f>
        <v>12.0784027777778</v>
      </c>
      <c r="Q50" s="120" t="n">
        <f aca="false">(1-$I$15)*(1-$J$15)*$D$15*$E$15/4*MIN(1,MAX(0,(Q$5-$H$15+1)/$T$15))*IF(Q$5=$H$15,DelivFactor,IF(AND(Q$5&gt;$H$15,Q$5&lt;$H$15+$F$15),1,IF(Q$5=$H$15+$F$15,1-DelivFactor,0)))</f>
        <v>48.3136111111111</v>
      </c>
      <c r="R50" s="120" t="n">
        <f aca="false">(1-$I$15)*(1-$J$15)*$D$15*$E$15/4*MIN(1,MAX(0,(R$5-$H$15+1)/$T$15))*IF(R$5=$H$15,DelivFactor,IF(AND(R$5&gt;$H$15,R$5&lt;$H$15+$F$15),1,IF(R$5=$H$15+$F$15,1-DelivFactor,0)))</f>
        <v>72.4704166666667</v>
      </c>
      <c r="S50" s="120" t="n">
        <f aca="false">(1-$I$15)*(1-$J$15)*$D$15*$E$15/4*MIN(1,MAX(0,(S$5-$H$15+1)/$T$15))*IF(S$5=$H$15,DelivFactor,IF(AND(S$5&gt;$H$15,S$5&lt;$H$15+$F$15),1,IF(S$5=$H$15+$F$15,1-DelivFactor,0)))</f>
        <v>96.6272222222222</v>
      </c>
      <c r="T50" s="120" t="n">
        <f aca="false">(1-$I$15)*(1-$J$15)*$D$15*$E$15/4*MIN(1,MAX(0,(T$5-$H$15+1)/$T$15))*IF(T$5=$H$15,DelivFactor,IF(AND(T$5&gt;$H$15,T$5&lt;$H$15+$F$15),1,IF(T$5=$H$15+$F$15,1-DelivFactor,0)))</f>
        <v>96.6272222222222</v>
      </c>
      <c r="U50" s="120" t="n">
        <f aca="false">(1-$I$15)*(1-$J$15)*$D$15*$E$15/4*MIN(1,MAX(0,(U$5-$H$15+1)/$T$15))*IF(U$5=$H$15,DelivFactor,IF(AND(U$5&gt;$H$15,U$5&lt;$H$15+$F$15),1,IF(U$5=$H$15+$F$15,1-DelivFactor,0)))</f>
        <v>96.6272222222222</v>
      </c>
      <c r="V50" s="120" t="n">
        <f aca="false">(1-$I$15)*(1-$J$15)*$D$15*$E$15/4*MIN(1,MAX(0,(V$5-$H$15+1)/$T$15))*IF(V$5=$H$15,DelivFactor,IF(AND(V$5&gt;$H$15,V$5&lt;$H$15+$F$15),1,IF(V$5=$H$15+$F$15,1-DelivFactor,0)))</f>
        <v>96.6272222222222</v>
      </c>
      <c r="W50" s="120" t="n">
        <f aca="false">(1-$I$15)*(1-$J$15)*$D$15*$E$15/4*MIN(1,MAX(0,(W$5-$H$15+1)/$T$15))*IF(W$5=$H$15,DelivFactor,IF(AND(W$5&gt;$H$15,W$5&lt;$H$15+$F$15),1,IF(W$5=$H$15+$F$15,1-DelivFactor,0)))</f>
        <v>96.6272222222222</v>
      </c>
      <c r="X50" s="120" t="n">
        <f aca="false">(1-$I$15)*(1-$J$15)*$D$15*$E$15/4*MIN(1,MAX(0,(X$5-$H$15+1)/$T$15))*IF(X$5=$H$15,DelivFactor,IF(AND(X$5&gt;$H$15,X$5&lt;$H$15+$F$15),1,IF(X$5=$H$15+$F$15,1-DelivFactor,0)))</f>
        <v>96.6272222222222</v>
      </c>
      <c r="Y50" s="120" t="n">
        <f aca="false">(1-$I$15)*(1-$J$15)*$D$15*$E$15/4*MIN(1,MAX(0,(Y$5-$H$15+1)/$T$15))*IF(Y$5=$H$15,DelivFactor,IF(AND(Y$5&gt;$H$15,Y$5&lt;$H$15+$F$15),1,IF(Y$5=$H$15+$F$15,1-DelivFactor,0)))</f>
        <v>96.6272222222222</v>
      </c>
      <c r="Z50" s="120" t="n">
        <f aca="false">(1-$I$15)*(1-$J$15)*$D$15*$E$15/4*MIN(1,MAX(0,(Z$5-$H$15+1)/$T$15))*IF(Z$5=$H$15,DelivFactor,IF(AND(Z$5&gt;$H$15,Z$5&lt;$H$15+$F$15),1,IF(Z$5=$H$15+$F$15,1-DelivFactor,0)))</f>
        <v>96.6272222222222</v>
      </c>
      <c r="AA50" s="120" t="n">
        <f aca="false">(1-$I$15)*(1-$J$15)*$D$15*$E$15/4*MIN(1,MAX(0,(AA$5-$H$15+1)/$T$15))*IF(AA$5=$H$15,DelivFactor,IF(AND(AA$5&gt;$H$15,AA$5&lt;$H$15+$F$15),1,IF(AA$5=$H$15+$F$15,1-DelivFactor,0)))</f>
        <v>96.6272222222222</v>
      </c>
      <c r="AB50" s="120" t="n">
        <f aca="false">(1-$I$15)*(1-$J$15)*$D$15*$E$15/4*MIN(1,MAX(0,(AB$5-$H$15+1)/$T$15))*IF(AB$5=$H$15,DelivFactor,IF(AND(AB$5&gt;$H$15,AB$5&lt;$H$15+$F$15),1,IF(AB$5=$H$15+$F$15,1-DelivFactor,0)))</f>
        <v>96.6272222222222</v>
      </c>
      <c r="AC50" s="120" t="n">
        <f aca="false">(1-$I$15)*(1-$J$15)*$D$15*$E$15/4*MIN(1,MAX(0,(AC$5-$H$15+1)/$T$15))*IF(AC$5=$H$15,DelivFactor,IF(AND(AC$5&gt;$H$15,AC$5&lt;$H$15+$F$15),1,IF(AC$5=$H$15+$F$15,1-DelivFactor,0)))</f>
        <v>96.6272222222222</v>
      </c>
      <c r="AD50" s="120" t="n">
        <f aca="false">(1-$I$15)*(1-$J$15)*$D$15*$E$15/4*MIN(1,MAX(0,(AD$5-$H$15+1)/$T$15))*IF(AD$5=$H$15,DelivFactor,IF(AND(AD$5&gt;$H$15,AD$5&lt;$H$15+$F$15),1,IF(AD$5=$H$15+$F$15,1-DelivFactor,0)))</f>
        <v>96.6272222222222</v>
      </c>
      <c r="AE50" s="120" t="n">
        <f aca="false">(1-$I$15)*(1-$J$15)*$D$15*$E$15/4*MIN(1,MAX(0,(AE$5-$H$15+1)/$T$15))*IF(AE$5=$H$15,DelivFactor,IF(AND(AE$5&gt;$H$15,AE$5&lt;$H$15+$F$15),1,IF(AE$5=$H$15+$F$15,1-DelivFactor,0)))</f>
        <v>96.6272222222222</v>
      </c>
      <c r="AF50" s="120" t="n">
        <f aca="false">(1-$I$15)*(1-$J$15)*$D$15*$E$15/4*MIN(1,MAX(0,(AF$5-$H$15+1)/$T$15))*IF(AF$5=$H$15,DelivFactor,IF(AND(AF$5&gt;$H$15,AF$5&lt;$H$15+$F$15),1,IF(AF$5=$H$15+$F$15,1-DelivFactor,0)))</f>
        <v>96.6272222222222</v>
      </c>
      <c r="AG50" s="120" t="n">
        <f aca="false">(1-$I$15)*(1-$J$15)*$D$15*$E$15/4*MIN(1,MAX(0,(AG$5-$H$15+1)/$T$15))*IF(AG$5=$H$15,DelivFactor,IF(AND(AG$5&gt;$H$15,AG$5&lt;$H$15+$F$15),1,IF(AG$5=$H$15+$F$15,1-DelivFactor,0)))</f>
        <v>96.6272222222222</v>
      </c>
      <c r="AI50" s="120" t="n">
        <f aca="false">SUMIF($F$7:$AG$7,AI$7,$F50:$AG50)</f>
        <v>0</v>
      </c>
      <c r="AJ50" s="120" t="n">
        <f aca="false">SUMIF($F$7:$AG$7,AJ$7,$F50:$AG50)</f>
        <v>0</v>
      </c>
      <c r="AK50" s="120" t="n">
        <f aca="false">SUMIF($F$7:$AG$7,AK$7,$F50:$AG50)</f>
        <v>60.3920138888889</v>
      </c>
      <c r="AL50" s="120" t="n">
        <f aca="false">SUMIF($F$7:$AG$7,AL$7,$F50:$AG50)</f>
        <v>362.352083333333</v>
      </c>
      <c r="AM50" s="120" t="n">
        <f aca="false">SUMIF($F$7:$AG$7,AM$7,$F50:$AG50)</f>
        <v>386.508888888889</v>
      </c>
      <c r="AN50" s="120" t="n">
        <f aca="false">SUMIF($F$7:$AG$7,AN$7,$F50:$AG50)</f>
        <v>386.508888888889</v>
      </c>
      <c r="AO50" s="120" t="n">
        <f aca="false">SUMIF($F$7:$AG$7,AO$7,$F50:$AG50)</f>
        <v>386.508888888889</v>
      </c>
    </row>
    <row r="51" customFormat="false" ht="15" hidden="false" customHeight="false" outlineLevel="0" collapsed="false">
      <c r="A51" s="101" t="s">
        <v>1382</v>
      </c>
      <c r="B51" s="18" t="s">
        <v>415</v>
      </c>
      <c r="C51" s="18"/>
      <c r="D51" s="18"/>
      <c r="F51" s="110" t="n">
        <f aca="false">(1-$I$15)*(1-$J$15)*$D$15*AND(F$5&gt;=$H$15,F$5&lt;$H$15+$F$15)</f>
        <v>0</v>
      </c>
      <c r="G51" s="110" t="n">
        <f aca="false">(1-$I$15)*(1-$J$15)*$D$15*AND(G$5&gt;=$H$15,G$5&lt;$H$15+$F$15)</f>
        <v>0</v>
      </c>
      <c r="H51" s="110" t="n">
        <f aca="false">(1-$I$15)*(1-$J$15)*$D$15*AND(H$5&gt;=$H$15,H$5&lt;$H$15+$F$15)</f>
        <v>0</v>
      </c>
      <c r="I51" s="110" t="n">
        <f aca="false">(1-$I$15)*(1-$J$15)*$D$15*AND(I$5&gt;=$H$15,I$5&lt;$H$15+$F$15)</f>
        <v>0</v>
      </c>
      <c r="J51" s="110" t="n">
        <f aca="false">(1-$I$15)*(1-$J$15)*$D$15*AND(J$5&gt;=$H$15,J$5&lt;$H$15+$F$15)</f>
        <v>0</v>
      </c>
      <c r="K51" s="110" t="n">
        <f aca="false">(1-$I$15)*(1-$J$15)*$D$15*AND(K$5&gt;=$H$15,K$5&lt;$H$15+$F$15)</f>
        <v>0</v>
      </c>
      <c r="L51" s="110" t="n">
        <f aca="false">(1-$I$15)*(1-$J$15)*$D$15*AND(L$5&gt;=$H$15,L$5&lt;$H$15+$F$15)</f>
        <v>0</v>
      </c>
      <c r="M51" s="110" t="n">
        <f aca="false">(1-$I$15)*(1-$J$15)*$D$15*AND(M$5&gt;=$H$15,M$5&lt;$H$15+$F$15)</f>
        <v>0</v>
      </c>
      <c r="N51" s="110" t="n">
        <f aca="false">(1-$I$15)*(1-$J$15)*$D$15*AND(N$5&gt;=$H$15,N$5&lt;$H$15+$F$15)</f>
        <v>0</v>
      </c>
      <c r="O51" s="110" t="n">
        <f aca="false">(1-$I$15)*(1-$J$15)*$D$15*AND(O$5&gt;=$H$15,O$5&lt;$H$15+$F$15)</f>
        <v>0</v>
      </c>
      <c r="P51" s="21" t="n">
        <f aca="false">(1-$I$15)*(1-$J$15)*$D$15*AND(P$5&gt;=$H$15,P$5&lt;$H$15+$F$15)</f>
        <v>26.6666666666667</v>
      </c>
      <c r="Q51" s="21" t="n">
        <f aca="false">(1-$I$15)*(1-$J$15)*$D$15*AND(Q$5&gt;=$H$15,Q$5&lt;$H$15+$F$15)</f>
        <v>26.6666666666667</v>
      </c>
      <c r="R51" s="21" t="n">
        <f aca="false">(1-$I$15)*(1-$J$15)*$D$15*AND(R$5&gt;=$H$15,R$5&lt;$H$15+$F$15)</f>
        <v>26.6666666666667</v>
      </c>
      <c r="S51" s="21" t="n">
        <f aca="false">(1-$I$15)*(1-$J$15)*$D$15*AND(S$5&gt;=$H$15,S$5&lt;$H$15+$F$15)</f>
        <v>26.6666666666667</v>
      </c>
      <c r="T51" s="21" t="n">
        <f aca="false">(1-$I$15)*(1-$J$15)*$D$15*AND(T$5&gt;=$H$15,T$5&lt;$H$15+$F$15)</f>
        <v>26.6666666666667</v>
      </c>
      <c r="U51" s="21" t="n">
        <f aca="false">(1-$I$15)*(1-$J$15)*$D$15*AND(U$5&gt;=$H$15,U$5&lt;$H$15+$F$15)</f>
        <v>26.6666666666667</v>
      </c>
      <c r="V51" s="21" t="n">
        <f aca="false">(1-$I$15)*(1-$J$15)*$D$15*AND(V$5&gt;=$H$15,V$5&lt;$H$15+$F$15)</f>
        <v>26.6666666666667</v>
      </c>
      <c r="W51" s="21" t="n">
        <f aca="false">(1-$I$15)*(1-$J$15)*$D$15*AND(W$5&gt;=$H$15,W$5&lt;$H$15+$F$15)</f>
        <v>26.6666666666667</v>
      </c>
      <c r="X51" s="21" t="n">
        <f aca="false">(1-$I$15)*(1-$J$15)*$D$15*AND(X$5&gt;=$H$15,X$5&lt;$H$15+$F$15)</f>
        <v>26.6666666666667</v>
      </c>
      <c r="Y51" s="21" t="n">
        <f aca="false">(1-$I$15)*(1-$J$15)*$D$15*AND(Y$5&gt;=$H$15,Y$5&lt;$H$15+$F$15)</f>
        <v>26.6666666666667</v>
      </c>
      <c r="Z51" s="21" t="n">
        <f aca="false">(1-$I$15)*(1-$J$15)*$D$15*AND(Z$5&gt;=$H$15,Z$5&lt;$H$15+$F$15)</f>
        <v>26.6666666666667</v>
      </c>
      <c r="AA51" s="21" t="n">
        <f aca="false">(1-$I$15)*(1-$J$15)*$D$15*AND(AA$5&gt;=$H$15,AA$5&lt;$H$15+$F$15)</f>
        <v>26.6666666666667</v>
      </c>
      <c r="AB51" s="21" t="n">
        <f aca="false">(1-$I$15)*(1-$J$15)*$D$15*AND(AB$5&gt;=$H$15,AB$5&lt;$H$15+$F$15)</f>
        <v>26.6666666666667</v>
      </c>
      <c r="AC51" s="21" t="n">
        <f aca="false">(1-$I$15)*(1-$J$15)*$D$15*AND(AC$5&gt;=$H$15,AC$5&lt;$H$15+$F$15)</f>
        <v>26.6666666666667</v>
      </c>
      <c r="AD51" s="21" t="n">
        <f aca="false">(1-$I$15)*(1-$J$15)*$D$15*AND(AD$5&gt;=$H$15,AD$5&lt;$H$15+$F$15)</f>
        <v>26.6666666666667</v>
      </c>
      <c r="AE51" s="21" t="n">
        <f aca="false">(1-$I$15)*(1-$J$15)*$D$15*AND(AE$5&gt;=$H$15,AE$5&lt;$H$15+$F$15)</f>
        <v>26.6666666666667</v>
      </c>
      <c r="AF51" s="21" t="n">
        <f aca="false">(1-$I$15)*(1-$J$15)*$D$15*AND(AF$5&gt;=$H$15,AF$5&lt;$H$15+$F$15)</f>
        <v>26.6666666666667</v>
      </c>
      <c r="AG51" s="21" t="n">
        <f aca="false">(1-$I$15)*(1-$J$15)*$D$15*AND(AG$5&gt;=$H$15,AG$5&lt;$H$15+$F$15)</f>
        <v>26.6666666666667</v>
      </c>
      <c r="AI51" s="21" t="n">
        <f aca="false">INDEX($F51:$AG51,1,MATCH(AI$7,$F$7:$AG$7,1))</f>
        <v>0</v>
      </c>
      <c r="AJ51" s="21" t="n">
        <f aca="false">INDEX($F51:$AG51,1,MATCH(AJ$7,$F$7:$AG$7,1))</f>
        <v>0</v>
      </c>
      <c r="AK51" s="21" t="n">
        <f aca="false">INDEX($F51:$AG51,1,MATCH(AK$7,$F$7:$AG$7,1))</f>
        <v>26.6666666666667</v>
      </c>
      <c r="AL51" s="21" t="n">
        <f aca="false">INDEX($F51:$AG51,1,MATCH(AL$7,$F$7:$AG$7,1))</f>
        <v>26.6666666666667</v>
      </c>
      <c r="AM51" s="21" t="n">
        <f aca="false">INDEX($F51:$AG51,1,MATCH(AM$7,$F$7:$AG$7,1))</f>
        <v>26.6666666666667</v>
      </c>
      <c r="AN51" s="21" t="n">
        <f aca="false">INDEX($F51:$AG51,1,MATCH(AN$7,$F$7:$AG$7,1))</f>
        <v>26.6666666666667</v>
      </c>
      <c r="AO51" s="21" t="n">
        <f aca="false">INDEX($F51:$AG51,1,MATCH(AO$7,$F$7:$AG$7,1))</f>
        <v>26.6666666666667</v>
      </c>
    </row>
    <row r="52" customFormat="false" ht="15" hidden="false" customHeight="false" outlineLevel="0" collapsed="false">
      <c r="A52" s="101" t="s">
        <v>1383</v>
      </c>
      <c r="B52" s="18" t="s">
        <v>400</v>
      </c>
      <c r="C52" s="18"/>
      <c r="D52" s="18"/>
      <c r="F52" s="119" t="n">
        <f aca="false">-(1-$I$15)*LD_Pct*$D$15*$E$15/4*AND(F$5&gt;=$G$15,F$5&lt;$H$15)</f>
        <v>-0</v>
      </c>
      <c r="G52" s="119" t="n">
        <f aca="false">-(1-$I$15)*LD_Pct*$D$15*$E$15/4*AND(G$5&gt;=$G$15,G$5&lt;$H$15)</f>
        <v>-0</v>
      </c>
      <c r="H52" s="119" t="n">
        <f aca="false">-(1-$I$15)*LD_Pct*$D$15*$E$15/4*AND(H$5&gt;=$G$15,H$5&lt;$H$15)</f>
        <v>-0</v>
      </c>
      <c r="I52" s="119" t="n">
        <f aca="false">-(1-$I$15)*LD_Pct*$D$15*$E$15/4*AND(I$5&gt;=$G$15,I$5&lt;$H$15)</f>
        <v>-0</v>
      </c>
      <c r="J52" s="119" t="n">
        <f aca="false">-(1-$I$15)*LD_Pct*$D$15*$E$15/4*AND(J$5&gt;=$G$15,J$5&lt;$H$15)</f>
        <v>-0</v>
      </c>
      <c r="K52" s="119" t="n">
        <f aca="false">-(1-$I$15)*LD_Pct*$D$15*$E$15/4*AND(K$5&gt;=$G$15,K$5&lt;$H$15)</f>
        <v>-0</v>
      </c>
      <c r="L52" s="119" t="n">
        <f aca="false">-(1-$I$15)*LD_Pct*$D$15*$E$15/4*AND(L$5&gt;=$G$15,L$5&lt;$H$15)</f>
        <v>-0</v>
      </c>
      <c r="M52" s="119" t="n">
        <f aca="false">-(1-$I$15)*LD_Pct*$D$15*$E$15/4*AND(M$5&gt;=$G$15,M$5&lt;$H$15)</f>
        <v>-0</v>
      </c>
      <c r="N52" s="119" t="n">
        <f aca="false">-(1-$I$15)*LD_Pct*$D$15*$E$15/4*AND(N$5&gt;=$G$15,N$5&lt;$H$15)</f>
        <v>-0</v>
      </c>
      <c r="O52" s="119" t="n">
        <f aca="false">-(1-$I$15)*LD_Pct*$D$15*$E$15/4*AND(O$5&gt;=$G$15,O$5&lt;$H$15)</f>
        <v>-0</v>
      </c>
      <c r="P52" s="120" t="n">
        <f aca="false">-(1-$I$15)*LD_Pct*$D$15*$E$15/4*AND(P$5&gt;=$G$15,P$5&lt;$H$15)</f>
        <v>-0</v>
      </c>
      <c r="Q52" s="120" t="n">
        <f aca="false">-(1-$I$15)*LD_Pct*$D$15*$E$15/4*AND(Q$5&gt;=$G$15,Q$5&lt;$H$15)</f>
        <v>-0</v>
      </c>
      <c r="R52" s="120" t="n">
        <f aca="false">-(1-$I$15)*LD_Pct*$D$15*$E$15/4*AND(R$5&gt;=$G$15,R$5&lt;$H$15)</f>
        <v>-0</v>
      </c>
      <c r="S52" s="120" t="n">
        <f aca="false">-(1-$I$15)*LD_Pct*$D$15*$E$15/4*AND(S$5&gt;=$G$15,S$5&lt;$H$15)</f>
        <v>-0</v>
      </c>
      <c r="T52" s="120" t="n">
        <f aca="false">-(1-$I$15)*LD_Pct*$D$15*$E$15/4*AND(T$5&gt;=$G$15,T$5&lt;$H$15)</f>
        <v>-0</v>
      </c>
      <c r="U52" s="120" t="n">
        <f aca="false">-(1-$I$15)*LD_Pct*$D$15*$E$15/4*AND(U$5&gt;=$G$15,U$5&lt;$H$15)</f>
        <v>-0</v>
      </c>
      <c r="V52" s="120" t="n">
        <f aca="false">-(1-$I$15)*LD_Pct*$D$15*$E$15/4*AND(V$5&gt;=$G$15,V$5&lt;$H$15)</f>
        <v>-0</v>
      </c>
      <c r="W52" s="120" t="n">
        <f aca="false">-(1-$I$15)*LD_Pct*$D$15*$E$15/4*AND(W$5&gt;=$G$15,W$5&lt;$H$15)</f>
        <v>-0</v>
      </c>
      <c r="X52" s="120" t="n">
        <f aca="false">-(1-$I$15)*LD_Pct*$D$15*$E$15/4*AND(X$5&gt;=$G$15,X$5&lt;$H$15)</f>
        <v>-0</v>
      </c>
      <c r="Y52" s="120" t="n">
        <f aca="false">-(1-$I$15)*LD_Pct*$D$15*$E$15/4*AND(Y$5&gt;=$G$15,Y$5&lt;$H$15)</f>
        <v>-0</v>
      </c>
      <c r="Z52" s="120" t="n">
        <f aca="false">-(1-$I$15)*LD_Pct*$D$15*$E$15/4*AND(Z$5&gt;=$G$15,Z$5&lt;$H$15)</f>
        <v>-0</v>
      </c>
      <c r="AA52" s="120" t="n">
        <f aca="false">-(1-$I$15)*LD_Pct*$D$15*$E$15/4*AND(AA$5&gt;=$G$15,AA$5&lt;$H$15)</f>
        <v>-0</v>
      </c>
      <c r="AB52" s="120" t="n">
        <f aca="false">-(1-$I$15)*LD_Pct*$D$15*$E$15/4*AND(AB$5&gt;=$G$15,AB$5&lt;$H$15)</f>
        <v>-0</v>
      </c>
      <c r="AC52" s="120" t="n">
        <f aca="false">-(1-$I$15)*LD_Pct*$D$15*$E$15/4*AND(AC$5&gt;=$G$15,AC$5&lt;$H$15)</f>
        <v>-0</v>
      </c>
      <c r="AD52" s="120" t="n">
        <f aca="false">-(1-$I$15)*LD_Pct*$D$15*$E$15/4*AND(AD$5&gt;=$G$15,AD$5&lt;$H$15)</f>
        <v>-0</v>
      </c>
      <c r="AE52" s="120" t="n">
        <f aca="false">-(1-$I$15)*LD_Pct*$D$15*$E$15/4*AND(AE$5&gt;=$G$15,AE$5&lt;$H$15)</f>
        <v>-0</v>
      </c>
      <c r="AF52" s="120" t="n">
        <f aca="false">-(1-$I$15)*LD_Pct*$D$15*$E$15/4*AND(AF$5&gt;=$G$15,AF$5&lt;$H$15)</f>
        <v>-0</v>
      </c>
      <c r="AG52" s="120" t="n">
        <f aca="false">-(1-$I$15)*LD_Pct*$D$15*$E$15/4*AND(AG$5&gt;=$G$15,AG$5&lt;$H$15)</f>
        <v>-0</v>
      </c>
      <c r="AI52" s="120" t="n">
        <f aca="false">SUMIF($F$7:$AG$7,AI$7,$F52:$AG52)</f>
        <v>0</v>
      </c>
      <c r="AJ52" s="120" t="n">
        <f aca="false">SUMIF($F$7:$AG$7,AJ$7,$F52:$AG52)</f>
        <v>0</v>
      </c>
      <c r="AK52" s="120" t="n">
        <f aca="false">SUMIF($F$7:$AG$7,AK$7,$F52:$AG52)</f>
        <v>0</v>
      </c>
      <c r="AL52" s="120" t="n">
        <f aca="false">SUMIF($F$7:$AG$7,AL$7,$F52:$AG52)</f>
        <v>0</v>
      </c>
      <c r="AM52" s="120" t="n">
        <f aca="false">SUMIF($F$7:$AG$7,AM$7,$F52:$AG52)</f>
        <v>0</v>
      </c>
      <c r="AN52" s="120" t="n">
        <f aca="false">SUMIF($F$7:$AG$7,AN$7,$F52:$AG52)</f>
        <v>0</v>
      </c>
      <c r="AO52" s="120" t="n">
        <f aca="false">SUMIF($F$7:$AG$7,AO$7,$F52:$AG52)</f>
        <v>0</v>
      </c>
    </row>
    <row r="53" customFormat="false" ht="15" hidden="false" customHeight="false" outlineLevel="0" collapsed="false">
      <c r="A53" s="101" t="s">
        <v>1384</v>
      </c>
      <c r="B53" s="18" t="s">
        <v>415</v>
      </c>
      <c r="C53" s="18"/>
      <c r="D53" s="18"/>
      <c r="F53" s="110" t="n">
        <f aca="false">(1-$I$15)*(1-$J$15)*$D$15*(F$5&gt;=$H$15+$F$15)</f>
        <v>0</v>
      </c>
      <c r="G53" s="110" t="n">
        <f aca="false">(1-$I$15)*(1-$J$15)*$D$15*(G$5&gt;=$H$15+$F$15)</f>
        <v>0</v>
      </c>
      <c r="H53" s="110" t="n">
        <f aca="false">(1-$I$15)*(1-$J$15)*$D$15*(H$5&gt;=$H$15+$F$15)</f>
        <v>0</v>
      </c>
      <c r="I53" s="110" t="n">
        <f aca="false">(1-$I$15)*(1-$J$15)*$D$15*(I$5&gt;=$H$15+$F$15)</f>
        <v>0</v>
      </c>
      <c r="J53" s="110" t="n">
        <f aca="false">(1-$I$15)*(1-$J$15)*$D$15*(J$5&gt;=$H$15+$F$15)</f>
        <v>0</v>
      </c>
      <c r="K53" s="110" t="n">
        <f aca="false">(1-$I$15)*(1-$J$15)*$D$15*(K$5&gt;=$H$15+$F$15)</f>
        <v>0</v>
      </c>
      <c r="L53" s="110" t="n">
        <f aca="false">(1-$I$15)*(1-$J$15)*$D$15*(L$5&gt;=$H$15+$F$15)</f>
        <v>0</v>
      </c>
      <c r="M53" s="110" t="n">
        <f aca="false">(1-$I$15)*(1-$J$15)*$D$15*(M$5&gt;=$H$15+$F$15)</f>
        <v>0</v>
      </c>
      <c r="N53" s="110" t="n">
        <f aca="false">(1-$I$15)*(1-$J$15)*$D$15*(N$5&gt;=$H$15+$F$15)</f>
        <v>0</v>
      </c>
      <c r="O53" s="110" t="n">
        <f aca="false">(1-$I$15)*(1-$J$15)*$D$15*(O$5&gt;=$H$15+$F$15)</f>
        <v>0</v>
      </c>
      <c r="P53" s="21" t="n">
        <f aca="false">(1-$I$15)*(1-$J$15)*$D$15*(P$5&gt;=$H$15+$F$15)</f>
        <v>0</v>
      </c>
      <c r="Q53" s="21" t="n">
        <f aca="false">(1-$I$15)*(1-$J$15)*$D$15*(Q$5&gt;=$H$15+$F$15)</f>
        <v>0</v>
      </c>
      <c r="R53" s="21" t="n">
        <f aca="false">(1-$I$15)*(1-$J$15)*$D$15*(R$5&gt;=$H$15+$F$15)</f>
        <v>0</v>
      </c>
      <c r="S53" s="21" t="n">
        <f aca="false">(1-$I$15)*(1-$J$15)*$D$15*(S$5&gt;=$H$15+$F$15)</f>
        <v>0</v>
      </c>
      <c r="T53" s="21" t="n">
        <f aca="false">(1-$I$15)*(1-$J$15)*$D$15*(T$5&gt;=$H$15+$F$15)</f>
        <v>0</v>
      </c>
      <c r="U53" s="21" t="n">
        <f aca="false">(1-$I$15)*(1-$J$15)*$D$15*(U$5&gt;=$H$15+$F$15)</f>
        <v>0</v>
      </c>
      <c r="V53" s="21" t="n">
        <f aca="false">(1-$I$15)*(1-$J$15)*$D$15*(V$5&gt;=$H$15+$F$15)</f>
        <v>0</v>
      </c>
      <c r="W53" s="21" t="n">
        <f aca="false">(1-$I$15)*(1-$J$15)*$D$15*(W$5&gt;=$H$15+$F$15)</f>
        <v>0</v>
      </c>
      <c r="X53" s="21" t="n">
        <f aca="false">(1-$I$15)*(1-$J$15)*$D$15*(X$5&gt;=$H$15+$F$15)</f>
        <v>0</v>
      </c>
      <c r="Y53" s="21" t="n">
        <f aca="false">(1-$I$15)*(1-$J$15)*$D$15*(Y$5&gt;=$H$15+$F$15)</f>
        <v>0</v>
      </c>
      <c r="Z53" s="21" t="n">
        <f aca="false">(1-$I$15)*(1-$J$15)*$D$15*(Z$5&gt;=$H$15+$F$15)</f>
        <v>0</v>
      </c>
      <c r="AA53" s="21" t="n">
        <f aca="false">(1-$I$15)*(1-$J$15)*$D$15*(AA$5&gt;=$H$15+$F$15)</f>
        <v>0</v>
      </c>
      <c r="AB53" s="21" t="n">
        <f aca="false">(1-$I$15)*(1-$J$15)*$D$15*(AB$5&gt;=$H$15+$F$15)</f>
        <v>0</v>
      </c>
      <c r="AC53" s="21" t="n">
        <f aca="false">(1-$I$15)*(1-$J$15)*$D$15*(AC$5&gt;=$H$15+$F$15)</f>
        <v>0</v>
      </c>
      <c r="AD53" s="21" t="n">
        <f aca="false">(1-$I$15)*(1-$J$15)*$D$15*(AD$5&gt;=$H$15+$F$15)</f>
        <v>0</v>
      </c>
      <c r="AE53" s="21" t="n">
        <f aca="false">(1-$I$15)*(1-$J$15)*$D$15*(AE$5&gt;=$H$15+$F$15)</f>
        <v>0</v>
      </c>
      <c r="AF53" s="21" t="n">
        <f aca="false">(1-$I$15)*(1-$J$15)*$D$15*(AF$5&gt;=$H$15+$F$15)</f>
        <v>0</v>
      </c>
      <c r="AG53" s="21" t="n">
        <f aca="false">(1-$I$15)*(1-$J$15)*$D$15*(AG$5&gt;=$H$15+$F$15)</f>
        <v>0</v>
      </c>
      <c r="AI53" s="21" t="n">
        <f aca="false">INDEX($F53:$AG53,1,MATCH(AI$7,$F$7:$AG$7,1))</f>
        <v>0</v>
      </c>
      <c r="AJ53" s="21" t="n">
        <f aca="false">INDEX($F53:$AG53,1,MATCH(AJ$7,$F$7:$AG$7,1))</f>
        <v>0</v>
      </c>
      <c r="AK53" s="21" t="n">
        <f aca="false">INDEX($F53:$AG53,1,MATCH(AK$7,$F$7:$AG$7,1))</f>
        <v>0</v>
      </c>
      <c r="AL53" s="21" t="n">
        <f aca="false">INDEX($F53:$AG53,1,MATCH(AL$7,$F$7:$AG$7,1))</f>
        <v>0</v>
      </c>
      <c r="AM53" s="21" t="n">
        <f aca="false">INDEX($F53:$AG53,1,MATCH(AM$7,$F$7:$AG$7,1))</f>
        <v>0</v>
      </c>
      <c r="AN53" s="21" t="n">
        <f aca="false">INDEX($F53:$AG53,1,MATCH(AN$7,$F$7:$AG$7,1))</f>
        <v>0</v>
      </c>
      <c r="AO53" s="21" t="n">
        <f aca="false">INDEX($F53:$AG53,1,MATCH(AO$7,$F$7:$AG$7,1))</f>
        <v>0</v>
      </c>
    </row>
    <row r="54" customFormat="false" ht="15" hidden="false" customHeight="false" outlineLevel="0" collapsed="false">
      <c r="A54" s="101" t="s">
        <v>1385</v>
      </c>
      <c r="B54" s="18" t="s">
        <v>400</v>
      </c>
      <c r="C54" s="18"/>
      <c r="D54" s="18" t="s">
        <v>1370</v>
      </c>
      <c r="F54" s="119" t="n">
        <f aca="false">F53*CHOOSE(MATCH($C$15,{"H";"B";"N"},0),GPUMW_H*ODc_H,GPUMW_B*ODc_B,GPUMW_N*ODc_N)*ResidUtil*Timeline!F$9*INDEX(Curve,1,MAX(1,MIN(8,INT((F$5-$H$15)/4)+1)))/1000000</f>
        <v>0</v>
      </c>
      <c r="G54" s="119" t="n">
        <f aca="false">G53*CHOOSE(MATCH($C$15,{"H";"B";"N"},0),GPUMW_H*ODc_H,GPUMW_B*ODc_B,GPUMW_N*ODc_N)*ResidUtil*Timeline!G$9*INDEX(Curve,1,MAX(1,MIN(8,INT((G$5-$H$15)/4)+1)))/1000000</f>
        <v>0</v>
      </c>
      <c r="H54" s="119" t="n">
        <f aca="false">H53*CHOOSE(MATCH($C$15,{"H";"B";"N"},0),GPUMW_H*ODc_H,GPUMW_B*ODc_B,GPUMW_N*ODc_N)*ResidUtil*Timeline!H$9*INDEX(Curve,1,MAX(1,MIN(8,INT((H$5-$H$15)/4)+1)))/1000000</f>
        <v>0</v>
      </c>
      <c r="I54" s="119" t="n">
        <f aca="false">I53*CHOOSE(MATCH($C$15,{"H";"B";"N"},0),GPUMW_H*ODc_H,GPUMW_B*ODc_B,GPUMW_N*ODc_N)*ResidUtil*Timeline!I$9*INDEX(Curve,1,MAX(1,MIN(8,INT((I$5-$H$15)/4)+1)))/1000000</f>
        <v>0</v>
      </c>
      <c r="J54" s="119" t="n">
        <f aca="false">J53*CHOOSE(MATCH($C$15,{"H";"B";"N"},0),GPUMW_H*ODc_H,GPUMW_B*ODc_B,GPUMW_N*ODc_N)*ResidUtil*Timeline!J$9*INDEX(Curve,1,MAX(1,MIN(8,INT((J$5-$H$15)/4)+1)))/1000000</f>
        <v>0</v>
      </c>
      <c r="K54" s="119" t="n">
        <f aca="false">K53*CHOOSE(MATCH($C$15,{"H";"B";"N"},0),GPUMW_H*ODc_H,GPUMW_B*ODc_B,GPUMW_N*ODc_N)*ResidUtil*Timeline!K$9*INDEX(Curve,1,MAX(1,MIN(8,INT((K$5-$H$15)/4)+1)))/1000000</f>
        <v>0</v>
      </c>
      <c r="L54" s="119" t="n">
        <f aca="false">L53*CHOOSE(MATCH($C$15,{"H";"B";"N"},0),GPUMW_H*ODc_H,GPUMW_B*ODc_B,GPUMW_N*ODc_N)*ResidUtil*Timeline!L$9*INDEX(Curve,1,MAX(1,MIN(8,INT((L$5-$H$15)/4)+1)))/1000000</f>
        <v>0</v>
      </c>
      <c r="M54" s="119" t="n">
        <f aca="false">M53*CHOOSE(MATCH($C$15,{"H";"B";"N"},0),GPUMW_H*ODc_H,GPUMW_B*ODc_B,GPUMW_N*ODc_N)*ResidUtil*Timeline!M$9*INDEX(Curve,1,MAX(1,MIN(8,INT((M$5-$H$15)/4)+1)))/1000000</f>
        <v>0</v>
      </c>
      <c r="N54" s="119" t="n">
        <f aca="false">N53*CHOOSE(MATCH($C$15,{"H";"B";"N"},0),GPUMW_H*ODc_H,GPUMW_B*ODc_B,GPUMW_N*ODc_N)*ResidUtil*Timeline!N$9*INDEX(Curve,1,MAX(1,MIN(8,INT((N$5-$H$15)/4)+1)))/1000000</f>
        <v>0</v>
      </c>
      <c r="O54" s="119" t="n">
        <f aca="false">O53*CHOOSE(MATCH($C$15,{"H";"B";"N"},0),GPUMW_H*ODc_H,GPUMW_B*ODc_B,GPUMW_N*ODc_N)*ResidUtil*Timeline!O$9*INDEX(Curve,1,MAX(1,MIN(8,INT((O$5-$H$15)/4)+1)))/1000000</f>
        <v>0</v>
      </c>
      <c r="P54" s="120" t="n">
        <f aca="false">P53*CHOOSE(MATCH($C$15,{"H";"B";"N"},0),GPUMW_H*ODc_H,GPUMW_B*ODc_B,GPUMW_N*ODc_N)*ResidUtil*Timeline!P$9*INDEX(Curve,1,MAX(1,MIN(8,INT((P$5-$H$15)/4)+1)))/1000000</f>
        <v>0</v>
      </c>
      <c r="Q54" s="120" t="n">
        <f aca="false">Q53*CHOOSE(MATCH($C$15,{"H";"B";"N"},0),GPUMW_H*ODc_H,GPUMW_B*ODc_B,GPUMW_N*ODc_N)*ResidUtil*Timeline!Q$9*INDEX(Curve,1,MAX(1,MIN(8,INT((Q$5-$H$15)/4)+1)))/1000000</f>
        <v>0</v>
      </c>
      <c r="R54" s="120" t="n">
        <f aca="false">R53*CHOOSE(MATCH($C$15,{"H";"B";"N"},0),GPUMW_H*ODc_H,GPUMW_B*ODc_B,GPUMW_N*ODc_N)*ResidUtil*Timeline!R$9*INDEX(Curve,1,MAX(1,MIN(8,INT((R$5-$H$15)/4)+1)))/1000000</f>
        <v>0</v>
      </c>
      <c r="S54" s="120" t="n">
        <f aca="false">S53*CHOOSE(MATCH($C$15,{"H";"B";"N"},0),GPUMW_H*ODc_H,GPUMW_B*ODc_B,GPUMW_N*ODc_N)*ResidUtil*Timeline!S$9*INDEX(Curve,1,MAX(1,MIN(8,INT((S$5-$H$15)/4)+1)))/1000000</f>
        <v>0</v>
      </c>
      <c r="T54" s="120" t="n">
        <f aca="false">T53*CHOOSE(MATCH($C$15,{"H";"B";"N"},0),GPUMW_H*ODc_H,GPUMW_B*ODc_B,GPUMW_N*ODc_N)*ResidUtil*Timeline!T$9*INDEX(Curve,1,MAX(1,MIN(8,INT((T$5-$H$15)/4)+1)))/1000000</f>
        <v>0</v>
      </c>
      <c r="U54" s="120" t="n">
        <f aca="false">U53*CHOOSE(MATCH($C$15,{"H";"B";"N"},0),GPUMW_H*ODc_H,GPUMW_B*ODc_B,GPUMW_N*ODc_N)*ResidUtil*Timeline!U$9*INDEX(Curve,1,MAX(1,MIN(8,INT((U$5-$H$15)/4)+1)))/1000000</f>
        <v>0</v>
      </c>
      <c r="V54" s="120" t="n">
        <f aca="false">V53*CHOOSE(MATCH($C$15,{"H";"B";"N"},0),GPUMW_H*ODc_H,GPUMW_B*ODc_B,GPUMW_N*ODc_N)*ResidUtil*Timeline!V$9*INDEX(Curve,1,MAX(1,MIN(8,INT((V$5-$H$15)/4)+1)))/1000000</f>
        <v>0</v>
      </c>
      <c r="W54" s="120" t="n">
        <f aca="false">W53*CHOOSE(MATCH($C$15,{"H";"B";"N"},0),GPUMW_H*ODc_H,GPUMW_B*ODc_B,GPUMW_N*ODc_N)*ResidUtil*Timeline!W$9*INDEX(Curve,1,MAX(1,MIN(8,INT((W$5-$H$15)/4)+1)))/1000000</f>
        <v>0</v>
      </c>
      <c r="X54" s="120" t="n">
        <f aca="false">X53*CHOOSE(MATCH($C$15,{"H";"B";"N"},0),GPUMW_H*ODc_H,GPUMW_B*ODc_B,GPUMW_N*ODc_N)*ResidUtil*Timeline!X$9*INDEX(Curve,1,MAX(1,MIN(8,INT((X$5-$H$15)/4)+1)))/1000000</f>
        <v>0</v>
      </c>
      <c r="Y54" s="120" t="n">
        <f aca="false">Y53*CHOOSE(MATCH($C$15,{"H";"B";"N"},0),GPUMW_H*ODc_H,GPUMW_B*ODc_B,GPUMW_N*ODc_N)*ResidUtil*Timeline!Y$9*INDEX(Curve,1,MAX(1,MIN(8,INT((Y$5-$H$15)/4)+1)))/1000000</f>
        <v>0</v>
      </c>
      <c r="Z54" s="120" t="n">
        <f aca="false">Z53*CHOOSE(MATCH($C$15,{"H";"B";"N"},0),GPUMW_H*ODc_H,GPUMW_B*ODc_B,GPUMW_N*ODc_N)*ResidUtil*Timeline!Z$9*INDEX(Curve,1,MAX(1,MIN(8,INT((Z$5-$H$15)/4)+1)))/1000000</f>
        <v>0</v>
      </c>
      <c r="AA54" s="120" t="n">
        <f aca="false">AA53*CHOOSE(MATCH($C$15,{"H";"B";"N"},0),GPUMW_H*ODc_H,GPUMW_B*ODc_B,GPUMW_N*ODc_N)*ResidUtil*Timeline!AA$9*INDEX(Curve,1,MAX(1,MIN(8,INT((AA$5-$H$15)/4)+1)))/1000000</f>
        <v>0</v>
      </c>
      <c r="AB54" s="120" t="n">
        <f aca="false">AB53*CHOOSE(MATCH($C$15,{"H";"B";"N"},0),GPUMW_H*ODc_H,GPUMW_B*ODc_B,GPUMW_N*ODc_N)*ResidUtil*Timeline!AB$9*INDEX(Curve,1,MAX(1,MIN(8,INT((AB$5-$H$15)/4)+1)))/1000000</f>
        <v>0</v>
      </c>
      <c r="AC54" s="120" t="n">
        <f aca="false">AC53*CHOOSE(MATCH($C$15,{"H";"B";"N"},0),GPUMW_H*ODc_H,GPUMW_B*ODc_B,GPUMW_N*ODc_N)*ResidUtil*Timeline!AC$9*INDEX(Curve,1,MAX(1,MIN(8,INT((AC$5-$H$15)/4)+1)))/1000000</f>
        <v>0</v>
      </c>
      <c r="AD54" s="120" t="n">
        <f aca="false">AD53*CHOOSE(MATCH($C$15,{"H";"B";"N"},0),GPUMW_H*ODc_H,GPUMW_B*ODc_B,GPUMW_N*ODc_N)*ResidUtil*Timeline!AD$9*INDEX(Curve,1,MAX(1,MIN(8,INT((AD$5-$H$15)/4)+1)))/1000000</f>
        <v>0</v>
      </c>
      <c r="AE54" s="120" t="n">
        <f aca="false">AE53*CHOOSE(MATCH($C$15,{"H";"B";"N"},0),GPUMW_H*ODc_H,GPUMW_B*ODc_B,GPUMW_N*ODc_N)*ResidUtil*Timeline!AE$9*INDEX(Curve,1,MAX(1,MIN(8,INT((AE$5-$H$15)/4)+1)))/1000000</f>
        <v>0</v>
      </c>
      <c r="AF54" s="120" t="n">
        <f aca="false">AF53*CHOOSE(MATCH($C$15,{"H";"B";"N"},0),GPUMW_H*ODc_H,GPUMW_B*ODc_B,GPUMW_N*ODc_N)*ResidUtil*Timeline!AF$9*INDEX(Curve,1,MAX(1,MIN(8,INT((AF$5-$H$15)/4)+1)))/1000000</f>
        <v>0</v>
      </c>
      <c r="AG54" s="120" t="n">
        <f aca="false">AG53*CHOOSE(MATCH($C$15,{"H";"B";"N"},0),GPUMW_H*ODc_H,GPUMW_B*ODc_B,GPUMW_N*ODc_N)*ResidUtil*Timeline!AG$9*INDEX(Curve,1,MAX(1,MIN(8,INT((AG$5-$H$15)/4)+1)))/1000000</f>
        <v>0</v>
      </c>
      <c r="AI54" s="120" t="n">
        <f aca="false">SUMIF($F$7:$AG$7,AI$7,$F54:$AG54)</f>
        <v>0</v>
      </c>
      <c r="AJ54" s="120" t="n">
        <f aca="false">SUMIF($F$7:$AG$7,AJ$7,$F54:$AG54)</f>
        <v>0</v>
      </c>
      <c r="AK54" s="120" t="n">
        <f aca="false">SUMIF($F$7:$AG$7,AK$7,$F54:$AG54)</f>
        <v>0</v>
      </c>
      <c r="AL54" s="120" t="n">
        <f aca="false">SUMIF($F$7:$AG$7,AL$7,$F54:$AG54)</f>
        <v>0</v>
      </c>
      <c r="AM54" s="120" t="n">
        <f aca="false">SUMIF($F$7:$AG$7,AM$7,$F54:$AG54)</f>
        <v>0</v>
      </c>
      <c r="AN54" s="120" t="n">
        <f aca="false">SUMIF($F$7:$AG$7,AN$7,$F54:$AG54)</f>
        <v>0</v>
      </c>
      <c r="AO54" s="120" t="n">
        <f aca="false">SUMIF($F$7:$AG$7,AO$7,$F54:$AG54)</f>
        <v>0</v>
      </c>
    </row>
    <row r="55" customFormat="false" ht="15" hidden="false" customHeight="false" outlineLevel="0" collapsed="false">
      <c r="A55" s="101" t="s">
        <v>1386</v>
      </c>
      <c r="B55" s="18" t="s">
        <v>400</v>
      </c>
      <c r="C55" s="18"/>
      <c r="D55" s="18"/>
      <c r="F55" s="119" t="n">
        <f aca="false">(1-$I$16)*(1-$J$16)*$D$16*$E$16/4*MIN(1,MAX(0,(F$5-$H$16+1)/$T$16))*IF(F$5=$H$16,DelivFactor,IF(AND(F$5&gt;$H$16,F$5&lt;$H$16+$F$16),1,IF(F$5=$H$16+$F$16,1-DelivFactor,0)))</f>
        <v>0</v>
      </c>
      <c r="G55" s="119" t="n">
        <f aca="false">(1-$I$16)*(1-$J$16)*$D$16*$E$16/4*MIN(1,MAX(0,(G$5-$H$16+1)/$T$16))*IF(G$5=$H$16,DelivFactor,IF(AND(G$5&gt;$H$16,G$5&lt;$H$16+$F$16),1,IF(G$5=$H$16+$F$16,1-DelivFactor,0)))</f>
        <v>0</v>
      </c>
      <c r="H55" s="119" t="n">
        <f aca="false">(1-$I$16)*(1-$J$16)*$D$16*$E$16/4*MIN(1,MAX(0,(H$5-$H$16+1)/$T$16))*IF(H$5=$H$16,DelivFactor,IF(AND(H$5&gt;$H$16,H$5&lt;$H$16+$F$16),1,IF(H$5=$H$16+$F$16,1-DelivFactor,0)))</f>
        <v>0</v>
      </c>
      <c r="I55" s="119" t="n">
        <f aca="false">(1-$I$16)*(1-$J$16)*$D$16*$E$16/4*MIN(1,MAX(0,(I$5-$H$16+1)/$T$16))*IF(I$5=$H$16,DelivFactor,IF(AND(I$5&gt;$H$16,I$5&lt;$H$16+$F$16),1,IF(I$5=$H$16+$F$16,1-DelivFactor,0)))</f>
        <v>0</v>
      </c>
      <c r="J55" s="119" t="n">
        <f aca="false">(1-$I$16)*(1-$J$16)*$D$16*$E$16/4*MIN(1,MAX(0,(J$5-$H$16+1)/$T$16))*IF(J$5=$H$16,DelivFactor,IF(AND(J$5&gt;$H$16,J$5&lt;$H$16+$F$16),1,IF(J$5=$H$16+$F$16,1-DelivFactor,0)))</f>
        <v>0</v>
      </c>
      <c r="K55" s="119" t="n">
        <f aca="false">(1-$I$16)*(1-$J$16)*$D$16*$E$16/4*MIN(1,MAX(0,(K$5-$H$16+1)/$T$16))*IF(K$5=$H$16,DelivFactor,IF(AND(K$5&gt;$H$16,K$5&lt;$H$16+$F$16),1,IF(K$5=$H$16+$F$16,1-DelivFactor,0)))</f>
        <v>0</v>
      </c>
      <c r="L55" s="119" t="n">
        <f aca="false">(1-$I$16)*(1-$J$16)*$D$16*$E$16/4*MIN(1,MAX(0,(L$5-$H$16+1)/$T$16))*IF(L$5=$H$16,DelivFactor,IF(AND(L$5&gt;$H$16,L$5&lt;$H$16+$F$16),1,IF(L$5=$H$16+$F$16,1-DelivFactor,0)))</f>
        <v>0</v>
      </c>
      <c r="M55" s="119" t="n">
        <f aca="false">(1-$I$16)*(1-$J$16)*$D$16*$E$16/4*MIN(1,MAX(0,(M$5-$H$16+1)/$T$16))*IF(M$5=$H$16,DelivFactor,IF(AND(M$5&gt;$H$16,M$5&lt;$H$16+$F$16),1,IF(M$5=$H$16+$F$16,1-DelivFactor,0)))</f>
        <v>0</v>
      </c>
      <c r="N55" s="119" t="n">
        <f aca="false">(1-$I$16)*(1-$J$16)*$D$16*$E$16/4*MIN(1,MAX(0,(N$5-$H$16+1)/$T$16))*IF(N$5=$H$16,DelivFactor,IF(AND(N$5&gt;$H$16,N$5&lt;$H$16+$F$16),1,IF(N$5=$H$16+$F$16,1-DelivFactor,0)))</f>
        <v>0</v>
      </c>
      <c r="O55" s="119" t="n">
        <f aca="false">(1-$I$16)*(1-$J$16)*$D$16*$E$16/4*MIN(1,MAX(0,(O$5-$H$16+1)/$T$16))*IF(O$5=$H$16,DelivFactor,IF(AND(O$5&gt;$H$16,O$5&lt;$H$16+$F$16),1,IF(O$5=$H$16+$F$16,1-DelivFactor,0)))</f>
        <v>0</v>
      </c>
      <c r="P55" s="120" t="n">
        <f aca="false">(1-$I$16)*(1-$J$16)*$D$16*$E$16/4*MIN(1,MAX(0,(P$5-$H$16+1)/$T$16))*IF(P$5=$H$16,DelivFactor,IF(AND(P$5&gt;$H$16,P$5&lt;$H$16+$F$16),1,IF(P$5=$H$16+$F$16,1-DelivFactor,0)))</f>
        <v>0</v>
      </c>
      <c r="Q55" s="120" t="n">
        <f aca="false">(1-$I$16)*(1-$J$16)*$D$16*$E$16/4*MIN(1,MAX(0,(Q$5-$H$16+1)/$T$16))*IF(Q$5=$H$16,DelivFactor,IF(AND(Q$5&gt;$H$16,Q$5&lt;$H$16+$F$16),1,IF(Q$5=$H$16+$F$16,1-DelivFactor,0)))</f>
        <v>0</v>
      </c>
      <c r="R55" s="120" t="n">
        <f aca="false">(1-$I$16)*(1-$J$16)*$D$16*$E$16/4*MIN(1,MAX(0,(R$5-$H$16+1)/$T$16))*IF(R$5=$H$16,DelivFactor,IF(AND(R$5&gt;$H$16,R$5&lt;$H$16+$F$16),1,IF(R$5=$H$16+$F$16,1-DelivFactor,0)))</f>
        <v>0</v>
      </c>
      <c r="S55" s="120" t="n">
        <f aca="false">(1-$I$16)*(1-$J$16)*$D$16*$E$16/4*MIN(1,MAX(0,(S$5-$H$16+1)/$T$16))*IF(S$5=$H$16,DelivFactor,IF(AND(S$5&gt;$H$16,S$5&lt;$H$16+$F$16),1,IF(S$5=$H$16+$F$16,1-DelivFactor,0)))</f>
        <v>12.0784027777778</v>
      </c>
      <c r="T55" s="120" t="n">
        <f aca="false">(1-$I$16)*(1-$J$16)*$D$16*$E$16/4*MIN(1,MAX(0,(T$5-$H$16+1)/$T$16))*IF(T$5=$H$16,DelivFactor,IF(AND(T$5&gt;$H$16,T$5&lt;$H$16+$F$16),1,IF(T$5=$H$16+$F$16,1-DelivFactor,0)))</f>
        <v>48.3136111111111</v>
      </c>
      <c r="U55" s="120" t="n">
        <f aca="false">(1-$I$16)*(1-$J$16)*$D$16*$E$16/4*MIN(1,MAX(0,(U$5-$H$16+1)/$T$16))*IF(U$5=$H$16,DelivFactor,IF(AND(U$5&gt;$H$16,U$5&lt;$H$16+$F$16),1,IF(U$5=$H$16+$F$16,1-DelivFactor,0)))</f>
        <v>72.4704166666667</v>
      </c>
      <c r="V55" s="120" t="n">
        <f aca="false">(1-$I$16)*(1-$J$16)*$D$16*$E$16/4*MIN(1,MAX(0,(V$5-$H$16+1)/$T$16))*IF(V$5=$H$16,DelivFactor,IF(AND(V$5&gt;$H$16,V$5&lt;$H$16+$F$16),1,IF(V$5=$H$16+$F$16,1-DelivFactor,0)))</f>
        <v>96.6272222222222</v>
      </c>
      <c r="W55" s="120" t="n">
        <f aca="false">(1-$I$16)*(1-$J$16)*$D$16*$E$16/4*MIN(1,MAX(0,(W$5-$H$16+1)/$T$16))*IF(W$5=$H$16,DelivFactor,IF(AND(W$5&gt;$H$16,W$5&lt;$H$16+$F$16),1,IF(W$5=$H$16+$F$16,1-DelivFactor,0)))</f>
        <v>96.6272222222222</v>
      </c>
      <c r="X55" s="120" t="n">
        <f aca="false">(1-$I$16)*(1-$J$16)*$D$16*$E$16/4*MIN(1,MAX(0,(X$5-$H$16+1)/$T$16))*IF(X$5=$H$16,DelivFactor,IF(AND(X$5&gt;$H$16,X$5&lt;$H$16+$F$16),1,IF(X$5=$H$16+$F$16,1-DelivFactor,0)))</f>
        <v>96.6272222222222</v>
      </c>
      <c r="Y55" s="120" t="n">
        <f aca="false">(1-$I$16)*(1-$J$16)*$D$16*$E$16/4*MIN(1,MAX(0,(Y$5-$H$16+1)/$T$16))*IF(Y$5=$H$16,DelivFactor,IF(AND(Y$5&gt;$H$16,Y$5&lt;$H$16+$F$16),1,IF(Y$5=$H$16+$F$16,1-DelivFactor,0)))</f>
        <v>96.6272222222222</v>
      </c>
      <c r="Z55" s="120" t="n">
        <f aca="false">(1-$I$16)*(1-$J$16)*$D$16*$E$16/4*MIN(1,MAX(0,(Z$5-$H$16+1)/$T$16))*IF(Z$5=$H$16,DelivFactor,IF(AND(Z$5&gt;$H$16,Z$5&lt;$H$16+$F$16),1,IF(Z$5=$H$16+$F$16,1-DelivFactor,0)))</f>
        <v>96.6272222222222</v>
      </c>
      <c r="AA55" s="120" t="n">
        <f aca="false">(1-$I$16)*(1-$J$16)*$D$16*$E$16/4*MIN(1,MAX(0,(AA$5-$H$16+1)/$T$16))*IF(AA$5=$H$16,DelivFactor,IF(AND(AA$5&gt;$H$16,AA$5&lt;$H$16+$F$16),1,IF(AA$5=$H$16+$F$16,1-DelivFactor,0)))</f>
        <v>96.6272222222222</v>
      </c>
      <c r="AB55" s="120" t="n">
        <f aca="false">(1-$I$16)*(1-$J$16)*$D$16*$E$16/4*MIN(1,MAX(0,(AB$5-$H$16+1)/$T$16))*IF(AB$5=$H$16,DelivFactor,IF(AND(AB$5&gt;$H$16,AB$5&lt;$H$16+$F$16),1,IF(AB$5=$H$16+$F$16,1-DelivFactor,0)))</f>
        <v>96.6272222222222</v>
      </c>
      <c r="AC55" s="120" t="n">
        <f aca="false">(1-$I$16)*(1-$J$16)*$D$16*$E$16/4*MIN(1,MAX(0,(AC$5-$H$16+1)/$T$16))*IF(AC$5=$H$16,DelivFactor,IF(AND(AC$5&gt;$H$16,AC$5&lt;$H$16+$F$16),1,IF(AC$5=$H$16+$F$16,1-DelivFactor,0)))</f>
        <v>96.6272222222222</v>
      </c>
      <c r="AD55" s="120" t="n">
        <f aca="false">(1-$I$16)*(1-$J$16)*$D$16*$E$16/4*MIN(1,MAX(0,(AD$5-$H$16+1)/$T$16))*IF(AD$5=$H$16,DelivFactor,IF(AND(AD$5&gt;$H$16,AD$5&lt;$H$16+$F$16),1,IF(AD$5=$H$16+$F$16,1-DelivFactor,0)))</f>
        <v>96.6272222222222</v>
      </c>
      <c r="AE55" s="120" t="n">
        <f aca="false">(1-$I$16)*(1-$J$16)*$D$16*$E$16/4*MIN(1,MAX(0,(AE$5-$H$16+1)/$T$16))*IF(AE$5=$H$16,DelivFactor,IF(AND(AE$5&gt;$H$16,AE$5&lt;$H$16+$F$16),1,IF(AE$5=$H$16+$F$16,1-DelivFactor,0)))</f>
        <v>96.6272222222222</v>
      </c>
      <c r="AF55" s="120" t="n">
        <f aca="false">(1-$I$16)*(1-$J$16)*$D$16*$E$16/4*MIN(1,MAX(0,(AF$5-$H$16+1)/$T$16))*IF(AF$5=$H$16,DelivFactor,IF(AND(AF$5&gt;$H$16,AF$5&lt;$H$16+$F$16),1,IF(AF$5=$H$16+$F$16,1-DelivFactor,0)))</f>
        <v>96.6272222222222</v>
      </c>
      <c r="AG55" s="120" t="n">
        <f aca="false">(1-$I$16)*(1-$J$16)*$D$16*$E$16/4*MIN(1,MAX(0,(AG$5-$H$16+1)/$T$16))*IF(AG$5=$H$16,DelivFactor,IF(AND(AG$5&gt;$H$16,AG$5&lt;$H$16+$F$16),1,IF(AG$5=$H$16+$F$16,1-DelivFactor,0)))</f>
        <v>96.6272222222222</v>
      </c>
      <c r="AI55" s="120" t="n">
        <f aca="false">SUMIF($F$7:$AG$7,AI$7,$F55:$AG55)</f>
        <v>0</v>
      </c>
      <c r="AJ55" s="120" t="n">
        <f aca="false">SUMIF($F$7:$AG$7,AJ$7,$F55:$AG55)</f>
        <v>0</v>
      </c>
      <c r="AK55" s="120" t="n">
        <f aca="false">SUMIF($F$7:$AG$7,AK$7,$F55:$AG55)</f>
        <v>0</v>
      </c>
      <c r="AL55" s="120" t="n">
        <f aca="false">SUMIF($F$7:$AG$7,AL$7,$F55:$AG55)</f>
        <v>132.862430555556</v>
      </c>
      <c r="AM55" s="120" t="n">
        <f aca="false">SUMIF($F$7:$AG$7,AM$7,$F55:$AG55)</f>
        <v>386.508888888889</v>
      </c>
      <c r="AN55" s="120" t="n">
        <f aca="false">SUMIF($F$7:$AG$7,AN$7,$F55:$AG55)</f>
        <v>386.508888888889</v>
      </c>
      <c r="AO55" s="120" t="n">
        <f aca="false">SUMIF($F$7:$AG$7,AO$7,$F55:$AG55)</f>
        <v>386.508888888889</v>
      </c>
    </row>
    <row r="56" customFormat="false" ht="15" hidden="false" customHeight="false" outlineLevel="0" collapsed="false">
      <c r="A56" s="101" t="s">
        <v>1387</v>
      </c>
      <c r="B56" s="18" t="s">
        <v>415</v>
      </c>
      <c r="C56" s="18"/>
      <c r="D56" s="18"/>
      <c r="F56" s="110" t="n">
        <f aca="false">(1-$I$16)*(1-$J$16)*$D$16*AND(F$5&gt;=$H$16,F$5&lt;$H$16+$F$16)</f>
        <v>0</v>
      </c>
      <c r="G56" s="110" t="n">
        <f aca="false">(1-$I$16)*(1-$J$16)*$D$16*AND(G$5&gt;=$H$16,G$5&lt;$H$16+$F$16)</f>
        <v>0</v>
      </c>
      <c r="H56" s="110" t="n">
        <f aca="false">(1-$I$16)*(1-$J$16)*$D$16*AND(H$5&gt;=$H$16,H$5&lt;$H$16+$F$16)</f>
        <v>0</v>
      </c>
      <c r="I56" s="110" t="n">
        <f aca="false">(1-$I$16)*(1-$J$16)*$D$16*AND(I$5&gt;=$H$16,I$5&lt;$H$16+$F$16)</f>
        <v>0</v>
      </c>
      <c r="J56" s="110" t="n">
        <f aca="false">(1-$I$16)*(1-$J$16)*$D$16*AND(J$5&gt;=$H$16,J$5&lt;$H$16+$F$16)</f>
        <v>0</v>
      </c>
      <c r="K56" s="110" t="n">
        <f aca="false">(1-$I$16)*(1-$J$16)*$D$16*AND(K$5&gt;=$H$16,K$5&lt;$H$16+$F$16)</f>
        <v>0</v>
      </c>
      <c r="L56" s="110" t="n">
        <f aca="false">(1-$I$16)*(1-$J$16)*$D$16*AND(L$5&gt;=$H$16,L$5&lt;$H$16+$F$16)</f>
        <v>0</v>
      </c>
      <c r="M56" s="110" t="n">
        <f aca="false">(1-$I$16)*(1-$J$16)*$D$16*AND(M$5&gt;=$H$16,M$5&lt;$H$16+$F$16)</f>
        <v>0</v>
      </c>
      <c r="N56" s="110" t="n">
        <f aca="false">(1-$I$16)*(1-$J$16)*$D$16*AND(N$5&gt;=$H$16,N$5&lt;$H$16+$F$16)</f>
        <v>0</v>
      </c>
      <c r="O56" s="110" t="n">
        <f aca="false">(1-$I$16)*(1-$J$16)*$D$16*AND(O$5&gt;=$H$16,O$5&lt;$H$16+$F$16)</f>
        <v>0</v>
      </c>
      <c r="P56" s="21" t="n">
        <f aca="false">(1-$I$16)*(1-$J$16)*$D$16*AND(P$5&gt;=$H$16,P$5&lt;$H$16+$F$16)</f>
        <v>0</v>
      </c>
      <c r="Q56" s="21" t="n">
        <f aca="false">(1-$I$16)*(1-$J$16)*$D$16*AND(Q$5&gt;=$H$16,Q$5&lt;$H$16+$F$16)</f>
        <v>0</v>
      </c>
      <c r="R56" s="21" t="n">
        <f aca="false">(1-$I$16)*(1-$J$16)*$D$16*AND(R$5&gt;=$H$16,R$5&lt;$H$16+$F$16)</f>
        <v>0</v>
      </c>
      <c r="S56" s="21" t="n">
        <f aca="false">(1-$I$16)*(1-$J$16)*$D$16*AND(S$5&gt;=$H$16,S$5&lt;$H$16+$F$16)</f>
        <v>26.6666666666667</v>
      </c>
      <c r="T56" s="21" t="n">
        <f aca="false">(1-$I$16)*(1-$J$16)*$D$16*AND(T$5&gt;=$H$16,T$5&lt;$H$16+$F$16)</f>
        <v>26.6666666666667</v>
      </c>
      <c r="U56" s="21" t="n">
        <f aca="false">(1-$I$16)*(1-$J$16)*$D$16*AND(U$5&gt;=$H$16,U$5&lt;$H$16+$F$16)</f>
        <v>26.6666666666667</v>
      </c>
      <c r="V56" s="21" t="n">
        <f aca="false">(1-$I$16)*(1-$J$16)*$D$16*AND(V$5&gt;=$H$16,V$5&lt;$H$16+$F$16)</f>
        <v>26.6666666666667</v>
      </c>
      <c r="W56" s="21" t="n">
        <f aca="false">(1-$I$16)*(1-$J$16)*$D$16*AND(W$5&gt;=$H$16,W$5&lt;$H$16+$F$16)</f>
        <v>26.6666666666667</v>
      </c>
      <c r="X56" s="21" t="n">
        <f aca="false">(1-$I$16)*(1-$J$16)*$D$16*AND(X$5&gt;=$H$16,X$5&lt;$H$16+$F$16)</f>
        <v>26.6666666666667</v>
      </c>
      <c r="Y56" s="21" t="n">
        <f aca="false">(1-$I$16)*(1-$J$16)*$D$16*AND(Y$5&gt;=$H$16,Y$5&lt;$H$16+$F$16)</f>
        <v>26.6666666666667</v>
      </c>
      <c r="Z56" s="21" t="n">
        <f aca="false">(1-$I$16)*(1-$J$16)*$D$16*AND(Z$5&gt;=$H$16,Z$5&lt;$H$16+$F$16)</f>
        <v>26.6666666666667</v>
      </c>
      <c r="AA56" s="21" t="n">
        <f aca="false">(1-$I$16)*(1-$J$16)*$D$16*AND(AA$5&gt;=$H$16,AA$5&lt;$H$16+$F$16)</f>
        <v>26.6666666666667</v>
      </c>
      <c r="AB56" s="21" t="n">
        <f aca="false">(1-$I$16)*(1-$J$16)*$D$16*AND(AB$5&gt;=$H$16,AB$5&lt;$H$16+$F$16)</f>
        <v>26.6666666666667</v>
      </c>
      <c r="AC56" s="21" t="n">
        <f aca="false">(1-$I$16)*(1-$J$16)*$D$16*AND(AC$5&gt;=$H$16,AC$5&lt;$H$16+$F$16)</f>
        <v>26.6666666666667</v>
      </c>
      <c r="AD56" s="21" t="n">
        <f aca="false">(1-$I$16)*(1-$J$16)*$D$16*AND(AD$5&gt;=$H$16,AD$5&lt;$H$16+$F$16)</f>
        <v>26.6666666666667</v>
      </c>
      <c r="AE56" s="21" t="n">
        <f aca="false">(1-$I$16)*(1-$J$16)*$D$16*AND(AE$5&gt;=$H$16,AE$5&lt;$H$16+$F$16)</f>
        <v>26.6666666666667</v>
      </c>
      <c r="AF56" s="21" t="n">
        <f aca="false">(1-$I$16)*(1-$J$16)*$D$16*AND(AF$5&gt;=$H$16,AF$5&lt;$H$16+$F$16)</f>
        <v>26.6666666666667</v>
      </c>
      <c r="AG56" s="21" t="n">
        <f aca="false">(1-$I$16)*(1-$J$16)*$D$16*AND(AG$5&gt;=$H$16,AG$5&lt;$H$16+$F$16)</f>
        <v>26.6666666666667</v>
      </c>
      <c r="AI56" s="21" t="n">
        <f aca="false">INDEX($F56:$AG56,1,MATCH(AI$7,$F$7:$AG$7,1))</f>
        <v>0</v>
      </c>
      <c r="AJ56" s="21" t="n">
        <f aca="false">INDEX($F56:$AG56,1,MATCH(AJ$7,$F$7:$AG$7,1))</f>
        <v>0</v>
      </c>
      <c r="AK56" s="21" t="n">
        <f aca="false">INDEX($F56:$AG56,1,MATCH(AK$7,$F$7:$AG$7,1))</f>
        <v>0</v>
      </c>
      <c r="AL56" s="21" t="n">
        <f aca="false">INDEX($F56:$AG56,1,MATCH(AL$7,$F$7:$AG$7,1))</f>
        <v>26.6666666666667</v>
      </c>
      <c r="AM56" s="21" t="n">
        <f aca="false">INDEX($F56:$AG56,1,MATCH(AM$7,$F$7:$AG$7,1))</f>
        <v>26.6666666666667</v>
      </c>
      <c r="AN56" s="21" t="n">
        <f aca="false">INDEX($F56:$AG56,1,MATCH(AN$7,$F$7:$AG$7,1))</f>
        <v>26.6666666666667</v>
      </c>
      <c r="AO56" s="21" t="n">
        <f aca="false">INDEX($F56:$AG56,1,MATCH(AO$7,$F$7:$AG$7,1))</f>
        <v>26.6666666666667</v>
      </c>
    </row>
    <row r="57" customFormat="false" ht="15" hidden="false" customHeight="false" outlineLevel="0" collapsed="false">
      <c r="A57" s="101" t="s">
        <v>1388</v>
      </c>
      <c r="B57" s="18" t="s">
        <v>400</v>
      </c>
      <c r="C57" s="18"/>
      <c r="D57" s="18"/>
      <c r="F57" s="119" t="n">
        <f aca="false">-(1-$I$16)*LD_Pct*$D$16*$E$16/4*AND(F$5&gt;=$G$16,F$5&lt;$H$16)</f>
        <v>-0</v>
      </c>
      <c r="G57" s="119" t="n">
        <f aca="false">-(1-$I$16)*LD_Pct*$D$16*$E$16/4*AND(G$5&gt;=$G$16,G$5&lt;$H$16)</f>
        <v>-0</v>
      </c>
      <c r="H57" s="119" t="n">
        <f aca="false">-(1-$I$16)*LD_Pct*$D$16*$E$16/4*AND(H$5&gt;=$G$16,H$5&lt;$H$16)</f>
        <v>-0</v>
      </c>
      <c r="I57" s="119" t="n">
        <f aca="false">-(1-$I$16)*LD_Pct*$D$16*$E$16/4*AND(I$5&gt;=$G$16,I$5&lt;$H$16)</f>
        <v>-0</v>
      </c>
      <c r="J57" s="119" t="n">
        <f aca="false">-(1-$I$16)*LD_Pct*$D$16*$E$16/4*AND(J$5&gt;=$G$16,J$5&lt;$H$16)</f>
        <v>-0</v>
      </c>
      <c r="K57" s="119" t="n">
        <f aca="false">-(1-$I$16)*LD_Pct*$D$16*$E$16/4*AND(K$5&gt;=$G$16,K$5&lt;$H$16)</f>
        <v>-0</v>
      </c>
      <c r="L57" s="119" t="n">
        <f aca="false">-(1-$I$16)*LD_Pct*$D$16*$E$16/4*AND(L$5&gt;=$G$16,L$5&lt;$H$16)</f>
        <v>-0</v>
      </c>
      <c r="M57" s="119" t="n">
        <f aca="false">-(1-$I$16)*LD_Pct*$D$16*$E$16/4*AND(M$5&gt;=$G$16,M$5&lt;$H$16)</f>
        <v>-0</v>
      </c>
      <c r="N57" s="119" t="n">
        <f aca="false">-(1-$I$16)*LD_Pct*$D$16*$E$16/4*AND(N$5&gt;=$G$16,N$5&lt;$H$16)</f>
        <v>-0</v>
      </c>
      <c r="O57" s="119" t="n">
        <f aca="false">-(1-$I$16)*LD_Pct*$D$16*$E$16/4*AND(O$5&gt;=$G$16,O$5&lt;$H$16)</f>
        <v>-0</v>
      </c>
      <c r="P57" s="120" t="n">
        <f aca="false">-(1-$I$16)*LD_Pct*$D$16*$E$16/4*AND(P$5&gt;=$G$16,P$5&lt;$H$16)</f>
        <v>-0</v>
      </c>
      <c r="Q57" s="120" t="n">
        <f aca="false">-(1-$I$16)*LD_Pct*$D$16*$E$16/4*AND(Q$5&gt;=$G$16,Q$5&lt;$H$16)</f>
        <v>-0</v>
      </c>
      <c r="R57" s="120" t="n">
        <f aca="false">-(1-$I$16)*LD_Pct*$D$16*$E$16/4*AND(R$5&gt;=$G$16,R$5&lt;$H$16)</f>
        <v>-0</v>
      </c>
      <c r="S57" s="120" t="n">
        <f aca="false">-(1-$I$16)*LD_Pct*$D$16*$E$16/4*AND(S$5&gt;=$G$16,S$5&lt;$H$16)</f>
        <v>-0</v>
      </c>
      <c r="T57" s="120" t="n">
        <f aca="false">-(1-$I$16)*LD_Pct*$D$16*$E$16/4*AND(T$5&gt;=$G$16,T$5&lt;$H$16)</f>
        <v>-0</v>
      </c>
      <c r="U57" s="120" t="n">
        <f aca="false">-(1-$I$16)*LD_Pct*$D$16*$E$16/4*AND(U$5&gt;=$G$16,U$5&lt;$H$16)</f>
        <v>-0</v>
      </c>
      <c r="V57" s="120" t="n">
        <f aca="false">-(1-$I$16)*LD_Pct*$D$16*$E$16/4*AND(V$5&gt;=$G$16,V$5&lt;$H$16)</f>
        <v>-0</v>
      </c>
      <c r="W57" s="120" t="n">
        <f aca="false">-(1-$I$16)*LD_Pct*$D$16*$E$16/4*AND(W$5&gt;=$G$16,W$5&lt;$H$16)</f>
        <v>-0</v>
      </c>
      <c r="X57" s="120" t="n">
        <f aca="false">-(1-$I$16)*LD_Pct*$D$16*$E$16/4*AND(X$5&gt;=$G$16,X$5&lt;$H$16)</f>
        <v>-0</v>
      </c>
      <c r="Y57" s="120" t="n">
        <f aca="false">-(1-$I$16)*LD_Pct*$D$16*$E$16/4*AND(Y$5&gt;=$G$16,Y$5&lt;$H$16)</f>
        <v>-0</v>
      </c>
      <c r="Z57" s="120" t="n">
        <f aca="false">-(1-$I$16)*LD_Pct*$D$16*$E$16/4*AND(Z$5&gt;=$G$16,Z$5&lt;$H$16)</f>
        <v>-0</v>
      </c>
      <c r="AA57" s="120" t="n">
        <f aca="false">-(1-$I$16)*LD_Pct*$D$16*$E$16/4*AND(AA$5&gt;=$G$16,AA$5&lt;$H$16)</f>
        <v>-0</v>
      </c>
      <c r="AB57" s="120" t="n">
        <f aca="false">-(1-$I$16)*LD_Pct*$D$16*$E$16/4*AND(AB$5&gt;=$G$16,AB$5&lt;$H$16)</f>
        <v>-0</v>
      </c>
      <c r="AC57" s="120" t="n">
        <f aca="false">-(1-$I$16)*LD_Pct*$D$16*$E$16/4*AND(AC$5&gt;=$G$16,AC$5&lt;$H$16)</f>
        <v>-0</v>
      </c>
      <c r="AD57" s="120" t="n">
        <f aca="false">-(1-$I$16)*LD_Pct*$D$16*$E$16/4*AND(AD$5&gt;=$G$16,AD$5&lt;$H$16)</f>
        <v>-0</v>
      </c>
      <c r="AE57" s="120" t="n">
        <f aca="false">-(1-$I$16)*LD_Pct*$D$16*$E$16/4*AND(AE$5&gt;=$G$16,AE$5&lt;$H$16)</f>
        <v>-0</v>
      </c>
      <c r="AF57" s="120" t="n">
        <f aca="false">-(1-$I$16)*LD_Pct*$D$16*$E$16/4*AND(AF$5&gt;=$G$16,AF$5&lt;$H$16)</f>
        <v>-0</v>
      </c>
      <c r="AG57" s="120" t="n">
        <f aca="false">-(1-$I$16)*LD_Pct*$D$16*$E$16/4*AND(AG$5&gt;=$G$16,AG$5&lt;$H$16)</f>
        <v>-0</v>
      </c>
      <c r="AI57" s="120" t="n">
        <f aca="false">SUMIF($F$7:$AG$7,AI$7,$F57:$AG57)</f>
        <v>0</v>
      </c>
      <c r="AJ57" s="120" t="n">
        <f aca="false">SUMIF($F$7:$AG$7,AJ$7,$F57:$AG57)</f>
        <v>0</v>
      </c>
      <c r="AK57" s="120" t="n">
        <f aca="false">SUMIF($F$7:$AG$7,AK$7,$F57:$AG57)</f>
        <v>0</v>
      </c>
      <c r="AL57" s="120" t="n">
        <f aca="false">SUMIF($F$7:$AG$7,AL$7,$F57:$AG57)</f>
        <v>0</v>
      </c>
      <c r="AM57" s="120" t="n">
        <f aca="false">SUMIF($F$7:$AG$7,AM$7,$F57:$AG57)</f>
        <v>0</v>
      </c>
      <c r="AN57" s="120" t="n">
        <f aca="false">SUMIF($F$7:$AG$7,AN$7,$F57:$AG57)</f>
        <v>0</v>
      </c>
      <c r="AO57" s="120" t="n">
        <f aca="false">SUMIF($F$7:$AG$7,AO$7,$F57:$AG57)</f>
        <v>0</v>
      </c>
    </row>
    <row r="58" customFormat="false" ht="15" hidden="false" customHeight="false" outlineLevel="0" collapsed="false">
      <c r="A58" s="101" t="s">
        <v>1389</v>
      </c>
      <c r="B58" s="18" t="s">
        <v>415</v>
      </c>
      <c r="C58" s="18"/>
      <c r="D58" s="18"/>
      <c r="F58" s="110" t="n">
        <f aca="false">(1-$I$16)*(1-$J$16)*$D$16*(F$5&gt;=$H$16+$F$16)</f>
        <v>0</v>
      </c>
      <c r="G58" s="110" t="n">
        <f aca="false">(1-$I$16)*(1-$J$16)*$D$16*(G$5&gt;=$H$16+$F$16)</f>
        <v>0</v>
      </c>
      <c r="H58" s="110" t="n">
        <f aca="false">(1-$I$16)*(1-$J$16)*$D$16*(H$5&gt;=$H$16+$F$16)</f>
        <v>0</v>
      </c>
      <c r="I58" s="110" t="n">
        <f aca="false">(1-$I$16)*(1-$J$16)*$D$16*(I$5&gt;=$H$16+$F$16)</f>
        <v>0</v>
      </c>
      <c r="J58" s="110" t="n">
        <f aca="false">(1-$I$16)*(1-$J$16)*$D$16*(J$5&gt;=$H$16+$F$16)</f>
        <v>0</v>
      </c>
      <c r="K58" s="110" t="n">
        <f aca="false">(1-$I$16)*(1-$J$16)*$D$16*(K$5&gt;=$H$16+$F$16)</f>
        <v>0</v>
      </c>
      <c r="L58" s="110" t="n">
        <f aca="false">(1-$I$16)*(1-$J$16)*$D$16*(L$5&gt;=$H$16+$F$16)</f>
        <v>0</v>
      </c>
      <c r="M58" s="110" t="n">
        <f aca="false">(1-$I$16)*(1-$J$16)*$D$16*(M$5&gt;=$H$16+$F$16)</f>
        <v>0</v>
      </c>
      <c r="N58" s="110" t="n">
        <f aca="false">(1-$I$16)*(1-$J$16)*$D$16*(N$5&gt;=$H$16+$F$16)</f>
        <v>0</v>
      </c>
      <c r="O58" s="110" t="n">
        <f aca="false">(1-$I$16)*(1-$J$16)*$D$16*(O$5&gt;=$H$16+$F$16)</f>
        <v>0</v>
      </c>
      <c r="P58" s="21" t="n">
        <f aca="false">(1-$I$16)*(1-$J$16)*$D$16*(P$5&gt;=$H$16+$F$16)</f>
        <v>0</v>
      </c>
      <c r="Q58" s="21" t="n">
        <f aca="false">(1-$I$16)*(1-$J$16)*$D$16*(Q$5&gt;=$H$16+$F$16)</f>
        <v>0</v>
      </c>
      <c r="R58" s="21" t="n">
        <f aca="false">(1-$I$16)*(1-$J$16)*$D$16*(R$5&gt;=$H$16+$F$16)</f>
        <v>0</v>
      </c>
      <c r="S58" s="21" t="n">
        <f aca="false">(1-$I$16)*(1-$J$16)*$D$16*(S$5&gt;=$H$16+$F$16)</f>
        <v>0</v>
      </c>
      <c r="T58" s="21" t="n">
        <f aca="false">(1-$I$16)*(1-$J$16)*$D$16*(T$5&gt;=$H$16+$F$16)</f>
        <v>0</v>
      </c>
      <c r="U58" s="21" t="n">
        <f aca="false">(1-$I$16)*(1-$J$16)*$D$16*(U$5&gt;=$H$16+$F$16)</f>
        <v>0</v>
      </c>
      <c r="V58" s="21" t="n">
        <f aca="false">(1-$I$16)*(1-$J$16)*$D$16*(V$5&gt;=$H$16+$F$16)</f>
        <v>0</v>
      </c>
      <c r="W58" s="21" t="n">
        <f aca="false">(1-$I$16)*(1-$J$16)*$D$16*(W$5&gt;=$H$16+$F$16)</f>
        <v>0</v>
      </c>
      <c r="X58" s="21" t="n">
        <f aca="false">(1-$I$16)*(1-$J$16)*$D$16*(X$5&gt;=$H$16+$F$16)</f>
        <v>0</v>
      </c>
      <c r="Y58" s="21" t="n">
        <f aca="false">(1-$I$16)*(1-$J$16)*$D$16*(Y$5&gt;=$H$16+$F$16)</f>
        <v>0</v>
      </c>
      <c r="Z58" s="21" t="n">
        <f aca="false">(1-$I$16)*(1-$J$16)*$D$16*(Z$5&gt;=$H$16+$F$16)</f>
        <v>0</v>
      </c>
      <c r="AA58" s="21" t="n">
        <f aca="false">(1-$I$16)*(1-$J$16)*$D$16*(AA$5&gt;=$H$16+$F$16)</f>
        <v>0</v>
      </c>
      <c r="AB58" s="21" t="n">
        <f aca="false">(1-$I$16)*(1-$J$16)*$D$16*(AB$5&gt;=$H$16+$F$16)</f>
        <v>0</v>
      </c>
      <c r="AC58" s="21" t="n">
        <f aca="false">(1-$I$16)*(1-$J$16)*$D$16*(AC$5&gt;=$H$16+$F$16)</f>
        <v>0</v>
      </c>
      <c r="AD58" s="21" t="n">
        <f aca="false">(1-$I$16)*(1-$J$16)*$D$16*(AD$5&gt;=$H$16+$F$16)</f>
        <v>0</v>
      </c>
      <c r="AE58" s="21" t="n">
        <f aca="false">(1-$I$16)*(1-$J$16)*$D$16*(AE$5&gt;=$H$16+$F$16)</f>
        <v>0</v>
      </c>
      <c r="AF58" s="21" t="n">
        <f aca="false">(1-$I$16)*(1-$J$16)*$D$16*(AF$5&gt;=$H$16+$F$16)</f>
        <v>0</v>
      </c>
      <c r="AG58" s="21" t="n">
        <f aca="false">(1-$I$16)*(1-$J$16)*$D$16*(AG$5&gt;=$H$16+$F$16)</f>
        <v>0</v>
      </c>
      <c r="AI58" s="21" t="n">
        <f aca="false">INDEX($F58:$AG58,1,MATCH(AI$7,$F$7:$AG$7,1))</f>
        <v>0</v>
      </c>
      <c r="AJ58" s="21" t="n">
        <f aca="false">INDEX($F58:$AG58,1,MATCH(AJ$7,$F$7:$AG$7,1))</f>
        <v>0</v>
      </c>
      <c r="AK58" s="21" t="n">
        <f aca="false">INDEX($F58:$AG58,1,MATCH(AK$7,$F$7:$AG$7,1))</f>
        <v>0</v>
      </c>
      <c r="AL58" s="21" t="n">
        <f aca="false">INDEX($F58:$AG58,1,MATCH(AL$7,$F$7:$AG$7,1))</f>
        <v>0</v>
      </c>
      <c r="AM58" s="21" t="n">
        <f aca="false">INDEX($F58:$AG58,1,MATCH(AM$7,$F$7:$AG$7,1))</f>
        <v>0</v>
      </c>
      <c r="AN58" s="21" t="n">
        <f aca="false">INDEX($F58:$AG58,1,MATCH(AN$7,$F$7:$AG$7,1))</f>
        <v>0</v>
      </c>
      <c r="AO58" s="21" t="n">
        <f aca="false">INDEX($F58:$AG58,1,MATCH(AO$7,$F$7:$AG$7,1))</f>
        <v>0</v>
      </c>
    </row>
    <row r="59" customFormat="false" ht="15" hidden="false" customHeight="false" outlineLevel="0" collapsed="false">
      <c r="A59" s="101" t="s">
        <v>1390</v>
      </c>
      <c r="B59" s="18" t="s">
        <v>400</v>
      </c>
      <c r="C59" s="18"/>
      <c r="D59" s="18" t="s">
        <v>1370</v>
      </c>
      <c r="F59" s="119" t="n">
        <f aca="false">F58*CHOOSE(MATCH($C$16,{"H";"B";"N"},0),GPUMW_H*ODc_H,GPUMW_B*ODc_B,GPUMW_N*ODc_N)*ResidUtil*Timeline!F$9*INDEX(Curve,1,MAX(1,MIN(8,INT((F$5-$H$16)/4)+1)))/1000000</f>
        <v>0</v>
      </c>
      <c r="G59" s="119" t="n">
        <f aca="false">G58*CHOOSE(MATCH($C$16,{"H";"B";"N"},0),GPUMW_H*ODc_H,GPUMW_B*ODc_B,GPUMW_N*ODc_N)*ResidUtil*Timeline!G$9*INDEX(Curve,1,MAX(1,MIN(8,INT((G$5-$H$16)/4)+1)))/1000000</f>
        <v>0</v>
      </c>
      <c r="H59" s="119" t="n">
        <f aca="false">H58*CHOOSE(MATCH($C$16,{"H";"B";"N"},0),GPUMW_H*ODc_H,GPUMW_B*ODc_B,GPUMW_N*ODc_N)*ResidUtil*Timeline!H$9*INDEX(Curve,1,MAX(1,MIN(8,INT((H$5-$H$16)/4)+1)))/1000000</f>
        <v>0</v>
      </c>
      <c r="I59" s="119" t="n">
        <f aca="false">I58*CHOOSE(MATCH($C$16,{"H";"B";"N"},0),GPUMW_H*ODc_H,GPUMW_B*ODc_B,GPUMW_N*ODc_N)*ResidUtil*Timeline!I$9*INDEX(Curve,1,MAX(1,MIN(8,INT((I$5-$H$16)/4)+1)))/1000000</f>
        <v>0</v>
      </c>
      <c r="J59" s="119" t="n">
        <f aca="false">J58*CHOOSE(MATCH($C$16,{"H";"B";"N"},0),GPUMW_H*ODc_H,GPUMW_B*ODc_B,GPUMW_N*ODc_N)*ResidUtil*Timeline!J$9*INDEX(Curve,1,MAX(1,MIN(8,INT((J$5-$H$16)/4)+1)))/1000000</f>
        <v>0</v>
      </c>
      <c r="K59" s="119" t="n">
        <f aca="false">K58*CHOOSE(MATCH($C$16,{"H";"B";"N"},0),GPUMW_H*ODc_H,GPUMW_B*ODc_B,GPUMW_N*ODc_N)*ResidUtil*Timeline!K$9*INDEX(Curve,1,MAX(1,MIN(8,INT((K$5-$H$16)/4)+1)))/1000000</f>
        <v>0</v>
      </c>
      <c r="L59" s="119" t="n">
        <f aca="false">L58*CHOOSE(MATCH($C$16,{"H";"B";"N"},0),GPUMW_H*ODc_H,GPUMW_B*ODc_B,GPUMW_N*ODc_N)*ResidUtil*Timeline!L$9*INDEX(Curve,1,MAX(1,MIN(8,INT((L$5-$H$16)/4)+1)))/1000000</f>
        <v>0</v>
      </c>
      <c r="M59" s="119" t="n">
        <f aca="false">M58*CHOOSE(MATCH($C$16,{"H";"B";"N"},0),GPUMW_H*ODc_H,GPUMW_B*ODc_B,GPUMW_N*ODc_N)*ResidUtil*Timeline!M$9*INDEX(Curve,1,MAX(1,MIN(8,INT((M$5-$H$16)/4)+1)))/1000000</f>
        <v>0</v>
      </c>
      <c r="N59" s="119" t="n">
        <f aca="false">N58*CHOOSE(MATCH($C$16,{"H";"B";"N"},0),GPUMW_H*ODc_H,GPUMW_B*ODc_B,GPUMW_N*ODc_N)*ResidUtil*Timeline!N$9*INDEX(Curve,1,MAX(1,MIN(8,INT((N$5-$H$16)/4)+1)))/1000000</f>
        <v>0</v>
      </c>
      <c r="O59" s="119" t="n">
        <f aca="false">O58*CHOOSE(MATCH($C$16,{"H";"B";"N"},0),GPUMW_H*ODc_H,GPUMW_B*ODc_B,GPUMW_N*ODc_N)*ResidUtil*Timeline!O$9*INDEX(Curve,1,MAX(1,MIN(8,INT((O$5-$H$16)/4)+1)))/1000000</f>
        <v>0</v>
      </c>
      <c r="P59" s="120" t="n">
        <f aca="false">P58*CHOOSE(MATCH($C$16,{"H";"B";"N"},0),GPUMW_H*ODc_H,GPUMW_B*ODc_B,GPUMW_N*ODc_N)*ResidUtil*Timeline!P$9*INDEX(Curve,1,MAX(1,MIN(8,INT((P$5-$H$16)/4)+1)))/1000000</f>
        <v>0</v>
      </c>
      <c r="Q59" s="120" t="n">
        <f aca="false">Q58*CHOOSE(MATCH($C$16,{"H";"B";"N"},0),GPUMW_H*ODc_H,GPUMW_B*ODc_B,GPUMW_N*ODc_N)*ResidUtil*Timeline!Q$9*INDEX(Curve,1,MAX(1,MIN(8,INT((Q$5-$H$16)/4)+1)))/1000000</f>
        <v>0</v>
      </c>
      <c r="R59" s="120" t="n">
        <f aca="false">R58*CHOOSE(MATCH($C$16,{"H";"B";"N"},0),GPUMW_H*ODc_H,GPUMW_B*ODc_B,GPUMW_N*ODc_N)*ResidUtil*Timeline!R$9*INDEX(Curve,1,MAX(1,MIN(8,INT((R$5-$H$16)/4)+1)))/1000000</f>
        <v>0</v>
      </c>
      <c r="S59" s="120" t="n">
        <f aca="false">S58*CHOOSE(MATCH($C$16,{"H";"B";"N"},0),GPUMW_H*ODc_H,GPUMW_B*ODc_B,GPUMW_N*ODc_N)*ResidUtil*Timeline!S$9*INDEX(Curve,1,MAX(1,MIN(8,INT((S$5-$H$16)/4)+1)))/1000000</f>
        <v>0</v>
      </c>
      <c r="T59" s="120" t="n">
        <f aca="false">T58*CHOOSE(MATCH($C$16,{"H";"B";"N"},0),GPUMW_H*ODc_H,GPUMW_B*ODc_B,GPUMW_N*ODc_N)*ResidUtil*Timeline!T$9*INDEX(Curve,1,MAX(1,MIN(8,INT((T$5-$H$16)/4)+1)))/1000000</f>
        <v>0</v>
      </c>
      <c r="U59" s="120" t="n">
        <f aca="false">U58*CHOOSE(MATCH($C$16,{"H";"B";"N"},0),GPUMW_H*ODc_H,GPUMW_B*ODc_B,GPUMW_N*ODc_N)*ResidUtil*Timeline!U$9*INDEX(Curve,1,MAX(1,MIN(8,INT((U$5-$H$16)/4)+1)))/1000000</f>
        <v>0</v>
      </c>
      <c r="V59" s="120" t="n">
        <f aca="false">V58*CHOOSE(MATCH($C$16,{"H";"B";"N"},0),GPUMW_H*ODc_H,GPUMW_B*ODc_B,GPUMW_N*ODc_N)*ResidUtil*Timeline!V$9*INDEX(Curve,1,MAX(1,MIN(8,INT((V$5-$H$16)/4)+1)))/1000000</f>
        <v>0</v>
      </c>
      <c r="W59" s="120" t="n">
        <f aca="false">W58*CHOOSE(MATCH($C$16,{"H";"B";"N"},0),GPUMW_H*ODc_H,GPUMW_B*ODc_B,GPUMW_N*ODc_N)*ResidUtil*Timeline!W$9*INDEX(Curve,1,MAX(1,MIN(8,INT((W$5-$H$16)/4)+1)))/1000000</f>
        <v>0</v>
      </c>
      <c r="X59" s="120" t="n">
        <f aca="false">X58*CHOOSE(MATCH($C$16,{"H";"B";"N"},0),GPUMW_H*ODc_H,GPUMW_B*ODc_B,GPUMW_N*ODc_N)*ResidUtil*Timeline!X$9*INDEX(Curve,1,MAX(1,MIN(8,INT((X$5-$H$16)/4)+1)))/1000000</f>
        <v>0</v>
      </c>
      <c r="Y59" s="120" t="n">
        <f aca="false">Y58*CHOOSE(MATCH($C$16,{"H";"B";"N"},0),GPUMW_H*ODc_H,GPUMW_B*ODc_B,GPUMW_N*ODc_N)*ResidUtil*Timeline!Y$9*INDEX(Curve,1,MAX(1,MIN(8,INT((Y$5-$H$16)/4)+1)))/1000000</f>
        <v>0</v>
      </c>
      <c r="Z59" s="120" t="n">
        <f aca="false">Z58*CHOOSE(MATCH($C$16,{"H";"B";"N"},0),GPUMW_H*ODc_H,GPUMW_B*ODc_B,GPUMW_N*ODc_N)*ResidUtil*Timeline!Z$9*INDEX(Curve,1,MAX(1,MIN(8,INT((Z$5-$H$16)/4)+1)))/1000000</f>
        <v>0</v>
      </c>
      <c r="AA59" s="120" t="n">
        <f aca="false">AA58*CHOOSE(MATCH($C$16,{"H";"B";"N"},0),GPUMW_H*ODc_H,GPUMW_B*ODc_B,GPUMW_N*ODc_N)*ResidUtil*Timeline!AA$9*INDEX(Curve,1,MAX(1,MIN(8,INT((AA$5-$H$16)/4)+1)))/1000000</f>
        <v>0</v>
      </c>
      <c r="AB59" s="120" t="n">
        <f aca="false">AB58*CHOOSE(MATCH($C$16,{"H";"B";"N"},0),GPUMW_H*ODc_H,GPUMW_B*ODc_B,GPUMW_N*ODc_N)*ResidUtil*Timeline!AB$9*INDEX(Curve,1,MAX(1,MIN(8,INT((AB$5-$H$16)/4)+1)))/1000000</f>
        <v>0</v>
      </c>
      <c r="AC59" s="120" t="n">
        <f aca="false">AC58*CHOOSE(MATCH($C$16,{"H";"B";"N"},0),GPUMW_H*ODc_H,GPUMW_B*ODc_B,GPUMW_N*ODc_N)*ResidUtil*Timeline!AC$9*INDEX(Curve,1,MAX(1,MIN(8,INT((AC$5-$H$16)/4)+1)))/1000000</f>
        <v>0</v>
      </c>
      <c r="AD59" s="120" t="n">
        <f aca="false">AD58*CHOOSE(MATCH($C$16,{"H";"B";"N"},0),GPUMW_H*ODc_H,GPUMW_B*ODc_B,GPUMW_N*ODc_N)*ResidUtil*Timeline!AD$9*INDEX(Curve,1,MAX(1,MIN(8,INT((AD$5-$H$16)/4)+1)))/1000000</f>
        <v>0</v>
      </c>
      <c r="AE59" s="120" t="n">
        <f aca="false">AE58*CHOOSE(MATCH($C$16,{"H";"B";"N"},0),GPUMW_H*ODc_H,GPUMW_B*ODc_B,GPUMW_N*ODc_N)*ResidUtil*Timeline!AE$9*INDEX(Curve,1,MAX(1,MIN(8,INT((AE$5-$H$16)/4)+1)))/1000000</f>
        <v>0</v>
      </c>
      <c r="AF59" s="120" t="n">
        <f aca="false">AF58*CHOOSE(MATCH($C$16,{"H";"B";"N"},0),GPUMW_H*ODc_H,GPUMW_B*ODc_B,GPUMW_N*ODc_N)*ResidUtil*Timeline!AF$9*INDEX(Curve,1,MAX(1,MIN(8,INT((AF$5-$H$16)/4)+1)))/1000000</f>
        <v>0</v>
      </c>
      <c r="AG59" s="120" t="n">
        <f aca="false">AG58*CHOOSE(MATCH($C$16,{"H";"B";"N"},0),GPUMW_H*ODc_H,GPUMW_B*ODc_B,GPUMW_N*ODc_N)*ResidUtil*Timeline!AG$9*INDEX(Curve,1,MAX(1,MIN(8,INT((AG$5-$H$16)/4)+1)))/1000000</f>
        <v>0</v>
      </c>
      <c r="AI59" s="120" t="n">
        <f aca="false">SUMIF($F$7:$AG$7,AI$7,$F59:$AG59)</f>
        <v>0</v>
      </c>
      <c r="AJ59" s="120" t="n">
        <f aca="false">SUMIF($F$7:$AG$7,AJ$7,$F59:$AG59)</f>
        <v>0</v>
      </c>
      <c r="AK59" s="120" t="n">
        <f aca="false">SUMIF($F$7:$AG$7,AK$7,$F59:$AG59)</f>
        <v>0</v>
      </c>
      <c r="AL59" s="120" t="n">
        <f aca="false">SUMIF($F$7:$AG$7,AL$7,$F59:$AG59)</f>
        <v>0</v>
      </c>
      <c r="AM59" s="120" t="n">
        <f aca="false">SUMIF($F$7:$AG$7,AM$7,$F59:$AG59)</f>
        <v>0</v>
      </c>
      <c r="AN59" s="120" t="n">
        <f aca="false">SUMIF($F$7:$AG$7,AN$7,$F59:$AG59)</f>
        <v>0</v>
      </c>
      <c r="AO59" s="120" t="n">
        <f aca="false">SUMIF($F$7:$AG$7,AO$7,$F59:$AG59)</f>
        <v>0</v>
      </c>
    </row>
    <row r="60" customFormat="false" ht="15" hidden="false" customHeight="false" outlineLevel="0" collapsed="false">
      <c r="A60" s="101" t="s">
        <v>1391</v>
      </c>
      <c r="B60" s="18" t="s">
        <v>400</v>
      </c>
      <c r="C60" s="18"/>
      <c r="D60" s="18"/>
      <c r="F60" s="119" t="n">
        <f aca="false">(1-$I$17)*(1-$J$17)*$D$17*$E$17/4*MIN(1,MAX(0,(F$5-$H$17+1)/$T$17))*IF(F$5=$H$17,DelivFactor,IF(AND(F$5&gt;$H$17,F$5&lt;$H$17+$F$17),1,IF(F$5=$H$17+$F$17,1-DelivFactor,0)))</f>
        <v>0</v>
      </c>
      <c r="G60" s="119" t="n">
        <f aca="false">(1-$I$17)*(1-$J$17)*$D$17*$E$17/4*MIN(1,MAX(0,(G$5-$H$17+1)/$T$17))*IF(G$5=$H$17,DelivFactor,IF(AND(G$5&gt;$H$17,G$5&lt;$H$17+$F$17),1,IF(G$5=$H$17+$F$17,1-DelivFactor,0)))</f>
        <v>0</v>
      </c>
      <c r="H60" s="119" t="n">
        <f aca="false">(1-$I$17)*(1-$J$17)*$D$17*$E$17/4*MIN(1,MAX(0,(H$5-$H$17+1)/$T$17))*IF(H$5=$H$17,DelivFactor,IF(AND(H$5&gt;$H$17,H$5&lt;$H$17+$F$17),1,IF(H$5=$H$17+$F$17,1-DelivFactor,0)))</f>
        <v>0</v>
      </c>
      <c r="I60" s="119" t="n">
        <f aca="false">(1-$I$17)*(1-$J$17)*$D$17*$E$17/4*MIN(1,MAX(0,(I$5-$H$17+1)/$T$17))*IF(I$5=$H$17,DelivFactor,IF(AND(I$5&gt;$H$17,I$5&lt;$H$17+$F$17),1,IF(I$5=$H$17+$F$17,1-DelivFactor,0)))</f>
        <v>0</v>
      </c>
      <c r="J60" s="119" t="n">
        <f aca="false">(1-$I$17)*(1-$J$17)*$D$17*$E$17/4*MIN(1,MAX(0,(J$5-$H$17+1)/$T$17))*IF(J$5=$H$17,DelivFactor,IF(AND(J$5&gt;$H$17,J$5&lt;$H$17+$F$17),1,IF(J$5=$H$17+$F$17,1-DelivFactor,0)))</f>
        <v>0</v>
      </c>
      <c r="K60" s="119" t="n">
        <f aca="false">(1-$I$17)*(1-$J$17)*$D$17*$E$17/4*MIN(1,MAX(0,(K$5-$H$17+1)/$T$17))*IF(K$5=$H$17,DelivFactor,IF(AND(K$5&gt;$H$17,K$5&lt;$H$17+$F$17),1,IF(K$5=$H$17+$F$17,1-DelivFactor,0)))</f>
        <v>0</v>
      </c>
      <c r="L60" s="119" t="n">
        <f aca="false">(1-$I$17)*(1-$J$17)*$D$17*$E$17/4*MIN(1,MAX(0,(L$5-$H$17+1)/$T$17))*IF(L$5=$H$17,DelivFactor,IF(AND(L$5&gt;$H$17,L$5&lt;$H$17+$F$17),1,IF(L$5=$H$17+$F$17,1-DelivFactor,0)))</f>
        <v>0</v>
      </c>
      <c r="M60" s="119" t="n">
        <f aca="false">(1-$I$17)*(1-$J$17)*$D$17*$E$17/4*MIN(1,MAX(0,(M$5-$H$17+1)/$T$17))*IF(M$5=$H$17,DelivFactor,IF(AND(M$5&gt;$H$17,M$5&lt;$H$17+$F$17),1,IF(M$5=$H$17+$F$17,1-DelivFactor,0)))</f>
        <v>0</v>
      </c>
      <c r="N60" s="119" t="n">
        <f aca="false">(1-$I$17)*(1-$J$17)*$D$17*$E$17/4*MIN(1,MAX(0,(N$5-$H$17+1)/$T$17))*IF(N$5=$H$17,DelivFactor,IF(AND(N$5&gt;$H$17,N$5&lt;$H$17+$F$17),1,IF(N$5=$H$17+$F$17,1-DelivFactor,0)))</f>
        <v>0</v>
      </c>
      <c r="O60" s="119" t="n">
        <f aca="false">(1-$I$17)*(1-$J$17)*$D$17*$E$17/4*MIN(1,MAX(0,(O$5-$H$17+1)/$T$17))*IF(O$5=$H$17,DelivFactor,IF(AND(O$5&gt;$H$17,O$5&lt;$H$17+$F$17),1,IF(O$5=$H$17+$F$17,1-DelivFactor,0)))</f>
        <v>0</v>
      </c>
      <c r="P60" s="120" t="n">
        <f aca="false">(1-$I$17)*(1-$J$17)*$D$17*$E$17/4*MIN(1,MAX(0,(P$5-$H$17+1)/$T$17))*IF(P$5=$H$17,DelivFactor,IF(AND(P$5&gt;$H$17,P$5&lt;$H$17+$F$17),1,IF(P$5=$H$17+$F$17,1-DelivFactor,0)))</f>
        <v>0</v>
      </c>
      <c r="Q60" s="120" t="n">
        <f aca="false">(1-$I$17)*(1-$J$17)*$D$17*$E$17/4*MIN(1,MAX(0,(Q$5-$H$17+1)/$T$17))*IF(Q$5=$H$17,DelivFactor,IF(AND(Q$5&gt;$H$17,Q$5&lt;$H$17+$F$17),1,IF(Q$5=$H$17+$F$17,1-DelivFactor,0)))</f>
        <v>0</v>
      </c>
      <c r="R60" s="120" t="n">
        <f aca="false">(1-$I$17)*(1-$J$17)*$D$17*$E$17/4*MIN(1,MAX(0,(R$5-$H$17+1)/$T$17))*IF(R$5=$H$17,DelivFactor,IF(AND(R$5&gt;$H$17,R$5&lt;$H$17+$F$17),1,IF(R$5=$H$17+$F$17,1-DelivFactor,0)))</f>
        <v>0</v>
      </c>
      <c r="S60" s="120" t="n">
        <f aca="false">(1-$I$17)*(1-$J$17)*$D$17*$E$17/4*MIN(1,MAX(0,(S$5-$H$17+1)/$T$17))*IF(S$5=$H$17,DelivFactor,IF(AND(S$5&gt;$H$17,S$5&lt;$H$17+$F$17),1,IF(S$5=$H$17+$F$17,1-DelivFactor,0)))</f>
        <v>12.0784027777778</v>
      </c>
      <c r="T60" s="120" t="n">
        <f aca="false">(1-$I$17)*(1-$J$17)*$D$17*$E$17/4*MIN(1,MAX(0,(T$5-$H$17+1)/$T$17))*IF(T$5=$H$17,DelivFactor,IF(AND(T$5&gt;$H$17,T$5&lt;$H$17+$F$17),1,IF(T$5=$H$17+$F$17,1-DelivFactor,0)))</f>
        <v>48.3136111111111</v>
      </c>
      <c r="U60" s="120" t="n">
        <f aca="false">(1-$I$17)*(1-$J$17)*$D$17*$E$17/4*MIN(1,MAX(0,(U$5-$H$17+1)/$T$17))*IF(U$5=$H$17,DelivFactor,IF(AND(U$5&gt;$H$17,U$5&lt;$H$17+$F$17),1,IF(U$5=$H$17+$F$17,1-DelivFactor,0)))</f>
        <v>72.4704166666667</v>
      </c>
      <c r="V60" s="120" t="n">
        <f aca="false">(1-$I$17)*(1-$J$17)*$D$17*$E$17/4*MIN(1,MAX(0,(V$5-$H$17+1)/$T$17))*IF(V$5=$H$17,DelivFactor,IF(AND(V$5&gt;$H$17,V$5&lt;$H$17+$F$17),1,IF(V$5=$H$17+$F$17,1-DelivFactor,0)))</f>
        <v>96.6272222222222</v>
      </c>
      <c r="W60" s="120" t="n">
        <f aca="false">(1-$I$17)*(1-$J$17)*$D$17*$E$17/4*MIN(1,MAX(0,(W$5-$H$17+1)/$T$17))*IF(W$5=$H$17,DelivFactor,IF(AND(W$5&gt;$H$17,W$5&lt;$H$17+$F$17),1,IF(W$5=$H$17+$F$17,1-DelivFactor,0)))</f>
        <v>96.6272222222222</v>
      </c>
      <c r="X60" s="120" t="n">
        <f aca="false">(1-$I$17)*(1-$J$17)*$D$17*$E$17/4*MIN(1,MAX(0,(X$5-$H$17+1)/$T$17))*IF(X$5=$H$17,DelivFactor,IF(AND(X$5&gt;$H$17,X$5&lt;$H$17+$F$17),1,IF(X$5=$H$17+$F$17,1-DelivFactor,0)))</f>
        <v>96.6272222222222</v>
      </c>
      <c r="Y60" s="120" t="n">
        <f aca="false">(1-$I$17)*(1-$J$17)*$D$17*$E$17/4*MIN(1,MAX(0,(Y$5-$H$17+1)/$T$17))*IF(Y$5=$H$17,DelivFactor,IF(AND(Y$5&gt;$H$17,Y$5&lt;$H$17+$F$17),1,IF(Y$5=$H$17+$F$17,1-DelivFactor,0)))</f>
        <v>96.6272222222222</v>
      </c>
      <c r="Z60" s="120" t="n">
        <f aca="false">(1-$I$17)*(1-$J$17)*$D$17*$E$17/4*MIN(1,MAX(0,(Z$5-$H$17+1)/$T$17))*IF(Z$5=$H$17,DelivFactor,IF(AND(Z$5&gt;$H$17,Z$5&lt;$H$17+$F$17),1,IF(Z$5=$H$17+$F$17,1-DelivFactor,0)))</f>
        <v>96.6272222222222</v>
      </c>
      <c r="AA60" s="120" t="n">
        <f aca="false">(1-$I$17)*(1-$J$17)*$D$17*$E$17/4*MIN(1,MAX(0,(AA$5-$H$17+1)/$T$17))*IF(AA$5=$H$17,DelivFactor,IF(AND(AA$5&gt;$H$17,AA$5&lt;$H$17+$F$17),1,IF(AA$5=$H$17+$F$17,1-DelivFactor,0)))</f>
        <v>96.6272222222222</v>
      </c>
      <c r="AB60" s="120" t="n">
        <f aca="false">(1-$I$17)*(1-$J$17)*$D$17*$E$17/4*MIN(1,MAX(0,(AB$5-$H$17+1)/$T$17))*IF(AB$5=$H$17,DelivFactor,IF(AND(AB$5&gt;$H$17,AB$5&lt;$H$17+$F$17),1,IF(AB$5=$H$17+$F$17,1-DelivFactor,0)))</f>
        <v>96.6272222222222</v>
      </c>
      <c r="AC60" s="120" t="n">
        <f aca="false">(1-$I$17)*(1-$J$17)*$D$17*$E$17/4*MIN(1,MAX(0,(AC$5-$H$17+1)/$T$17))*IF(AC$5=$H$17,DelivFactor,IF(AND(AC$5&gt;$H$17,AC$5&lt;$H$17+$F$17),1,IF(AC$5=$H$17+$F$17,1-DelivFactor,0)))</f>
        <v>96.6272222222222</v>
      </c>
      <c r="AD60" s="120" t="n">
        <f aca="false">(1-$I$17)*(1-$J$17)*$D$17*$E$17/4*MIN(1,MAX(0,(AD$5-$H$17+1)/$T$17))*IF(AD$5=$H$17,DelivFactor,IF(AND(AD$5&gt;$H$17,AD$5&lt;$H$17+$F$17),1,IF(AD$5=$H$17+$F$17,1-DelivFactor,0)))</f>
        <v>96.6272222222222</v>
      </c>
      <c r="AE60" s="120" t="n">
        <f aca="false">(1-$I$17)*(1-$J$17)*$D$17*$E$17/4*MIN(1,MAX(0,(AE$5-$H$17+1)/$T$17))*IF(AE$5=$H$17,DelivFactor,IF(AND(AE$5&gt;$H$17,AE$5&lt;$H$17+$F$17),1,IF(AE$5=$H$17+$F$17,1-DelivFactor,0)))</f>
        <v>96.6272222222222</v>
      </c>
      <c r="AF60" s="120" t="n">
        <f aca="false">(1-$I$17)*(1-$J$17)*$D$17*$E$17/4*MIN(1,MAX(0,(AF$5-$H$17+1)/$T$17))*IF(AF$5=$H$17,DelivFactor,IF(AND(AF$5&gt;$H$17,AF$5&lt;$H$17+$F$17),1,IF(AF$5=$H$17+$F$17,1-DelivFactor,0)))</f>
        <v>96.6272222222222</v>
      </c>
      <c r="AG60" s="120" t="n">
        <f aca="false">(1-$I$17)*(1-$J$17)*$D$17*$E$17/4*MIN(1,MAX(0,(AG$5-$H$17+1)/$T$17))*IF(AG$5=$H$17,DelivFactor,IF(AND(AG$5&gt;$H$17,AG$5&lt;$H$17+$F$17),1,IF(AG$5=$H$17+$F$17,1-DelivFactor,0)))</f>
        <v>96.6272222222222</v>
      </c>
      <c r="AI60" s="120" t="n">
        <f aca="false">SUMIF($F$7:$AG$7,AI$7,$F60:$AG60)</f>
        <v>0</v>
      </c>
      <c r="AJ60" s="120" t="n">
        <f aca="false">SUMIF($F$7:$AG$7,AJ$7,$F60:$AG60)</f>
        <v>0</v>
      </c>
      <c r="AK60" s="120" t="n">
        <f aca="false">SUMIF($F$7:$AG$7,AK$7,$F60:$AG60)</f>
        <v>0</v>
      </c>
      <c r="AL60" s="120" t="n">
        <f aca="false">SUMIF($F$7:$AG$7,AL$7,$F60:$AG60)</f>
        <v>132.862430555556</v>
      </c>
      <c r="AM60" s="120" t="n">
        <f aca="false">SUMIF($F$7:$AG$7,AM$7,$F60:$AG60)</f>
        <v>386.508888888889</v>
      </c>
      <c r="AN60" s="120" t="n">
        <f aca="false">SUMIF($F$7:$AG$7,AN$7,$F60:$AG60)</f>
        <v>386.508888888889</v>
      </c>
      <c r="AO60" s="120" t="n">
        <f aca="false">SUMIF($F$7:$AG$7,AO$7,$F60:$AG60)</f>
        <v>386.508888888889</v>
      </c>
    </row>
    <row r="61" customFormat="false" ht="15" hidden="false" customHeight="false" outlineLevel="0" collapsed="false">
      <c r="A61" s="101" t="s">
        <v>1392</v>
      </c>
      <c r="B61" s="18" t="s">
        <v>415</v>
      </c>
      <c r="C61" s="18"/>
      <c r="D61" s="18"/>
      <c r="F61" s="110" t="n">
        <f aca="false">(1-$I$17)*(1-$J$17)*$D$17*AND(F$5&gt;=$H$17,F$5&lt;$H$17+$F$17)</f>
        <v>0</v>
      </c>
      <c r="G61" s="110" t="n">
        <f aca="false">(1-$I$17)*(1-$J$17)*$D$17*AND(G$5&gt;=$H$17,G$5&lt;$H$17+$F$17)</f>
        <v>0</v>
      </c>
      <c r="H61" s="110" t="n">
        <f aca="false">(1-$I$17)*(1-$J$17)*$D$17*AND(H$5&gt;=$H$17,H$5&lt;$H$17+$F$17)</f>
        <v>0</v>
      </c>
      <c r="I61" s="110" t="n">
        <f aca="false">(1-$I$17)*(1-$J$17)*$D$17*AND(I$5&gt;=$H$17,I$5&lt;$H$17+$F$17)</f>
        <v>0</v>
      </c>
      <c r="J61" s="110" t="n">
        <f aca="false">(1-$I$17)*(1-$J$17)*$D$17*AND(J$5&gt;=$H$17,J$5&lt;$H$17+$F$17)</f>
        <v>0</v>
      </c>
      <c r="K61" s="110" t="n">
        <f aca="false">(1-$I$17)*(1-$J$17)*$D$17*AND(K$5&gt;=$H$17,K$5&lt;$H$17+$F$17)</f>
        <v>0</v>
      </c>
      <c r="L61" s="110" t="n">
        <f aca="false">(1-$I$17)*(1-$J$17)*$D$17*AND(L$5&gt;=$H$17,L$5&lt;$H$17+$F$17)</f>
        <v>0</v>
      </c>
      <c r="M61" s="110" t="n">
        <f aca="false">(1-$I$17)*(1-$J$17)*$D$17*AND(M$5&gt;=$H$17,M$5&lt;$H$17+$F$17)</f>
        <v>0</v>
      </c>
      <c r="N61" s="110" t="n">
        <f aca="false">(1-$I$17)*(1-$J$17)*$D$17*AND(N$5&gt;=$H$17,N$5&lt;$H$17+$F$17)</f>
        <v>0</v>
      </c>
      <c r="O61" s="110" t="n">
        <f aca="false">(1-$I$17)*(1-$J$17)*$D$17*AND(O$5&gt;=$H$17,O$5&lt;$H$17+$F$17)</f>
        <v>0</v>
      </c>
      <c r="P61" s="21" t="n">
        <f aca="false">(1-$I$17)*(1-$J$17)*$D$17*AND(P$5&gt;=$H$17,P$5&lt;$H$17+$F$17)</f>
        <v>0</v>
      </c>
      <c r="Q61" s="21" t="n">
        <f aca="false">(1-$I$17)*(1-$J$17)*$D$17*AND(Q$5&gt;=$H$17,Q$5&lt;$H$17+$F$17)</f>
        <v>0</v>
      </c>
      <c r="R61" s="21" t="n">
        <f aca="false">(1-$I$17)*(1-$J$17)*$D$17*AND(R$5&gt;=$H$17,R$5&lt;$H$17+$F$17)</f>
        <v>0</v>
      </c>
      <c r="S61" s="21" t="n">
        <f aca="false">(1-$I$17)*(1-$J$17)*$D$17*AND(S$5&gt;=$H$17,S$5&lt;$H$17+$F$17)</f>
        <v>26.6666666666667</v>
      </c>
      <c r="T61" s="21" t="n">
        <f aca="false">(1-$I$17)*(1-$J$17)*$D$17*AND(T$5&gt;=$H$17,T$5&lt;$H$17+$F$17)</f>
        <v>26.6666666666667</v>
      </c>
      <c r="U61" s="21" t="n">
        <f aca="false">(1-$I$17)*(1-$J$17)*$D$17*AND(U$5&gt;=$H$17,U$5&lt;$H$17+$F$17)</f>
        <v>26.6666666666667</v>
      </c>
      <c r="V61" s="21" t="n">
        <f aca="false">(1-$I$17)*(1-$J$17)*$D$17*AND(V$5&gt;=$H$17,V$5&lt;$H$17+$F$17)</f>
        <v>26.6666666666667</v>
      </c>
      <c r="W61" s="21" t="n">
        <f aca="false">(1-$I$17)*(1-$J$17)*$D$17*AND(W$5&gt;=$H$17,W$5&lt;$H$17+$F$17)</f>
        <v>26.6666666666667</v>
      </c>
      <c r="X61" s="21" t="n">
        <f aca="false">(1-$I$17)*(1-$J$17)*$D$17*AND(X$5&gt;=$H$17,X$5&lt;$H$17+$F$17)</f>
        <v>26.6666666666667</v>
      </c>
      <c r="Y61" s="21" t="n">
        <f aca="false">(1-$I$17)*(1-$J$17)*$D$17*AND(Y$5&gt;=$H$17,Y$5&lt;$H$17+$F$17)</f>
        <v>26.6666666666667</v>
      </c>
      <c r="Z61" s="21" t="n">
        <f aca="false">(1-$I$17)*(1-$J$17)*$D$17*AND(Z$5&gt;=$H$17,Z$5&lt;$H$17+$F$17)</f>
        <v>26.6666666666667</v>
      </c>
      <c r="AA61" s="21" t="n">
        <f aca="false">(1-$I$17)*(1-$J$17)*$D$17*AND(AA$5&gt;=$H$17,AA$5&lt;$H$17+$F$17)</f>
        <v>26.6666666666667</v>
      </c>
      <c r="AB61" s="21" t="n">
        <f aca="false">(1-$I$17)*(1-$J$17)*$D$17*AND(AB$5&gt;=$H$17,AB$5&lt;$H$17+$F$17)</f>
        <v>26.6666666666667</v>
      </c>
      <c r="AC61" s="21" t="n">
        <f aca="false">(1-$I$17)*(1-$J$17)*$D$17*AND(AC$5&gt;=$H$17,AC$5&lt;$H$17+$F$17)</f>
        <v>26.6666666666667</v>
      </c>
      <c r="AD61" s="21" t="n">
        <f aca="false">(1-$I$17)*(1-$J$17)*$D$17*AND(AD$5&gt;=$H$17,AD$5&lt;$H$17+$F$17)</f>
        <v>26.6666666666667</v>
      </c>
      <c r="AE61" s="21" t="n">
        <f aca="false">(1-$I$17)*(1-$J$17)*$D$17*AND(AE$5&gt;=$H$17,AE$5&lt;$H$17+$F$17)</f>
        <v>26.6666666666667</v>
      </c>
      <c r="AF61" s="21" t="n">
        <f aca="false">(1-$I$17)*(1-$J$17)*$D$17*AND(AF$5&gt;=$H$17,AF$5&lt;$H$17+$F$17)</f>
        <v>26.6666666666667</v>
      </c>
      <c r="AG61" s="21" t="n">
        <f aca="false">(1-$I$17)*(1-$J$17)*$D$17*AND(AG$5&gt;=$H$17,AG$5&lt;$H$17+$F$17)</f>
        <v>26.6666666666667</v>
      </c>
      <c r="AI61" s="21" t="n">
        <f aca="false">INDEX($F61:$AG61,1,MATCH(AI$7,$F$7:$AG$7,1))</f>
        <v>0</v>
      </c>
      <c r="AJ61" s="21" t="n">
        <f aca="false">INDEX($F61:$AG61,1,MATCH(AJ$7,$F$7:$AG$7,1))</f>
        <v>0</v>
      </c>
      <c r="AK61" s="21" t="n">
        <f aca="false">INDEX($F61:$AG61,1,MATCH(AK$7,$F$7:$AG$7,1))</f>
        <v>0</v>
      </c>
      <c r="AL61" s="21" t="n">
        <f aca="false">INDEX($F61:$AG61,1,MATCH(AL$7,$F$7:$AG$7,1))</f>
        <v>26.6666666666667</v>
      </c>
      <c r="AM61" s="21" t="n">
        <f aca="false">INDEX($F61:$AG61,1,MATCH(AM$7,$F$7:$AG$7,1))</f>
        <v>26.6666666666667</v>
      </c>
      <c r="AN61" s="21" t="n">
        <f aca="false">INDEX($F61:$AG61,1,MATCH(AN$7,$F$7:$AG$7,1))</f>
        <v>26.6666666666667</v>
      </c>
      <c r="AO61" s="21" t="n">
        <f aca="false">INDEX($F61:$AG61,1,MATCH(AO$7,$F$7:$AG$7,1))</f>
        <v>26.6666666666667</v>
      </c>
    </row>
    <row r="62" customFormat="false" ht="15" hidden="false" customHeight="false" outlineLevel="0" collapsed="false">
      <c r="A62" s="101" t="s">
        <v>1393</v>
      </c>
      <c r="B62" s="18" t="s">
        <v>400</v>
      </c>
      <c r="C62" s="18"/>
      <c r="D62" s="18"/>
      <c r="F62" s="119" t="n">
        <f aca="false">-(1-$I$17)*LD_Pct*$D$17*$E$17/4*AND(F$5&gt;=$G$17,F$5&lt;$H$17)</f>
        <v>-0</v>
      </c>
      <c r="G62" s="119" t="n">
        <f aca="false">-(1-$I$17)*LD_Pct*$D$17*$E$17/4*AND(G$5&gt;=$G$17,G$5&lt;$H$17)</f>
        <v>-0</v>
      </c>
      <c r="H62" s="119" t="n">
        <f aca="false">-(1-$I$17)*LD_Pct*$D$17*$E$17/4*AND(H$5&gt;=$G$17,H$5&lt;$H$17)</f>
        <v>-0</v>
      </c>
      <c r="I62" s="119" t="n">
        <f aca="false">-(1-$I$17)*LD_Pct*$D$17*$E$17/4*AND(I$5&gt;=$G$17,I$5&lt;$H$17)</f>
        <v>-0</v>
      </c>
      <c r="J62" s="119" t="n">
        <f aca="false">-(1-$I$17)*LD_Pct*$D$17*$E$17/4*AND(J$5&gt;=$G$17,J$5&lt;$H$17)</f>
        <v>-0</v>
      </c>
      <c r="K62" s="119" t="n">
        <f aca="false">-(1-$I$17)*LD_Pct*$D$17*$E$17/4*AND(K$5&gt;=$G$17,K$5&lt;$H$17)</f>
        <v>-0</v>
      </c>
      <c r="L62" s="119" t="n">
        <f aca="false">-(1-$I$17)*LD_Pct*$D$17*$E$17/4*AND(L$5&gt;=$G$17,L$5&lt;$H$17)</f>
        <v>-0</v>
      </c>
      <c r="M62" s="119" t="n">
        <f aca="false">-(1-$I$17)*LD_Pct*$D$17*$E$17/4*AND(M$5&gt;=$G$17,M$5&lt;$H$17)</f>
        <v>-0</v>
      </c>
      <c r="N62" s="119" t="n">
        <f aca="false">-(1-$I$17)*LD_Pct*$D$17*$E$17/4*AND(N$5&gt;=$G$17,N$5&lt;$H$17)</f>
        <v>-0</v>
      </c>
      <c r="O62" s="119" t="n">
        <f aca="false">-(1-$I$17)*LD_Pct*$D$17*$E$17/4*AND(O$5&gt;=$G$17,O$5&lt;$H$17)</f>
        <v>-0</v>
      </c>
      <c r="P62" s="120" t="n">
        <f aca="false">-(1-$I$17)*LD_Pct*$D$17*$E$17/4*AND(P$5&gt;=$G$17,P$5&lt;$H$17)</f>
        <v>-0</v>
      </c>
      <c r="Q62" s="120" t="n">
        <f aca="false">-(1-$I$17)*LD_Pct*$D$17*$E$17/4*AND(Q$5&gt;=$G$17,Q$5&lt;$H$17)</f>
        <v>-0</v>
      </c>
      <c r="R62" s="120" t="n">
        <f aca="false">-(1-$I$17)*LD_Pct*$D$17*$E$17/4*AND(R$5&gt;=$G$17,R$5&lt;$H$17)</f>
        <v>-0</v>
      </c>
      <c r="S62" s="120" t="n">
        <f aca="false">-(1-$I$17)*LD_Pct*$D$17*$E$17/4*AND(S$5&gt;=$G$17,S$5&lt;$H$17)</f>
        <v>-0</v>
      </c>
      <c r="T62" s="120" t="n">
        <f aca="false">-(1-$I$17)*LD_Pct*$D$17*$E$17/4*AND(T$5&gt;=$G$17,T$5&lt;$H$17)</f>
        <v>-0</v>
      </c>
      <c r="U62" s="120" t="n">
        <f aca="false">-(1-$I$17)*LD_Pct*$D$17*$E$17/4*AND(U$5&gt;=$G$17,U$5&lt;$H$17)</f>
        <v>-0</v>
      </c>
      <c r="V62" s="120" t="n">
        <f aca="false">-(1-$I$17)*LD_Pct*$D$17*$E$17/4*AND(V$5&gt;=$G$17,V$5&lt;$H$17)</f>
        <v>-0</v>
      </c>
      <c r="W62" s="120" t="n">
        <f aca="false">-(1-$I$17)*LD_Pct*$D$17*$E$17/4*AND(W$5&gt;=$G$17,W$5&lt;$H$17)</f>
        <v>-0</v>
      </c>
      <c r="X62" s="120" t="n">
        <f aca="false">-(1-$I$17)*LD_Pct*$D$17*$E$17/4*AND(X$5&gt;=$G$17,X$5&lt;$H$17)</f>
        <v>-0</v>
      </c>
      <c r="Y62" s="120" t="n">
        <f aca="false">-(1-$I$17)*LD_Pct*$D$17*$E$17/4*AND(Y$5&gt;=$G$17,Y$5&lt;$H$17)</f>
        <v>-0</v>
      </c>
      <c r="Z62" s="120" t="n">
        <f aca="false">-(1-$I$17)*LD_Pct*$D$17*$E$17/4*AND(Z$5&gt;=$G$17,Z$5&lt;$H$17)</f>
        <v>-0</v>
      </c>
      <c r="AA62" s="120" t="n">
        <f aca="false">-(1-$I$17)*LD_Pct*$D$17*$E$17/4*AND(AA$5&gt;=$G$17,AA$5&lt;$H$17)</f>
        <v>-0</v>
      </c>
      <c r="AB62" s="120" t="n">
        <f aca="false">-(1-$I$17)*LD_Pct*$D$17*$E$17/4*AND(AB$5&gt;=$G$17,AB$5&lt;$H$17)</f>
        <v>-0</v>
      </c>
      <c r="AC62" s="120" t="n">
        <f aca="false">-(1-$I$17)*LD_Pct*$D$17*$E$17/4*AND(AC$5&gt;=$G$17,AC$5&lt;$H$17)</f>
        <v>-0</v>
      </c>
      <c r="AD62" s="120" t="n">
        <f aca="false">-(1-$I$17)*LD_Pct*$D$17*$E$17/4*AND(AD$5&gt;=$G$17,AD$5&lt;$H$17)</f>
        <v>-0</v>
      </c>
      <c r="AE62" s="120" t="n">
        <f aca="false">-(1-$I$17)*LD_Pct*$D$17*$E$17/4*AND(AE$5&gt;=$G$17,AE$5&lt;$H$17)</f>
        <v>-0</v>
      </c>
      <c r="AF62" s="120" t="n">
        <f aca="false">-(1-$I$17)*LD_Pct*$D$17*$E$17/4*AND(AF$5&gt;=$G$17,AF$5&lt;$H$17)</f>
        <v>-0</v>
      </c>
      <c r="AG62" s="120" t="n">
        <f aca="false">-(1-$I$17)*LD_Pct*$D$17*$E$17/4*AND(AG$5&gt;=$G$17,AG$5&lt;$H$17)</f>
        <v>-0</v>
      </c>
      <c r="AI62" s="120" t="n">
        <f aca="false">SUMIF($F$7:$AG$7,AI$7,$F62:$AG62)</f>
        <v>0</v>
      </c>
      <c r="AJ62" s="120" t="n">
        <f aca="false">SUMIF($F$7:$AG$7,AJ$7,$F62:$AG62)</f>
        <v>0</v>
      </c>
      <c r="AK62" s="120" t="n">
        <f aca="false">SUMIF($F$7:$AG$7,AK$7,$F62:$AG62)</f>
        <v>0</v>
      </c>
      <c r="AL62" s="120" t="n">
        <f aca="false">SUMIF($F$7:$AG$7,AL$7,$F62:$AG62)</f>
        <v>0</v>
      </c>
      <c r="AM62" s="120" t="n">
        <f aca="false">SUMIF($F$7:$AG$7,AM$7,$F62:$AG62)</f>
        <v>0</v>
      </c>
      <c r="AN62" s="120" t="n">
        <f aca="false">SUMIF($F$7:$AG$7,AN$7,$F62:$AG62)</f>
        <v>0</v>
      </c>
      <c r="AO62" s="120" t="n">
        <f aca="false">SUMIF($F$7:$AG$7,AO$7,$F62:$AG62)</f>
        <v>0</v>
      </c>
    </row>
    <row r="63" customFormat="false" ht="15" hidden="false" customHeight="false" outlineLevel="0" collapsed="false">
      <c r="A63" s="101" t="s">
        <v>1394</v>
      </c>
      <c r="B63" s="18" t="s">
        <v>415</v>
      </c>
      <c r="C63" s="18"/>
      <c r="D63" s="18"/>
      <c r="F63" s="110" t="n">
        <f aca="false">(1-$I$17)*(1-$J$17)*$D$17*(F$5&gt;=$H$17+$F$17)</f>
        <v>0</v>
      </c>
      <c r="G63" s="110" t="n">
        <f aca="false">(1-$I$17)*(1-$J$17)*$D$17*(G$5&gt;=$H$17+$F$17)</f>
        <v>0</v>
      </c>
      <c r="H63" s="110" t="n">
        <f aca="false">(1-$I$17)*(1-$J$17)*$D$17*(H$5&gt;=$H$17+$F$17)</f>
        <v>0</v>
      </c>
      <c r="I63" s="110" t="n">
        <f aca="false">(1-$I$17)*(1-$J$17)*$D$17*(I$5&gt;=$H$17+$F$17)</f>
        <v>0</v>
      </c>
      <c r="J63" s="110" t="n">
        <f aca="false">(1-$I$17)*(1-$J$17)*$D$17*(J$5&gt;=$H$17+$F$17)</f>
        <v>0</v>
      </c>
      <c r="K63" s="110" t="n">
        <f aca="false">(1-$I$17)*(1-$J$17)*$D$17*(K$5&gt;=$H$17+$F$17)</f>
        <v>0</v>
      </c>
      <c r="L63" s="110" t="n">
        <f aca="false">(1-$I$17)*(1-$J$17)*$D$17*(L$5&gt;=$H$17+$F$17)</f>
        <v>0</v>
      </c>
      <c r="M63" s="110" t="n">
        <f aca="false">(1-$I$17)*(1-$J$17)*$D$17*(M$5&gt;=$H$17+$F$17)</f>
        <v>0</v>
      </c>
      <c r="N63" s="110" t="n">
        <f aca="false">(1-$I$17)*(1-$J$17)*$D$17*(N$5&gt;=$H$17+$F$17)</f>
        <v>0</v>
      </c>
      <c r="O63" s="110" t="n">
        <f aca="false">(1-$I$17)*(1-$J$17)*$D$17*(O$5&gt;=$H$17+$F$17)</f>
        <v>0</v>
      </c>
      <c r="P63" s="21" t="n">
        <f aca="false">(1-$I$17)*(1-$J$17)*$D$17*(P$5&gt;=$H$17+$F$17)</f>
        <v>0</v>
      </c>
      <c r="Q63" s="21" t="n">
        <f aca="false">(1-$I$17)*(1-$J$17)*$D$17*(Q$5&gt;=$H$17+$F$17)</f>
        <v>0</v>
      </c>
      <c r="R63" s="21" t="n">
        <f aca="false">(1-$I$17)*(1-$J$17)*$D$17*(R$5&gt;=$H$17+$F$17)</f>
        <v>0</v>
      </c>
      <c r="S63" s="21" t="n">
        <f aca="false">(1-$I$17)*(1-$J$17)*$D$17*(S$5&gt;=$H$17+$F$17)</f>
        <v>0</v>
      </c>
      <c r="T63" s="21" t="n">
        <f aca="false">(1-$I$17)*(1-$J$17)*$D$17*(T$5&gt;=$H$17+$F$17)</f>
        <v>0</v>
      </c>
      <c r="U63" s="21" t="n">
        <f aca="false">(1-$I$17)*(1-$J$17)*$D$17*(U$5&gt;=$H$17+$F$17)</f>
        <v>0</v>
      </c>
      <c r="V63" s="21" t="n">
        <f aca="false">(1-$I$17)*(1-$J$17)*$D$17*(V$5&gt;=$H$17+$F$17)</f>
        <v>0</v>
      </c>
      <c r="W63" s="21" t="n">
        <f aca="false">(1-$I$17)*(1-$J$17)*$D$17*(W$5&gt;=$H$17+$F$17)</f>
        <v>0</v>
      </c>
      <c r="X63" s="21" t="n">
        <f aca="false">(1-$I$17)*(1-$J$17)*$D$17*(X$5&gt;=$H$17+$F$17)</f>
        <v>0</v>
      </c>
      <c r="Y63" s="21" t="n">
        <f aca="false">(1-$I$17)*(1-$J$17)*$D$17*(Y$5&gt;=$H$17+$F$17)</f>
        <v>0</v>
      </c>
      <c r="Z63" s="21" t="n">
        <f aca="false">(1-$I$17)*(1-$J$17)*$D$17*(Z$5&gt;=$H$17+$F$17)</f>
        <v>0</v>
      </c>
      <c r="AA63" s="21" t="n">
        <f aca="false">(1-$I$17)*(1-$J$17)*$D$17*(AA$5&gt;=$H$17+$F$17)</f>
        <v>0</v>
      </c>
      <c r="AB63" s="21" t="n">
        <f aca="false">(1-$I$17)*(1-$J$17)*$D$17*(AB$5&gt;=$H$17+$F$17)</f>
        <v>0</v>
      </c>
      <c r="AC63" s="21" t="n">
        <f aca="false">(1-$I$17)*(1-$J$17)*$D$17*(AC$5&gt;=$H$17+$F$17)</f>
        <v>0</v>
      </c>
      <c r="AD63" s="21" t="n">
        <f aca="false">(1-$I$17)*(1-$J$17)*$D$17*(AD$5&gt;=$H$17+$F$17)</f>
        <v>0</v>
      </c>
      <c r="AE63" s="21" t="n">
        <f aca="false">(1-$I$17)*(1-$J$17)*$D$17*(AE$5&gt;=$H$17+$F$17)</f>
        <v>0</v>
      </c>
      <c r="AF63" s="21" t="n">
        <f aca="false">(1-$I$17)*(1-$J$17)*$D$17*(AF$5&gt;=$H$17+$F$17)</f>
        <v>0</v>
      </c>
      <c r="AG63" s="21" t="n">
        <f aca="false">(1-$I$17)*(1-$J$17)*$D$17*(AG$5&gt;=$H$17+$F$17)</f>
        <v>0</v>
      </c>
      <c r="AI63" s="21" t="n">
        <f aca="false">INDEX($F63:$AG63,1,MATCH(AI$7,$F$7:$AG$7,1))</f>
        <v>0</v>
      </c>
      <c r="AJ63" s="21" t="n">
        <f aca="false">INDEX($F63:$AG63,1,MATCH(AJ$7,$F$7:$AG$7,1))</f>
        <v>0</v>
      </c>
      <c r="AK63" s="21" t="n">
        <f aca="false">INDEX($F63:$AG63,1,MATCH(AK$7,$F$7:$AG$7,1))</f>
        <v>0</v>
      </c>
      <c r="AL63" s="21" t="n">
        <f aca="false">INDEX($F63:$AG63,1,MATCH(AL$7,$F$7:$AG$7,1))</f>
        <v>0</v>
      </c>
      <c r="AM63" s="21" t="n">
        <f aca="false">INDEX($F63:$AG63,1,MATCH(AM$7,$F$7:$AG$7,1))</f>
        <v>0</v>
      </c>
      <c r="AN63" s="21" t="n">
        <f aca="false">INDEX($F63:$AG63,1,MATCH(AN$7,$F$7:$AG$7,1))</f>
        <v>0</v>
      </c>
      <c r="AO63" s="21" t="n">
        <f aca="false">INDEX($F63:$AG63,1,MATCH(AO$7,$F$7:$AG$7,1))</f>
        <v>0</v>
      </c>
    </row>
    <row r="64" customFormat="false" ht="15" hidden="false" customHeight="false" outlineLevel="0" collapsed="false">
      <c r="A64" s="101" t="s">
        <v>1395</v>
      </c>
      <c r="B64" s="18" t="s">
        <v>400</v>
      </c>
      <c r="C64" s="18"/>
      <c r="D64" s="18" t="s">
        <v>1370</v>
      </c>
      <c r="F64" s="119" t="n">
        <f aca="false">F63*CHOOSE(MATCH($C$17,{"H";"B";"N"},0),GPUMW_H*ODc_H,GPUMW_B*ODc_B,GPUMW_N*ODc_N)*ResidUtil*Timeline!F$9*INDEX(Curve,1,MAX(1,MIN(8,INT((F$5-$H$17)/4)+1)))/1000000</f>
        <v>0</v>
      </c>
      <c r="G64" s="119" t="n">
        <f aca="false">G63*CHOOSE(MATCH($C$17,{"H";"B";"N"},0),GPUMW_H*ODc_H,GPUMW_B*ODc_B,GPUMW_N*ODc_N)*ResidUtil*Timeline!G$9*INDEX(Curve,1,MAX(1,MIN(8,INT((G$5-$H$17)/4)+1)))/1000000</f>
        <v>0</v>
      </c>
      <c r="H64" s="119" t="n">
        <f aca="false">H63*CHOOSE(MATCH($C$17,{"H";"B";"N"},0),GPUMW_H*ODc_H,GPUMW_B*ODc_B,GPUMW_N*ODc_N)*ResidUtil*Timeline!H$9*INDEX(Curve,1,MAX(1,MIN(8,INT((H$5-$H$17)/4)+1)))/1000000</f>
        <v>0</v>
      </c>
      <c r="I64" s="119" t="n">
        <f aca="false">I63*CHOOSE(MATCH($C$17,{"H";"B";"N"},0),GPUMW_H*ODc_H,GPUMW_B*ODc_B,GPUMW_N*ODc_N)*ResidUtil*Timeline!I$9*INDEX(Curve,1,MAX(1,MIN(8,INT((I$5-$H$17)/4)+1)))/1000000</f>
        <v>0</v>
      </c>
      <c r="J64" s="119" t="n">
        <f aca="false">J63*CHOOSE(MATCH($C$17,{"H";"B";"N"},0),GPUMW_H*ODc_H,GPUMW_B*ODc_B,GPUMW_N*ODc_N)*ResidUtil*Timeline!J$9*INDEX(Curve,1,MAX(1,MIN(8,INT((J$5-$H$17)/4)+1)))/1000000</f>
        <v>0</v>
      </c>
      <c r="K64" s="119" t="n">
        <f aca="false">K63*CHOOSE(MATCH($C$17,{"H";"B";"N"},0),GPUMW_H*ODc_H,GPUMW_B*ODc_B,GPUMW_N*ODc_N)*ResidUtil*Timeline!K$9*INDEX(Curve,1,MAX(1,MIN(8,INT((K$5-$H$17)/4)+1)))/1000000</f>
        <v>0</v>
      </c>
      <c r="L64" s="119" t="n">
        <f aca="false">L63*CHOOSE(MATCH($C$17,{"H";"B";"N"},0),GPUMW_H*ODc_H,GPUMW_B*ODc_B,GPUMW_N*ODc_N)*ResidUtil*Timeline!L$9*INDEX(Curve,1,MAX(1,MIN(8,INT((L$5-$H$17)/4)+1)))/1000000</f>
        <v>0</v>
      </c>
      <c r="M64" s="119" t="n">
        <f aca="false">M63*CHOOSE(MATCH($C$17,{"H";"B";"N"},0),GPUMW_H*ODc_H,GPUMW_B*ODc_B,GPUMW_N*ODc_N)*ResidUtil*Timeline!M$9*INDEX(Curve,1,MAX(1,MIN(8,INT((M$5-$H$17)/4)+1)))/1000000</f>
        <v>0</v>
      </c>
      <c r="N64" s="119" t="n">
        <f aca="false">N63*CHOOSE(MATCH($C$17,{"H";"B";"N"},0),GPUMW_H*ODc_H,GPUMW_B*ODc_B,GPUMW_N*ODc_N)*ResidUtil*Timeline!N$9*INDEX(Curve,1,MAX(1,MIN(8,INT((N$5-$H$17)/4)+1)))/1000000</f>
        <v>0</v>
      </c>
      <c r="O64" s="119" t="n">
        <f aca="false">O63*CHOOSE(MATCH($C$17,{"H";"B";"N"},0),GPUMW_H*ODc_H,GPUMW_B*ODc_B,GPUMW_N*ODc_N)*ResidUtil*Timeline!O$9*INDEX(Curve,1,MAX(1,MIN(8,INT((O$5-$H$17)/4)+1)))/1000000</f>
        <v>0</v>
      </c>
      <c r="P64" s="120" t="n">
        <f aca="false">P63*CHOOSE(MATCH($C$17,{"H";"B";"N"},0),GPUMW_H*ODc_H,GPUMW_B*ODc_B,GPUMW_N*ODc_N)*ResidUtil*Timeline!P$9*INDEX(Curve,1,MAX(1,MIN(8,INT((P$5-$H$17)/4)+1)))/1000000</f>
        <v>0</v>
      </c>
      <c r="Q64" s="120" t="n">
        <f aca="false">Q63*CHOOSE(MATCH($C$17,{"H";"B";"N"},0),GPUMW_H*ODc_H,GPUMW_B*ODc_B,GPUMW_N*ODc_N)*ResidUtil*Timeline!Q$9*INDEX(Curve,1,MAX(1,MIN(8,INT((Q$5-$H$17)/4)+1)))/1000000</f>
        <v>0</v>
      </c>
      <c r="R64" s="120" t="n">
        <f aca="false">R63*CHOOSE(MATCH($C$17,{"H";"B";"N"},0),GPUMW_H*ODc_H,GPUMW_B*ODc_B,GPUMW_N*ODc_N)*ResidUtil*Timeline!R$9*INDEX(Curve,1,MAX(1,MIN(8,INT((R$5-$H$17)/4)+1)))/1000000</f>
        <v>0</v>
      </c>
      <c r="S64" s="120" t="n">
        <f aca="false">S63*CHOOSE(MATCH($C$17,{"H";"B";"N"},0),GPUMW_H*ODc_H,GPUMW_B*ODc_B,GPUMW_N*ODc_N)*ResidUtil*Timeline!S$9*INDEX(Curve,1,MAX(1,MIN(8,INT((S$5-$H$17)/4)+1)))/1000000</f>
        <v>0</v>
      </c>
      <c r="T64" s="120" t="n">
        <f aca="false">T63*CHOOSE(MATCH($C$17,{"H";"B";"N"},0),GPUMW_H*ODc_H,GPUMW_B*ODc_B,GPUMW_N*ODc_N)*ResidUtil*Timeline!T$9*INDEX(Curve,1,MAX(1,MIN(8,INT((T$5-$H$17)/4)+1)))/1000000</f>
        <v>0</v>
      </c>
      <c r="U64" s="120" t="n">
        <f aca="false">U63*CHOOSE(MATCH($C$17,{"H";"B";"N"},0),GPUMW_H*ODc_H,GPUMW_B*ODc_B,GPUMW_N*ODc_N)*ResidUtil*Timeline!U$9*INDEX(Curve,1,MAX(1,MIN(8,INT((U$5-$H$17)/4)+1)))/1000000</f>
        <v>0</v>
      </c>
      <c r="V64" s="120" t="n">
        <f aca="false">V63*CHOOSE(MATCH($C$17,{"H";"B";"N"},0),GPUMW_H*ODc_H,GPUMW_B*ODc_B,GPUMW_N*ODc_N)*ResidUtil*Timeline!V$9*INDEX(Curve,1,MAX(1,MIN(8,INT((V$5-$H$17)/4)+1)))/1000000</f>
        <v>0</v>
      </c>
      <c r="W64" s="120" t="n">
        <f aca="false">W63*CHOOSE(MATCH($C$17,{"H";"B";"N"},0),GPUMW_H*ODc_H,GPUMW_B*ODc_B,GPUMW_N*ODc_N)*ResidUtil*Timeline!W$9*INDEX(Curve,1,MAX(1,MIN(8,INT((W$5-$H$17)/4)+1)))/1000000</f>
        <v>0</v>
      </c>
      <c r="X64" s="120" t="n">
        <f aca="false">X63*CHOOSE(MATCH($C$17,{"H";"B";"N"},0),GPUMW_H*ODc_H,GPUMW_B*ODc_B,GPUMW_N*ODc_N)*ResidUtil*Timeline!X$9*INDEX(Curve,1,MAX(1,MIN(8,INT((X$5-$H$17)/4)+1)))/1000000</f>
        <v>0</v>
      </c>
      <c r="Y64" s="120" t="n">
        <f aca="false">Y63*CHOOSE(MATCH($C$17,{"H";"B";"N"},0),GPUMW_H*ODc_H,GPUMW_B*ODc_B,GPUMW_N*ODc_N)*ResidUtil*Timeline!Y$9*INDEX(Curve,1,MAX(1,MIN(8,INT((Y$5-$H$17)/4)+1)))/1000000</f>
        <v>0</v>
      </c>
      <c r="Z64" s="120" t="n">
        <f aca="false">Z63*CHOOSE(MATCH($C$17,{"H";"B";"N"},0),GPUMW_H*ODc_H,GPUMW_B*ODc_B,GPUMW_N*ODc_N)*ResidUtil*Timeline!Z$9*INDEX(Curve,1,MAX(1,MIN(8,INT((Z$5-$H$17)/4)+1)))/1000000</f>
        <v>0</v>
      </c>
      <c r="AA64" s="120" t="n">
        <f aca="false">AA63*CHOOSE(MATCH($C$17,{"H";"B";"N"},0),GPUMW_H*ODc_H,GPUMW_B*ODc_B,GPUMW_N*ODc_N)*ResidUtil*Timeline!AA$9*INDEX(Curve,1,MAX(1,MIN(8,INT((AA$5-$H$17)/4)+1)))/1000000</f>
        <v>0</v>
      </c>
      <c r="AB64" s="120" t="n">
        <f aca="false">AB63*CHOOSE(MATCH($C$17,{"H";"B";"N"},0),GPUMW_H*ODc_H,GPUMW_B*ODc_B,GPUMW_N*ODc_N)*ResidUtil*Timeline!AB$9*INDEX(Curve,1,MAX(1,MIN(8,INT((AB$5-$H$17)/4)+1)))/1000000</f>
        <v>0</v>
      </c>
      <c r="AC64" s="120" t="n">
        <f aca="false">AC63*CHOOSE(MATCH($C$17,{"H";"B";"N"},0),GPUMW_H*ODc_H,GPUMW_B*ODc_B,GPUMW_N*ODc_N)*ResidUtil*Timeline!AC$9*INDEX(Curve,1,MAX(1,MIN(8,INT((AC$5-$H$17)/4)+1)))/1000000</f>
        <v>0</v>
      </c>
      <c r="AD64" s="120" t="n">
        <f aca="false">AD63*CHOOSE(MATCH($C$17,{"H";"B";"N"},0),GPUMW_H*ODc_H,GPUMW_B*ODc_B,GPUMW_N*ODc_N)*ResidUtil*Timeline!AD$9*INDEX(Curve,1,MAX(1,MIN(8,INT((AD$5-$H$17)/4)+1)))/1000000</f>
        <v>0</v>
      </c>
      <c r="AE64" s="120" t="n">
        <f aca="false">AE63*CHOOSE(MATCH($C$17,{"H";"B";"N"},0),GPUMW_H*ODc_H,GPUMW_B*ODc_B,GPUMW_N*ODc_N)*ResidUtil*Timeline!AE$9*INDEX(Curve,1,MAX(1,MIN(8,INT((AE$5-$H$17)/4)+1)))/1000000</f>
        <v>0</v>
      </c>
      <c r="AF64" s="120" t="n">
        <f aca="false">AF63*CHOOSE(MATCH($C$17,{"H";"B";"N"},0),GPUMW_H*ODc_H,GPUMW_B*ODc_B,GPUMW_N*ODc_N)*ResidUtil*Timeline!AF$9*INDEX(Curve,1,MAX(1,MIN(8,INT((AF$5-$H$17)/4)+1)))/1000000</f>
        <v>0</v>
      </c>
      <c r="AG64" s="120" t="n">
        <f aca="false">AG63*CHOOSE(MATCH($C$17,{"H";"B";"N"},0),GPUMW_H*ODc_H,GPUMW_B*ODc_B,GPUMW_N*ODc_N)*ResidUtil*Timeline!AG$9*INDEX(Curve,1,MAX(1,MIN(8,INT((AG$5-$H$17)/4)+1)))/1000000</f>
        <v>0</v>
      </c>
      <c r="AI64" s="120" t="n">
        <f aca="false">SUMIF($F$7:$AG$7,AI$7,$F64:$AG64)</f>
        <v>0</v>
      </c>
      <c r="AJ64" s="120" t="n">
        <f aca="false">SUMIF($F$7:$AG$7,AJ$7,$F64:$AG64)</f>
        <v>0</v>
      </c>
      <c r="AK64" s="120" t="n">
        <f aca="false">SUMIF($F$7:$AG$7,AK$7,$F64:$AG64)</f>
        <v>0</v>
      </c>
      <c r="AL64" s="120" t="n">
        <f aca="false">SUMIF($F$7:$AG$7,AL$7,$F64:$AG64)</f>
        <v>0</v>
      </c>
      <c r="AM64" s="120" t="n">
        <f aca="false">SUMIF($F$7:$AG$7,AM$7,$F64:$AG64)</f>
        <v>0</v>
      </c>
      <c r="AN64" s="120" t="n">
        <f aca="false">SUMIF($F$7:$AG$7,AN$7,$F64:$AG64)</f>
        <v>0</v>
      </c>
      <c r="AO64" s="120" t="n">
        <f aca="false">SUMIF($F$7:$AG$7,AO$7,$F64:$AG64)</f>
        <v>0</v>
      </c>
    </row>
    <row r="65" customFormat="false" ht="15" hidden="false" customHeight="false" outlineLevel="0" collapsed="false">
      <c r="A65" s="101" t="s">
        <v>1396</v>
      </c>
      <c r="B65" s="18" t="s">
        <v>400</v>
      </c>
      <c r="C65" s="18"/>
      <c r="D65" s="18"/>
      <c r="F65" s="119" t="n">
        <f aca="false">(1-$I$18)*(1-$J$18)*$D$18*$E$18/4*MIN(1,MAX(0,(F$5-$H$18+1)/$T$18))*IF(F$5=$H$18,DelivFactor,IF(AND(F$5&gt;$H$18,F$5&lt;$H$18+$F$18),1,IF(F$5=$H$18+$F$18,1-DelivFactor,0)))</f>
        <v>0</v>
      </c>
      <c r="G65" s="119" t="n">
        <f aca="false">(1-$I$18)*(1-$J$18)*$D$18*$E$18/4*MIN(1,MAX(0,(G$5-$H$18+1)/$T$18))*IF(G$5=$H$18,DelivFactor,IF(AND(G$5&gt;$H$18,G$5&lt;$H$18+$F$18),1,IF(G$5=$H$18+$F$18,1-DelivFactor,0)))</f>
        <v>0</v>
      </c>
      <c r="H65" s="119" t="n">
        <f aca="false">(1-$I$18)*(1-$J$18)*$D$18*$E$18/4*MIN(1,MAX(0,(H$5-$H$18+1)/$T$18))*IF(H$5=$H$18,DelivFactor,IF(AND(H$5&gt;$H$18,H$5&lt;$H$18+$F$18),1,IF(H$5=$H$18+$F$18,1-DelivFactor,0)))</f>
        <v>0</v>
      </c>
      <c r="I65" s="119" t="n">
        <f aca="false">(1-$I$18)*(1-$J$18)*$D$18*$E$18/4*MIN(1,MAX(0,(I$5-$H$18+1)/$T$18))*IF(I$5=$H$18,DelivFactor,IF(AND(I$5&gt;$H$18,I$5&lt;$H$18+$F$18),1,IF(I$5=$H$18+$F$18,1-DelivFactor,0)))</f>
        <v>0</v>
      </c>
      <c r="J65" s="119" t="n">
        <f aca="false">(1-$I$18)*(1-$J$18)*$D$18*$E$18/4*MIN(1,MAX(0,(J$5-$H$18+1)/$T$18))*IF(J$5=$H$18,DelivFactor,IF(AND(J$5&gt;$H$18,J$5&lt;$H$18+$F$18),1,IF(J$5=$H$18+$F$18,1-DelivFactor,0)))</f>
        <v>0</v>
      </c>
      <c r="K65" s="119" t="n">
        <f aca="false">(1-$I$18)*(1-$J$18)*$D$18*$E$18/4*MIN(1,MAX(0,(K$5-$H$18+1)/$T$18))*IF(K$5=$H$18,DelivFactor,IF(AND(K$5&gt;$H$18,K$5&lt;$H$18+$F$18),1,IF(K$5=$H$18+$F$18,1-DelivFactor,0)))</f>
        <v>0</v>
      </c>
      <c r="L65" s="119" t="n">
        <f aca="false">(1-$I$18)*(1-$J$18)*$D$18*$E$18/4*MIN(1,MAX(0,(L$5-$H$18+1)/$T$18))*IF(L$5=$H$18,DelivFactor,IF(AND(L$5&gt;$H$18,L$5&lt;$H$18+$F$18),1,IF(L$5=$H$18+$F$18,1-DelivFactor,0)))</f>
        <v>0</v>
      </c>
      <c r="M65" s="119" t="n">
        <f aca="false">(1-$I$18)*(1-$J$18)*$D$18*$E$18/4*MIN(1,MAX(0,(M$5-$H$18+1)/$T$18))*IF(M$5=$H$18,DelivFactor,IF(AND(M$5&gt;$H$18,M$5&lt;$H$18+$F$18),1,IF(M$5=$H$18+$F$18,1-DelivFactor,0)))</f>
        <v>0</v>
      </c>
      <c r="N65" s="119" t="n">
        <f aca="false">(1-$I$18)*(1-$J$18)*$D$18*$E$18/4*MIN(1,MAX(0,(N$5-$H$18+1)/$T$18))*IF(N$5=$H$18,DelivFactor,IF(AND(N$5&gt;$H$18,N$5&lt;$H$18+$F$18),1,IF(N$5=$H$18+$F$18,1-DelivFactor,0)))</f>
        <v>0</v>
      </c>
      <c r="O65" s="119" t="n">
        <f aca="false">(1-$I$18)*(1-$J$18)*$D$18*$E$18/4*MIN(1,MAX(0,(O$5-$H$18+1)/$T$18))*IF(O$5=$H$18,DelivFactor,IF(AND(O$5&gt;$H$18,O$5&lt;$H$18+$F$18),1,IF(O$5=$H$18+$F$18,1-DelivFactor,0)))</f>
        <v>0</v>
      </c>
      <c r="P65" s="120" t="n">
        <f aca="false">(1-$I$18)*(1-$J$18)*$D$18*$E$18/4*MIN(1,MAX(0,(P$5-$H$18+1)/$T$18))*IF(P$5=$H$18,DelivFactor,IF(AND(P$5&gt;$H$18,P$5&lt;$H$18+$F$18),1,IF(P$5=$H$18+$F$18,1-DelivFactor,0)))</f>
        <v>0</v>
      </c>
      <c r="Q65" s="120" t="n">
        <f aca="false">(1-$I$18)*(1-$J$18)*$D$18*$E$18/4*MIN(1,MAX(0,(Q$5-$H$18+1)/$T$18))*IF(Q$5=$H$18,DelivFactor,IF(AND(Q$5&gt;$H$18,Q$5&lt;$H$18+$F$18),1,IF(Q$5=$H$18+$F$18,1-DelivFactor,0)))</f>
        <v>0</v>
      </c>
      <c r="R65" s="120" t="n">
        <f aca="false">(1-$I$18)*(1-$J$18)*$D$18*$E$18/4*MIN(1,MAX(0,(R$5-$H$18+1)/$T$18))*IF(R$5=$H$18,DelivFactor,IF(AND(R$5&gt;$H$18,R$5&lt;$H$18+$F$18),1,IF(R$5=$H$18+$F$18,1-DelivFactor,0)))</f>
        <v>0</v>
      </c>
      <c r="S65" s="120" t="n">
        <f aca="false">(1-$I$18)*(1-$J$18)*$D$18*$E$18/4*MIN(1,MAX(0,(S$5-$H$18+1)/$T$18))*IF(S$5=$H$18,DelivFactor,IF(AND(S$5&gt;$H$18,S$5&lt;$H$18+$F$18),1,IF(S$5=$H$18+$F$18,1-DelivFactor,0)))</f>
        <v>0</v>
      </c>
      <c r="T65" s="120" t="n">
        <f aca="false">(1-$I$18)*(1-$J$18)*$D$18*$E$18/4*MIN(1,MAX(0,(T$5-$H$18+1)/$T$18))*IF(T$5=$H$18,DelivFactor,IF(AND(T$5&gt;$H$18,T$5&lt;$H$18+$F$18),1,IF(T$5=$H$18+$F$18,1-DelivFactor,0)))</f>
        <v>12.0784027777778</v>
      </c>
      <c r="U65" s="120" t="n">
        <f aca="false">(1-$I$18)*(1-$J$18)*$D$18*$E$18/4*MIN(1,MAX(0,(U$5-$H$18+1)/$T$18))*IF(U$5=$H$18,DelivFactor,IF(AND(U$5&gt;$H$18,U$5&lt;$H$18+$F$18),1,IF(U$5=$H$18+$F$18,1-DelivFactor,0)))</f>
        <v>48.3136111111111</v>
      </c>
      <c r="V65" s="120" t="n">
        <f aca="false">(1-$I$18)*(1-$J$18)*$D$18*$E$18/4*MIN(1,MAX(0,(V$5-$H$18+1)/$T$18))*IF(V$5=$H$18,DelivFactor,IF(AND(V$5&gt;$H$18,V$5&lt;$H$18+$F$18),1,IF(V$5=$H$18+$F$18,1-DelivFactor,0)))</f>
        <v>72.4704166666667</v>
      </c>
      <c r="W65" s="120" t="n">
        <f aca="false">(1-$I$18)*(1-$J$18)*$D$18*$E$18/4*MIN(1,MAX(0,(W$5-$H$18+1)/$T$18))*IF(W$5=$H$18,DelivFactor,IF(AND(W$5&gt;$H$18,W$5&lt;$H$18+$F$18),1,IF(W$5=$H$18+$F$18,1-DelivFactor,0)))</f>
        <v>96.6272222222222</v>
      </c>
      <c r="X65" s="120" t="n">
        <f aca="false">(1-$I$18)*(1-$J$18)*$D$18*$E$18/4*MIN(1,MAX(0,(X$5-$H$18+1)/$T$18))*IF(X$5=$H$18,DelivFactor,IF(AND(X$5&gt;$H$18,X$5&lt;$H$18+$F$18),1,IF(X$5=$H$18+$F$18,1-DelivFactor,0)))</f>
        <v>96.6272222222222</v>
      </c>
      <c r="Y65" s="120" t="n">
        <f aca="false">(1-$I$18)*(1-$J$18)*$D$18*$E$18/4*MIN(1,MAX(0,(Y$5-$H$18+1)/$T$18))*IF(Y$5=$H$18,DelivFactor,IF(AND(Y$5&gt;$H$18,Y$5&lt;$H$18+$F$18),1,IF(Y$5=$H$18+$F$18,1-DelivFactor,0)))</f>
        <v>96.6272222222222</v>
      </c>
      <c r="Z65" s="120" t="n">
        <f aca="false">(1-$I$18)*(1-$J$18)*$D$18*$E$18/4*MIN(1,MAX(0,(Z$5-$H$18+1)/$T$18))*IF(Z$5=$H$18,DelivFactor,IF(AND(Z$5&gt;$H$18,Z$5&lt;$H$18+$F$18),1,IF(Z$5=$H$18+$F$18,1-DelivFactor,0)))</f>
        <v>96.6272222222222</v>
      </c>
      <c r="AA65" s="120" t="n">
        <f aca="false">(1-$I$18)*(1-$J$18)*$D$18*$E$18/4*MIN(1,MAX(0,(AA$5-$H$18+1)/$T$18))*IF(AA$5=$H$18,DelivFactor,IF(AND(AA$5&gt;$H$18,AA$5&lt;$H$18+$F$18),1,IF(AA$5=$H$18+$F$18,1-DelivFactor,0)))</f>
        <v>96.6272222222222</v>
      </c>
      <c r="AB65" s="120" t="n">
        <f aca="false">(1-$I$18)*(1-$J$18)*$D$18*$E$18/4*MIN(1,MAX(0,(AB$5-$H$18+1)/$T$18))*IF(AB$5=$H$18,DelivFactor,IF(AND(AB$5&gt;$H$18,AB$5&lt;$H$18+$F$18),1,IF(AB$5=$H$18+$F$18,1-DelivFactor,0)))</f>
        <v>96.6272222222222</v>
      </c>
      <c r="AC65" s="120" t="n">
        <f aca="false">(1-$I$18)*(1-$J$18)*$D$18*$E$18/4*MIN(1,MAX(0,(AC$5-$H$18+1)/$T$18))*IF(AC$5=$H$18,DelivFactor,IF(AND(AC$5&gt;$H$18,AC$5&lt;$H$18+$F$18),1,IF(AC$5=$H$18+$F$18,1-DelivFactor,0)))</f>
        <v>96.6272222222222</v>
      </c>
      <c r="AD65" s="120" t="n">
        <f aca="false">(1-$I$18)*(1-$J$18)*$D$18*$E$18/4*MIN(1,MAX(0,(AD$5-$H$18+1)/$T$18))*IF(AD$5=$H$18,DelivFactor,IF(AND(AD$5&gt;$H$18,AD$5&lt;$H$18+$F$18),1,IF(AD$5=$H$18+$F$18,1-DelivFactor,0)))</f>
        <v>96.6272222222222</v>
      </c>
      <c r="AE65" s="120" t="n">
        <f aca="false">(1-$I$18)*(1-$J$18)*$D$18*$E$18/4*MIN(1,MAX(0,(AE$5-$H$18+1)/$T$18))*IF(AE$5=$H$18,DelivFactor,IF(AND(AE$5&gt;$H$18,AE$5&lt;$H$18+$F$18),1,IF(AE$5=$H$18+$F$18,1-DelivFactor,0)))</f>
        <v>96.6272222222222</v>
      </c>
      <c r="AF65" s="120" t="n">
        <f aca="false">(1-$I$18)*(1-$J$18)*$D$18*$E$18/4*MIN(1,MAX(0,(AF$5-$H$18+1)/$T$18))*IF(AF$5=$H$18,DelivFactor,IF(AND(AF$5&gt;$H$18,AF$5&lt;$H$18+$F$18),1,IF(AF$5=$H$18+$F$18,1-DelivFactor,0)))</f>
        <v>96.6272222222222</v>
      </c>
      <c r="AG65" s="120" t="n">
        <f aca="false">(1-$I$18)*(1-$J$18)*$D$18*$E$18/4*MIN(1,MAX(0,(AG$5-$H$18+1)/$T$18))*IF(AG$5=$H$18,DelivFactor,IF(AND(AG$5&gt;$H$18,AG$5&lt;$H$18+$F$18),1,IF(AG$5=$H$18+$F$18,1-DelivFactor,0)))</f>
        <v>96.6272222222222</v>
      </c>
      <c r="AI65" s="120" t="n">
        <f aca="false">SUMIF($F$7:$AG$7,AI$7,$F65:$AG65)</f>
        <v>0</v>
      </c>
      <c r="AJ65" s="120" t="n">
        <f aca="false">SUMIF($F$7:$AG$7,AJ$7,$F65:$AG65)</f>
        <v>0</v>
      </c>
      <c r="AK65" s="120" t="n">
        <f aca="false">SUMIF($F$7:$AG$7,AK$7,$F65:$AG65)</f>
        <v>0</v>
      </c>
      <c r="AL65" s="120" t="n">
        <f aca="false">SUMIF($F$7:$AG$7,AL$7,$F65:$AG65)</f>
        <v>60.3920138888889</v>
      </c>
      <c r="AM65" s="120" t="n">
        <f aca="false">SUMIF($F$7:$AG$7,AM$7,$F65:$AG65)</f>
        <v>362.352083333333</v>
      </c>
      <c r="AN65" s="120" t="n">
        <f aca="false">SUMIF($F$7:$AG$7,AN$7,$F65:$AG65)</f>
        <v>386.508888888889</v>
      </c>
      <c r="AO65" s="120" t="n">
        <f aca="false">SUMIF($F$7:$AG$7,AO$7,$F65:$AG65)</f>
        <v>386.508888888889</v>
      </c>
    </row>
    <row r="66" customFormat="false" ht="15" hidden="false" customHeight="false" outlineLevel="0" collapsed="false">
      <c r="A66" s="101" t="s">
        <v>1397</v>
      </c>
      <c r="B66" s="18" t="s">
        <v>415</v>
      </c>
      <c r="C66" s="18"/>
      <c r="D66" s="18"/>
      <c r="F66" s="110" t="n">
        <f aca="false">(1-$I$18)*(1-$J$18)*$D$18*AND(F$5&gt;=$H$18,F$5&lt;$H$18+$F$18)</f>
        <v>0</v>
      </c>
      <c r="G66" s="110" t="n">
        <f aca="false">(1-$I$18)*(1-$J$18)*$D$18*AND(G$5&gt;=$H$18,G$5&lt;$H$18+$F$18)</f>
        <v>0</v>
      </c>
      <c r="H66" s="110" t="n">
        <f aca="false">(1-$I$18)*(1-$J$18)*$D$18*AND(H$5&gt;=$H$18,H$5&lt;$H$18+$F$18)</f>
        <v>0</v>
      </c>
      <c r="I66" s="110" t="n">
        <f aca="false">(1-$I$18)*(1-$J$18)*$D$18*AND(I$5&gt;=$H$18,I$5&lt;$H$18+$F$18)</f>
        <v>0</v>
      </c>
      <c r="J66" s="110" t="n">
        <f aca="false">(1-$I$18)*(1-$J$18)*$D$18*AND(J$5&gt;=$H$18,J$5&lt;$H$18+$F$18)</f>
        <v>0</v>
      </c>
      <c r="K66" s="110" t="n">
        <f aca="false">(1-$I$18)*(1-$J$18)*$D$18*AND(K$5&gt;=$H$18,K$5&lt;$H$18+$F$18)</f>
        <v>0</v>
      </c>
      <c r="L66" s="110" t="n">
        <f aca="false">(1-$I$18)*(1-$J$18)*$D$18*AND(L$5&gt;=$H$18,L$5&lt;$H$18+$F$18)</f>
        <v>0</v>
      </c>
      <c r="M66" s="110" t="n">
        <f aca="false">(1-$I$18)*(1-$J$18)*$D$18*AND(M$5&gt;=$H$18,M$5&lt;$H$18+$F$18)</f>
        <v>0</v>
      </c>
      <c r="N66" s="110" t="n">
        <f aca="false">(1-$I$18)*(1-$J$18)*$D$18*AND(N$5&gt;=$H$18,N$5&lt;$H$18+$F$18)</f>
        <v>0</v>
      </c>
      <c r="O66" s="110" t="n">
        <f aca="false">(1-$I$18)*(1-$J$18)*$D$18*AND(O$5&gt;=$H$18,O$5&lt;$H$18+$F$18)</f>
        <v>0</v>
      </c>
      <c r="P66" s="21" t="n">
        <f aca="false">(1-$I$18)*(1-$J$18)*$D$18*AND(P$5&gt;=$H$18,P$5&lt;$H$18+$F$18)</f>
        <v>0</v>
      </c>
      <c r="Q66" s="21" t="n">
        <f aca="false">(1-$I$18)*(1-$J$18)*$D$18*AND(Q$5&gt;=$H$18,Q$5&lt;$H$18+$F$18)</f>
        <v>0</v>
      </c>
      <c r="R66" s="21" t="n">
        <f aca="false">(1-$I$18)*(1-$J$18)*$D$18*AND(R$5&gt;=$H$18,R$5&lt;$H$18+$F$18)</f>
        <v>0</v>
      </c>
      <c r="S66" s="21" t="n">
        <f aca="false">(1-$I$18)*(1-$J$18)*$D$18*AND(S$5&gt;=$H$18,S$5&lt;$H$18+$F$18)</f>
        <v>0</v>
      </c>
      <c r="T66" s="21" t="n">
        <f aca="false">(1-$I$18)*(1-$J$18)*$D$18*AND(T$5&gt;=$H$18,T$5&lt;$H$18+$F$18)</f>
        <v>26.6666666666667</v>
      </c>
      <c r="U66" s="21" t="n">
        <f aca="false">(1-$I$18)*(1-$J$18)*$D$18*AND(U$5&gt;=$H$18,U$5&lt;$H$18+$F$18)</f>
        <v>26.6666666666667</v>
      </c>
      <c r="V66" s="21" t="n">
        <f aca="false">(1-$I$18)*(1-$J$18)*$D$18*AND(V$5&gt;=$H$18,V$5&lt;$H$18+$F$18)</f>
        <v>26.6666666666667</v>
      </c>
      <c r="W66" s="21" t="n">
        <f aca="false">(1-$I$18)*(1-$J$18)*$D$18*AND(W$5&gt;=$H$18,W$5&lt;$H$18+$F$18)</f>
        <v>26.6666666666667</v>
      </c>
      <c r="X66" s="21" t="n">
        <f aca="false">(1-$I$18)*(1-$J$18)*$D$18*AND(X$5&gt;=$H$18,X$5&lt;$H$18+$F$18)</f>
        <v>26.6666666666667</v>
      </c>
      <c r="Y66" s="21" t="n">
        <f aca="false">(1-$I$18)*(1-$J$18)*$D$18*AND(Y$5&gt;=$H$18,Y$5&lt;$H$18+$F$18)</f>
        <v>26.6666666666667</v>
      </c>
      <c r="Z66" s="21" t="n">
        <f aca="false">(1-$I$18)*(1-$J$18)*$D$18*AND(Z$5&gt;=$H$18,Z$5&lt;$H$18+$F$18)</f>
        <v>26.6666666666667</v>
      </c>
      <c r="AA66" s="21" t="n">
        <f aca="false">(1-$I$18)*(1-$J$18)*$D$18*AND(AA$5&gt;=$H$18,AA$5&lt;$H$18+$F$18)</f>
        <v>26.6666666666667</v>
      </c>
      <c r="AB66" s="21" t="n">
        <f aca="false">(1-$I$18)*(1-$J$18)*$D$18*AND(AB$5&gt;=$H$18,AB$5&lt;$H$18+$F$18)</f>
        <v>26.6666666666667</v>
      </c>
      <c r="AC66" s="21" t="n">
        <f aca="false">(1-$I$18)*(1-$J$18)*$D$18*AND(AC$5&gt;=$H$18,AC$5&lt;$H$18+$F$18)</f>
        <v>26.6666666666667</v>
      </c>
      <c r="AD66" s="21" t="n">
        <f aca="false">(1-$I$18)*(1-$J$18)*$D$18*AND(AD$5&gt;=$H$18,AD$5&lt;$H$18+$F$18)</f>
        <v>26.6666666666667</v>
      </c>
      <c r="AE66" s="21" t="n">
        <f aca="false">(1-$I$18)*(1-$J$18)*$D$18*AND(AE$5&gt;=$H$18,AE$5&lt;$H$18+$F$18)</f>
        <v>26.6666666666667</v>
      </c>
      <c r="AF66" s="21" t="n">
        <f aca="false">(1-$I$18)*(1-$J$18)*$D$18*AND(AF$5&gt;=$H$18,AF$5&lt;$H$18+$F$18)</f>
        <v>26.6666666666667</v>
      </c>
      <c r="AG66" s="21" t="n">
        <f aca="false">(1-$I$18)*(1-$J$18)*$D$18*AND(AG$5&gt;=$H$18,AG$5&lt;$H$18+$F$18)</f>
        <v>26.6666666666667</v>
      </c>
      <c r="AI66" s="21" t="n">
        <f aca="false">INDEX($F66:$AG66,1,MATCH(AI$7,$F$7:$AG$7,1))</f>
        <v>0</v>
      </c>
      <c r="AJ66" s="21" t="n">
        <f aca="false">INDEX($F66:$AG66,1,MATCH(AJ$7,$F$7:$AG$7,1))</f>
        <v>0</v>
      </c>
      <c r="AK66" s="21" t="n">
        <f aca="false">INDEX($F66:$AG66,1,MATCH(AK$7,$F$7:$AG$7,1))</f>
        <v>0</v>
      </c>
      <c r="AL66" s="21" t="n">
        <f aca="false">INDEX($F66:$AG66,1,MATCH(AL$7,$F$7:$AG$7,1))</f>
        <v>26.6666666666667</v>
      </c>
      <c r="AM66" s="21" t="n">
        <f aca="false">INDEX($F66:$AG66,1,MATCH(AM$7,$F$7:$AG$7,1))</f>
        <v>26.6666666666667</v>
      </c>
      <c r="AN66" s="21" t="n">
        <f aca="false">INDEX($F66:$AG66,1,MATCH(AN$7,$F$7:$AG$7,1))</f>
        <v>26.6666666666667</v>
      </c>
      <c r="AO66" s="21" t="n">
        <f aca="false">INDEX($F66:$AG66,1,MATCH(AO$7,$F$7:$AG$7,1))</f>
        <v>26.6666666666667</v>
      </c>
    </row>
    <row r="67" customFormat="false" ht="15" hidden="false" customHeight="false" outlineLevel="0" collapsed="false">
      <c r="A67" s="101" t="s">
        <v>1398</v>
      </c>
      <c r="B67" s="18" t="s">
        <v>400</v>
      </c>
      <c r="C67" s="18"/>
      <c r="D67" s="18"/>
      <c r="F67" s="119" t="n">
        <f aca="false">-(1-$I$18)*LD_Pct*$D$18*$E$18/4*AND(F$5&gt;=$G$18,F$5&lt;$H$18)</f>
        <v>-0</v>
      </c>
      <c r="G67" s="119" t="n">
        <f aca="false">-(1-$I$18)*LD_Pct*$D$18*$E$18/4*AND(G$5&gt;=$G$18,G$5&lt;$H$18)</f>
        <v>-0</v>
      </c>
      <c r="H67" s="119" t="n">
        <f aca="false">-(1-$I$18)*LD_Pct*$D$18*$E$18/4*AND(H$5&gt;=$G$18,H$5&lt;$H$18)</f>
        <v>-0</v>
      </c>
      <c r="I67" s="119" t="n">
        <f aca="false">-(1-$I$18)*LD_Pct*$D$18*$E$18/4*AND(I$5&gt;=$G$18,I$5&lt;$H$18)</f>
        <v>-0</v>
      </c>
      <c r="J67" s="119" t="n">
        <f aca="false">-(1-$I$18)*LD_Pct*$D$18*$E$18/4*AND(J$5&gt;=$G$18,J$5&lt;$H$18)</f>
        <v>-0</v>
      </c>
      <c r="K67" s="119" t="n">
        <f aca="false">-(1-$I$18)*LD_Pct*$D$18*$E$18/4*AND(K$5&gt;=$G$18,K$5&lt;$H$18)</f>
        <v>-0</v>
      </c>
      <c r="L67" s="119" t="n">
        <f aca="false">-(1-$I$18)*LD_Pct*$D$18*$E$18/4*AND(L$5&gt;=$G$18,L$5&lt;$H$18)</f>
        <v>-0</v>
      </c>
      <c r="M67" s="119" t="n">
        <f aca="false">-(1-$I$18)*LD_Pct*$D$18*$E$18/4*AND(M$5&gt;=$G$18,M$5&lt;$H$18)</f>
        <v>-0</v>
      </c>
      <c r="N67" s="119" t="n">
        <f aca="false">-(1-$I$18)*LD_Pct*$D$18*$E$18/4*AND(N$5&gt;=$G$18,N$5&lt;$H$18)</f>
        <v>-0</v>
      </c>
      <c r="O67" s="119" t="n">
        <f aca="false">-(1-$I$18)*LD_Pct*$D$18*$E$18/4*AND(O$5&gt;=$G$18,O$5&lt;$H$18)</f>
        <v>-0</v>
      </c>
      <c r="P67" s="120" t="n">
        <f aca="false">-(1-$I$18)*LD_Pct*$D$18*$E$18/4*AND(P$5&gt;=$G$18,P$5&lt;$H$18)</f>
        <v>-0</v>
      </c>
      <c r="Q67" s="120" t="n">
        <f aca="false">-(1-$I$18)*LD_Pct*$D$18*$E$18/4*AND(Q$5&gt;=$G$18,Q$5&lt;$H$18)</f>
        <v>-0</v>
      </c>
      <c r="R67" s="120" t="n">
        <f aca="false">-(1-$I$18)*LD_Pct*$D$18*$E$18/4*AND(R$5&gt;=$G$18,R$5&lt;$H$18)</f>
        <v>-0</v>
      </c>
      <c r="S67" s="120" t="n">
        <f aca="false">-(1-$I$18)*LD_Pct*$D$18*$E$18/4*AND(S$5&gt;=$G$18,S$5&lt;$H$18)</f>
        <v>-0</v>
      </c>
      <c r="T67" s="120" t="n">
        <f aca="false">-(1-$I$18)*LD_Pct*$D$18*$E$18/4*AND(T$5&gt;=$G$18,T$5&lt;$H$18)</f>
        <v>-0</v>
      </c>
      <c r="U67" s="120" t="n">
        <f aca="false">-(1-$I$18)*LD_Pct*$D$18*$E$18/4*AND(U$5&gt;=$G$18,U$5&lt;$H$18)</f>
        <v>-0</v>
      </c>
      <c r="V67" s="120" t="n">
        <f aca="false">-(1-$I$18)*LD_Pct*$D$18*$E$18/4*AND(V$5&gt;=$G$18,V$5&lt;$H$18)</f>
        <v>-0</v>
      </c>
      <c r="W67" s="120" t="n">
        <f aca="false">-(1-$I$18)*LD_Pct*$D$18*$E$18/4*AND(W$5&gt;=$G$18,W$5&lt;$H$18)</f>
        <v>-0</v>
      </c>
      <c r="X67" s="120" t="n">
        <f aca="false">-(1-$I$18)*LD_Pct*$D$18*$E$18/4*AND(X$5&gt;=$G$18,X$5&lt;$H$18)</f>
        <v>-0</v>
      </c>
      <c r="Y67" s="120" t="n">
        <f aca="false">-(1-$I$18)*LD_Pct*$D$18*$E$18/4*AND(Y$5&gt;=$G$18,Y$5&lt;$H$18)</f>
        <v>-0</v>
      </c>
      <c r="Z67" s="120" t="n">
        <f aca="false">-(1-$I$18)*LD_Pct*$D$18*$E$18/4*AND(Z$5&gt;=$G$18,Z$5&lt;$H$18)</f>
        <v>-0</v>
      </c>
      <c r="AA67" s="120" t="n">
        <f aca="false">-(1-$I$18)*LD_Pct*$D$18*$E$18/4*AND(AA$5&gt;=$G$18,AA$5&lt;$H$18)</f>
        <v>-0</v>
      </c>
      <c r="AB67" s="120" t="n">
        <f aca="false">-(1-$I$18)*LD_Pct*$D$18*$E$18/4*AND(AB$5&gt;=$G$18,AB$5&lt;$H$18)</f>
        <v>-0</v>
      </c>
      <c r="AC67" s="120" t="n">
        <f aca="false">-(1-$I$18)*LD_Pct*$D$18*$E$18/4*AND(AC$5&gt;=$G$18,AC$5&lt;$H$18)</f>
        <v>-0</v>
      </c>
      <c r="AD67" s="120" t="n">
        <f aca="false">-(1-$I$18)*LD_Pct*$D$18*$E$18/4*AND(AD$5&gt;=$G$18,AD$5&lt;$H$18)</f>
        <v>-0</v>
      </c>
      <c r="AE67" s="120" t="n">
        <f aca="false">-(1-$I$18)*LD_Pct*$D$18*$E$18/4*AND(AE$5&gt;=$G$18,AE$5&lt;$H$18)</f>
        <v>-0</v>
      </c>
      <c r="AF67" s="120" t="n">
        <f aca="false">-(1-$I$18)*LD_Pct*$D$18*$E$18/4*AND(AF$5&gt;=$G$18,AF$5&lt;$H$18)</f>
        <v>-0</v>
      </c>
      <c r="AG67" s="120" t="n">
        <f aca="false">-(1-$I$18)*LD_Pct*$D$18*$E$18/4*AND(AG$5&gt;=$G$18,AG$5&lt;$H$18)</f>
        <v>-0</v>
      </c>
      <c r="AI67" s="120" t="n">
        <f aca="false">SUMIF($F$7:$AG$7,AI$7,$F67:$AG67)</f>
        <v>0</v>
      </c>
      <c r="AJ67" s="120" t="n">
        <f aca="false">SUMIF($F$7:$AG$7,AJ$7,$F67:$AG67)</f>
        <v>0</v>
      </c>
      <c r="AK67" s="120" t="n">
        <f aca="false">SUMIF($F$7:$AG$7,AK$7,$F67:$AG67)</f>
        <v>0</v>
      </c>
      <c r="AL67" s="120" t="n">
        <f aca="false">SUMIF($F$7:$AG$7,AL$7,$F67:$AG67)</f>
        <v>0</v>
      </c>
      <c r="AM67" s="120" t="n">
        <f aca="false">SUMIF($F$7:$AG$7,AM$7,$F67:$AG67)</f>
        <v>0</v>
      </c>
      <c r="AN67" s="120" t="n">
        <f aca="false">SUMIF($F$7:$AG$7,AN$7,$F67:$AG67)</f>
        <v>0</v>
      </c>
      <c r="AO67" s="120" t="n">
        <f aca="false">SUMIF($F$7:$AG$7,AO$7,$F67:$AG67)</f>
        <v>0</v>
      </c>
    </row>
    <row r="68" customFormat="false" ht="15" hidden="false" customHeight="false" outlineLevel="0" collapsed="false">
      <c r="A68" s="101" t="s">
        <v>1399</v>
      </c>
      <c r="B68" s="18" t="s">
        <v>415</v>
      </c>
      <c r="C68" s="18"/>
      <c r="D68" s="18"/>
      <c r="F68" s="110" t="n">
        <f aca="false">(1-$I$18)*(1-$J$18)*$D$18*(F$5&gt;=$H$18+$F$18)</f>
        <v>0</v>
      </c>
      <c r="G68" s="110" t="n">
        <f aca="false">(1-$I$18)*(1-$J$18)*$D$18*(G$5&gt;=$H$18+$F$18)</f>
        <v>0</v>
      </c>
      <c r="H68" s="110" t="n">
        <f aca="false">(1-$I$18)*(1-$J$18)*$D$18*(H$5&gt;=$H$18+$F$18)</f>
        <v>0</v>
      </c>
      <c r="I68" s="110" t="n">
        <f aca="false">(1-$I$18)*(1-$J$18)*$D$18*(I$5&gt;=$H$18+$F$18)</f>
        <v>0</v>
      </c>
      <c r="J68" s="110" t="n">
        <f aca="false">(1-$I$18)*(1-$J$18)*$D$18*(J$5&gt;=$H$18+$F$18)</f>
        <v>0</v>
      </c>
      <c r="K68" s="110" t="n">
        <f aca="false">(1-$I$18)*(1-$J$18)*$D$18*(K$5&gt;=$H$18+$F$18)</f>
        <v>0</v>
      </c>
      <c r="L68" s="110" t="n">
        <f aca="false">(1-$I$18)*(1-$J$18)*$D$18*(L$5&gt;=$H$18+$F$18)</f>
        <v>0</v>
      </c>
      <c r="M68" s="110" t="n">
        <f aca="false">(1-$I$18)*(1-$J$18)*$D$18*(M$5&gt;=$H$18+$F$18)</f>
        <v>0</v>
      </c>
      <c r="N68" s="110" t="n">
        <f aca="false">(1-$I$18)*(1-$J$18)*$D$18*(N$5&gt;=$H$18+$F$18)</f>
        <v>0</v>
      </c>
      <c r="O68" s="110" t="n">
        <f aca="false">(1-$I$18)*(1-$J$18)*$D$18*(O$5&gt;=$H$18+$F$18)</f>
        <v>0</v>
      </c>
      <c r="P68" s="21" t="n">
        <f aca="false">(1-$I$18)*(1-$J$18)*$D$18*(P$5&gt;=$H$18+$F$18)</f>
        <v>0</v>
      </c>
      <c r="Q68" s="21" t="n">
        <f aca="false">(1-$I$18)*(1-$J$18)*$D$18*(Q$5&gt;=$H$18+$F$18)</f>
        <v>0</v>
      </c>
      <c r="R68" s="21" t="n">
        <f aca="false">(1-$I$18)*(1-$J$18)*$D$18*(R$5&gt;=$H$18+$F$18)</f>
        <v>0</v>
      </c>
      <c r="S68" s="21" t="n">
        <f aca="false">(1-$I$18)*(1-$J$18)*$D$18*(S$5&gt;=$H$18+$F$18)</f>
        <v>0</v>
      </c>
      <c r="T68" s="21" t="n">
        <f aca="false">(1-$I$18)*(1-$J$18)*$D$18*(T$5&gt;=$H$18+$F$18)</f>
        <v>0</v>
      </c>
      <c r="U68" s="21" t="n">
        <f aca="false">(1-$I$18)*(1-$J$18)*$D$18*(U$5&gt;=$H$18+$F$18)</f>
        <v>0</v>
      </c>
      <c r="V68" s="21" t="n">
        <f aca="false">(1-$I$18)*(1-$J$18)*$D$18*(V$5&gt;=$H$18+$F$18)</f>
        <v>0</v>
      </c>
      <c r="W68" s="21" t="n">
        <f aca="false">(1-$I$18)*(1-$J$18)*$D$18*(W$5&gt;=$H$18+$F$18)</f>
        <v>0</v>
      </c>
      <c r="X68" s="21" t="n">
        <f aca="false">(1-$I$18)*(1-$J$18)*$D$18*(X$5&gt;=$H$18+$F$18)</f>
        <v>0</v>
      </c>
      <c r="Y68" s="21" t="n">
        <f aca="false">(1-$I$18)*(1-$J$18)*$D$18*(Y$5&gt;=$H$18+$F$18)</f>
        <v>0</v>
      </c>
      <c r="Z68" s="21" t="n">
        <f aca="false">(1-$I$18)*(1-$J$18)*$D$18*(Z$5&gt;=$H$18+$F$18)</f>
        <v>0</v>
      </c>
      <c r="AA68" s="21" t="n">
        <f aca="false">(1-$I$18)*(1-$J$18)*$D$18*(AA$5&gt;=$H$18+$F$18)</f>
        <v>0</v>
      </c>
      <c r="AB68" s="21" t="n">
        <f aca="false">(1-$I$18)*(1-$J$18)*$D$18*(AB$5&gt;=$H$18+$F$18)</f>
        <v>0</v>
      </c>
      <c r="AC68" s="21" t="n">
        <f aca="false">(1-$I$18)*(1-$J$18)*$D$18*(AC$5&gt;=$H$18+$F$18)</f>
        <v>0</v>
      </c>
      <c r="AD68" s="21" t="n">
        <f aca="false">(1-$I$18)*(1-$J$18)*$D$18*(AD$5&gt;=$H$18+$F$18)</f>
        <v>0</v>
      </c>
      <c r="AE68" s="21" t="n">
        <f aca="false">(1-$I$18)*(1-$J$18)*$D$18*(AE$5&gt;=$H$18+$F$18)</f>
        <v>0</v>
      </c>
      <c r="AF68" s="21" t="n">
        <f aca="false">(1-$I$18)*(1-$J$18)*$D$18*(AF$5&gt;=$H$18+$F$18)</f>
        <v>0</v>
      </c>
      <c r="AG68" s="21" t="n">
        <f aca="false">(1-$I$18)*(1-$J$18)*$D$18*(AG$5&gt;=$H$18+$F$18)</f>
        <v>0</v>
      </c>
      <c r="AI68" s="21" t="n">
        <f aca="false">INDEX($F68:$AG68,1,MATCH(AI$7,$F$7:$AG$7,1))</f>
        <v>0</v>
      </c>
      <c r="AJ68" s="21" t="n">
        <f aca="false">INDEX($F68:$AG68,1,MATCH(AJ$7,$F$7:$AG$7,1))</f>
        <v>0</v>
      </c>
      <c r="AK68" s="21" t="n">
        <f aca="false">INDEX($F68:$AG68,1,MATCH(AK$7,$F$7:$AG$7,1))</f>
        <v>0</v>
      </c>
      <c r="AL68" s="21" t="n">
        <f aca="false">INDEX($F68:$AG68,1,MATCH(AL$7,$F$7:$AG$7,1))</f>
        <v>0</v>
      </c>
      <c r="AM68" s="21" t="n">
        <f aca="false">INDEX($F68:$AG68,1,MATCH(AM$7,$F$7:$AG$7,1))</f>
        <v>0</v>
      </c>
      <c r="AN68" s="21" t="n">
        <f aca="false">INDEX($F68:$AG68,1,MATCH(AN$7,$F$7:$AG$7,1))</f>
        <v>0</v>
      </c>
      <c r="AO68" s="21" t="n">
        <f aca="false">INDEX($F68:$AG68,1,MATCH(AO$7,$F$7:$AG$7,1))</f>
        <v>0</v>
      </c>
    </row>
    <row r="69" customFormat="false" ht="15" hidden="false" customHeight="false" outlineLevel="0" collapsed="false">
      <c r="A69" s="101" t="s">
        <v>1400</v>
      </c>
      <c r="B69" s="18" t="s">
        <v>400</v>
      </c>
      <c r="C69" s="18"/>
      <c r="D69" s="18" t="s">
        <v>1370</v>
      </c>
      <c r="F69" s="119" t="n">
        <f aca="false">F68*CHOOSE(MATCH($C$18,{"H";"B";"N"},0),GPUMW_H*ODc_H,GPUMW_B*ODc_B,GPUMW_N*ODc_N)*ResidUtil*Timeline!F$9*INDEX(Curve,1,MAX(1,MIN(8,INT((F$5-$H$18)/4)+1)))/1000000</f>
        <v>0</v>
      </c>
      <c r="G69" s="119" t="n">
        <f aca="false">G68*CHOOSE(MATCH($C$18,{"H";"B";"N"},0),GPUMW_H*ODc_H,GPUMW_B*ODc_B,GPUMW_N*ODc_N)*ResidUtil*Timeline!G$9*INDEX(Curve,1,MAX(1,MIN(8,INT((G$5-$H$18)/4)+1)))/1000000</f>
        <v>0</v>
      </c>
      <c r="H69" s="119" t="n">
        <f aca="false">H68*CHOOSE(MATCH($C$18,{"H";"B";"N"},0),GPUMW_H*ODc_H,GPUMW_B*ODc_B,GPUMW_N*ODc_N)*ResidUtil*Timeline!H$9*INDEX(Curve,1,MAX(1,MIN(8,INT((H$5-$H$18)/4)+1)))/1000000</f>
        <v>0</v>
      </c>
      <c r="I69" s="119" t="n">
        <f aca="false">I68*CHOOSE(MATCH($C$18,{"H";"B";"N"},0),GPUMW_H*ODc_H,GPUMW_B*ODc_B,GPUMW_N*ODc_N)*ResidUtil*Timeline!I$9*INDEX(Curve,1,MAX(1,MIN(8,INT((I$5-$H$18)/4)+1)))/1000000</f>
        <v>0</v>
      </c>
      <c r="J69" s="119" t="n">
        <f aca="false">J68*CHOOSE(MATCH($C$18,{"H";"B";"N"},0),GPUMW_H*ODc_H,GPUMW_B*ODc_B,GPUMW_N*ODc_N)*ResidUtil*Timeline!J$9*INDEX(Curve,1,MAX(1,MIN(8,INT((J$5-$H$18)/4)+1)))/1000000</f>
        <v>0</v>
      </c>
      <c r="K69" s="119" t="n">
        <f aca="false">K68*CHOOSE(MATCH($C$18,{"H";"B";"N"},0),GPUMW_H*ODc_H,GPUMW_B*ODc_B,GPUMW_N*ODc_N)*ResidUtil*Timeline!K$9*INDEX(Curve,1,MAX(1,MIN(8,INT((K$5-$H$18)/4)+1)))/1000000</f>
        <v>0</v>
      </c>
      <c r="L69" s="119" t="n">
        <f aca="false">L68*CHOOSE(MATCH($C$18,{"H";"B";"N"},0),GPUMW_H*ODc_H,GPUMW_B*ODc_B,GPUMW_N*ODc_N)*ResidUtil*Timeline!L$9*INDEX(Curve,1,MAX(1,MIN(8,INT((L$5-$H$18)/4)+1)))/1000000</f>
        <v>0</v>
      </c>
      <c r="M69" s="119" t="n">
        <f aca="false">M68*CHOOSE(MATCH($C$18,{"H";"B";"N"},0),GPUMW_H*ODc_H,GPUMW_B*ODc_B,GPUMW_N*ODc_N)*ResidUtil*Timeline!M$9*INDEX(Curve,1,MAX(1,MIN(8,INT((M$5-$H$18)/4)+1)))/1000000</f>
        <v>0</v>
      </c>
      <c r="N69" s="119" t="n">
        <f aca="false">N68*CHOOSE(MATCH($C$18,{"H";"B";"N"},0),GPUMW_H*ODc_H,GPUMW_B*ODc_B,GPUMW_N*ODc_N)*ResidUtil*Timeline!N$9*INDEX(Curve,1,MAX(1,MIN(8,INT((N$5-$H$18)/4)+1)))/1000000</f>
        <v>0</v>
      </c>
      <c r="O69" s="119" t="n">
        <f aca="false">O68*CHOOSE(MATCH($C$18,{"H";"B";"N"},0),GPUMW_H*ODc_H,GPUMW_B*ODc_B,GPUMW_N*ODc_N)*ResidUtil*Timeline!O$9*INDEX(Curve,1,MAX(1,MIN(8,INT((O$5-$H$18)/4)+1)))/1000000</f>
        <v>0</v>
      </c>
      <c r="P69" s="120" t="n">
        <f aca="false">P68*CHOOSE(MATCH($C$18,{"H";"B";"N"},0),GPUMW_H*ODc_H,GPUMW_B*ODc_B,GPUMW_N*ODc_N)*ResidUtil*Timeline!P$9*INDEX(Curve,1,MAX(1,MIN(8,INT((P$5-$H$18)/4)+1)))/1000000</f>
        <v>0</v>
      </c>
      <c r="Q69" s="120" t="n">
        <f aca="false">Q68*CHOOSE(MATCH($C$18,{"H";"B";"N"},0),GPUMW_H*ODc_H,GPUMW_B*ODc_B,GPUMW_N*ODc_N)*ResidUtil*Timeline!Q$9*INDEX(Curve,1,MAX(1,MIN(8,INT((Q$5-$H$18)/4)+1)))/1000000</f>
        <v>0</v>
      </c>
      <c r="R69" s="120" t="n">
        <f aca="false">R68*CHOOSE(MATCH($C$18,{"H";"B";"N"},0),GPUMW_H*ODc_H,GPUMW_B*ODc_B,GPUMW_N*ODc_N)*ResidUtil*Timeline!R$9*INDEX(Curve,1,MAX(1,MIN(8,INT((R$5-$H$18)/4)+1)))/1000000</f>
        <v>0</v>
      </c>
      <c r="S69" s="120" t="n">
        <f aca="false">S68*CHOOSE(MATCH($C$18,{"H";"B";"N"},0),GPUMW_H*ODc_H,GPUMW_B*ODc_B,GPUMW_N*ODc_N)*ResidUtil*Timeline!S$9*INDEX(Curve,1,MAX(1,MIN(8,INT((S$5-$H$18)/4)+1)))/1000000</f>
        <v>0</v>
      </c>
      <c r="T69" s="120" t="n">
        <f aca="false">T68*CHOOSE(MATCH($C$18,{"H";"B";"N"},0),GPUMW_H*ODc_H,GPUMW_B*ODc_B,GPUMW_N*ODc_N)*ResidUtil*Timeline!T$9*INDEX(Curve,1,MAX(1,MIN(8,INT((T$5-$H$18)/4)+1)))/1000000</f>
        <v>0</v>
      </c>
      <c r="U69" s="120" t="n">
        <f aca="false">U68*CHOOSE(MATCH($C$18,{"H";"B";"N"},0),GPUMW_H*ODc_H,GPUMW_B*ODc_B,GPUMW_N*ODc_N)*ResidUtil*Timeline!U$9*INDEX(Curve,1,MAX(1,MIN(8,INT((U$5-$H$18)/4)+1)))/1000000</f>
        <v>0</v>
      </c>
      <c r="V69" s="120" t="n">
        <f aca="false">V68*CHOOSE(MATCH($C$18,{"H";"B";"N"},0),GPUMW_H*ODc_H,GPUMW_B*ODc_B,GPUMW_N*ODc_N)*ResidUtil*Timeline!V$9*INDEX(Curve,1,MAX(1,MIN(8,INT((V$5-$H$18)/4)+1)))/1000000</f>
        <v>0</v>
      </c>
      <c r="W69" s="120" t="n">
        <f aca="false">W68*CHOOSE(MATCH($C$18,{"H";"B";"N"},0),GPUMW_H*ODc_H,GPUMW_B*ODc_B,GPUMW_N*ODc_N)*ResidUtil*Timeline!W$9*INDEX(Curve,1,MAX(1,MIN(8,INT((W$5-$H$18)/4)+1)))/1000000</f>
        <v>0</v>
      </c>
      <c r="X69" s="120" t="n">
        <f aca="false">X68*CHOOSE(MATCH($C$18,{"H";"B";"N"},0),GPUMW_H*ODc_H,GPUMW_B*ODc_B,GPUMW_N*ODc_N)*ResidUtil*Timeline!X$9*INDEX(Curve,1,MAX(1,MIN(8,INT((X$5-$H$18)/4)+1)))/1000000</f>
        <v>0</v>
      </c>
      <c r="Y69" s="120" t="n">
        <f aca="false">Y68*CHOOSE(MATCH($C$18,{"H";"B";"N"},0),GPUMW_H*ODc_H,GPUMW_B*ODc_B,GPUMW_N*ODc_N)*ResidUtil*Timeline!Y$9*INDEX(Curve,1,MAX(1,MIN(8,INT((Y$5-$H$18)/4)+1)))/1000000</f>
        <v>0</v>
      </c>
      <c r="Z69" s="120" t="n">
        <f aca="false">Z68*CHOOSE(MATCH($C$18,{"H";"B";"N"},0),GPUMW_H*ODc_H,GPUMW_B*ODc_B,GPUMW_N*ODc_N)*ResidUtil*Timeline!Z$9*INDEX(Curve,1,MAX(1,MIN(8,INT((Z$5-$H$18)/4)+1)))/1000000</f>
        <v>0</v>
      </c>
      <c r="AA69" s="120" t="n">
        <f aca="false">AA68*CHOOSE(MATCH($C$18,{"H";"B";"N"},0),GPUMW_H*ODc_H,GPUMW_B*ODc_B,GPUMW_N*ODc_N)*ResidUtil*Timeline!AA$9*INDEX(Curve,1,MAX(1,MIN(8,INT((AA$5-$H$18)/4)+1)))/1000000</f>
        <v>0</v>
      </c>
      <c r="AB69" s="120" t="n">
        <f aca="false">AB68*CHOOSE(MATCH($C$18,{"H";"B";"N"},0),GPUMW_H*ODc_H,GPUMW_B*ODc_B,GPUMW_N*ODc_N)*ResidUtil*Timeline!AB$9*INDEX(Curve,1,MAX(1,MIN(8,INT((AB$5-$H$18)/4)+1)))/1000000</f>
        <v>0</v>
      </c>
      <c r="AC69" s="120" t="n">
        <f aca="false">AC68*CHOOSE(MATCH($C$18,{"H";"B";"N"},0),GPUMW_H*ODc_H,GPUMW_B*ODc_B,GPUMW_N*ODc_N)*ResidUtil*Timeline!AC$9*INDEX(Curve,1,MAX(1,MIN(8,INT((AC$5-$H$18)/4)+1)))/1000000</f>
        <v>0</v>
      </c>
      <c r="AD69" s="120" t="n">
        <f aca="false">AD68*CHOOSE(MATCH($C$18,{"H";"B";"N"},0),GPUMW_H*ODc_H,GPUMW_B*ODc_B,GPUMW_N*ODc_N)*ResidUtil*Timeline!AD$9*INDEX(Curve,1,MAX(1,MIN(8,INT((AD$5-$H$18)/4)+1)))/1000000</f>
        <v>0</v>
      </c>
      <c r="AE69" s="120" t="n">
        <f aca="false">AE68*CHOOSE(MATCH($C$18,{"H";"B";"N"},0),GPUMW_H*ODc_H,GPUMW_B*ODc_B,GPUMW_N*ODc_N)*ResidUtil*Timeline!AE$9*INDEX(Curve,1,MAX(1,MIN(8,INT((AE$5-$H$18)/4)+1)))/1000000</f>
        <v>0</v>
      </c>
      <c r="AF69" s="120" t="n">
        <f aca="false">AF68*CHOOSE(MATCH($C$18,{"H";"B";"N"},0),GPUMW_H*ODc_H,GPUMW_B*ODc_B,GPUMW_N*ODc_N)*ResidUtil*Timeline!AF$9*INDEX(Curve,1,MAX(1,MIN(8,INT((AF$5-$H$18)/4)+1)))/1000000</f>
        <v>0</v>
      </c>
      <c r="AG69" s="120" t="n">
        <f aca="false">AG68*CHOOSE(MATCH($C$18,{"H";"B";"N"},0),GPUMW_H*ODc_H,GPUMW_B*ODc_B,GPUMW_N*ODc_N)*ResidUtil*Timeline!AG$9*INDEX(Curve,1,MAX(1,MIN(8,INT((AG$5-$H$18)/4)+1)))/1000000</f>
        <v>0</v>
      </c>
      <c r="AI69" s="120" t="n">
        <f aca="false">SUMIF($F$7:$AG$7,AI$7,$F69:$AG69)</f>
        <v>0</v>
      </c>
      <c r="AJ69" s="120" t="n">
        <f aca="false">SUMIF($F$7:$AG$7,AJ$7,$F69:$AG69)</f>
        <v>0</v>
      </c>
      <c r="AK69" s="120" t="n">
        <f aca="false">SUMIF($F$7:$AG$7,AK$7,$F69:$AG69)</f>
        <v>0</v>
      </c>
      <c r="AL69" s="120" t="n">
        <f aca="false">SUMIF($F$7:$AG$7,AL$7,$F69:$AG69)</f>
        <v>0</v>
      </c>
      <c r="AM69" s="120" t="n">
        <f aca="false">SUMIF($F$7:$AG$7,AM$7,$F69:$AG69)</f>
        <v>0</v>
      </c>
      <c r="AN69" s="120" t="n">
        <f aca="false">SUMIF($F$7:$AG$7,AN$7,$F69:$AG69)</f>
        <v>0</v>
      </c>
      <c r="AO69" s="120" t="n">
        <f aca="false">SUMIF($F$7:$AG$7,AO$7,$F69:$AG69)</f>
        <v>0</v>
      </c>
    </row>
    <row r="70" customFormat="false" ht="15" hidden="false" customHeight="false" outlineLevel="0" collapsed="false">
      <c r="A70" s="101" t="s">
        <v>1401</v>
      </c>
      <c r="B70" s="18" t="s">
        <v>400</v>
      </c>
      <c r="C70" s="18"/>
      <c r="D70" s="18"/>
      <c r="F70" s="119" t="n">
        <f aca="false">(1-$I$19)*(1-$J$19)*$D$19*$E$19/4*MIN(1,MAX(0,(F$5-$H$19+1)/$T$19))*IF(F$5=$H$19,DelivFactor,IF(AND(F$5&gt;$H$19,F$5&lt;$H$19+$F$19),1,IF(F$5=$H$19+$F$19,1-DelivFactor,0)))</f>
        <v>0</v>
      </c>
      <c r="G70" s="119" t="n">
        <f aca="false">(1-$I$19)*(1-$J$19)*$D$19*$E$19/4*MIN(1,MAX(0,(G$5-$H$19+1)/$T$19))*IF(G$5=$H$19,DelivFactor,IF(AND(G$5&gt;$H$19,G$5&lt;$H$19+$F$19),1,IF(G$5=$H$19+$F$19,1-DelivFactor,0)))</f>
        <v>0</v>
      </c>
      <c r="H70" s="119" t="n">
        <f aca="false">(1-$I$19)*(1-$J$19)*$D$19*$E$19/4*MIN(1,MAX(0,(H$5-$H$19+1)/$T$19))*IF(H$5=$H$19,DelivFactor,IF(AND(H$5&gt;$H$19,H$5&lt;$H$19+$F$19),1,IF(H$5=$H$19+$F$19,1-DelivFactor,0)))</f>
        <v>0</v>
      </c>
      <c r="I70" s="119" t="n">
        <f aca="false">(1-$I$19)*(1-$J$19)*$D$19*$E$19/4*MIN(1,MAX(0,(I$5-$H$19+1)/$T$19))*IF(I$5=$H$19,DelivFactor,IF(AND(I$5&gt;$H$19,I$5&lt;$H$19+$F$19),1,IF(I$5=$H$19+$F$19,1-DelivFactor,0)))</f>
        <v>0</v>
      </c>
      <c r="J70" s="119" t="n">
        <f aca="false">(1-$I$19)*(1-$J$19)*$D$19*$E$19/4*MIN(1,MAX(0,(J$5-$H$19+1)/$T$19))*IF(J$5=$H$19,DelivFactor,IF(AND(J$5&gt;$H$19,J$5&lt;$H$19+$F$19),1,IF(J$5=$H$19+$F$19,1-DelivFactor,0)))</f>
        <v>0</v>
      </c>
      <c r="K70" s="119" t="n">
        <f aca="false">(1-$I$19)*(1-$J$19)*$D$19*$E$19/4*MIN(1,MAX(0,(K$5-$H$19+1)/$T$19))*IF(K$5=$H$19,DelivFactor,IF(AND(K$5&gt;$H$19,K$5&lt;$H$19+$F$19),1,IF(K$5=$H$19+$F$19,1-DelivFactor,0)))</f>
        <v>0</v>
      </c>
      <c r="L70" s="119" t="n">
        <f aca="false">(1-$I$19)*(1-$J$19)*$D$19*$E$19/4*MIN(1,MAX(0,(L$5-$H$19+1)/$T$19))*IF(L$5=$H$19,DelivFactor,IF(AND(L$5&gt;$H$19,L$5&lt;$H$19+$F$19),1,IF(L$5=$H$19+$F$19,1-DelivFactor,0)))</f>
        <v>0</v>
      </c>
      <c r="M70" s="119" t="n">
        <f aca="false">(1-$I$19)*(1-$J$19)*$D$19*$E$19/4*MIN(1,MAX(0,(M$5-$H$19+1)/$T$19))*IF(M$5=$H$19,DelivFactor,IF(AND(M$5&gt;$H$19,M$5&lt;$H$19+$F$19),1,IF(M$5=$H$19+$F$19,1-DelivFactor,0)))</f>
        <v>0</v>
      </c>
      <c r="N70" s="119" t="n">
        <f aca="false">(1-$I$19)*(1-$J$19)*$D$19*$E$19/4*MIN(1,MAX(0,(N$5-$H$19+1)/$T$19))*IF(N$5=$H$19,DelivFactor,IF(AND(N$5&gt;$H$19,N$5&lt;$H$19+$F$19),1,IF(N$5=$H$19+$F$19,1-DelivFactor,0)))</f>
        <v>0</v>
      </c>
      <c r="O70" s="119" t="n">
        <f aca="false">(1-$I$19)*(1-$J$19)*$D$19*$E$19/4*MIN(1,MAX(0,(O$5-$H$19+1)/$T$19))*IF(O$5=$H$19,DelivFactor,IF(AND(O$5&gt;$H$19,O$5&lt;$H$19+$F$19),1,IF(O$5=$H$19+$F$19,1-DelivFactor,0)))</f>
        <v>0</v>
      </c>
      <c r="P70" s="120" t="n">
        <f aca="false">(1-$I$19)*(1-$J$19)*$D$19*$E$19/4*MIN(1,MAX(0,(P$5-$H$19+1)/$T$19))*IF(P$5=$H$19,DelivFactor,IF(AND(P$5&gt;$H$19,P$5&lt;$H$19+$F$19),1,IF(P$5=$H$19+$F$19,1-DelivFactor,0)))</f>
        <v>0</v>
      </c>
      <c r="Q70" s="120" t="n">
        <f aca="false">(1-$I$19)*(1-$J$19)*$D$19*$E$19/4*MIN(1,MAX(0,(Q$5-$H$19+1)/$T$19))*IF(Q$5=$H$19,DelivFactor,IF(AND(Q$5&gt;$H$19,Q$5&lt;$H$19+$F$19),1,IF(Q$5=$H$19+$F$19,1-DelivFactor,0)))</f>
        <v>0</v>
      </c>
      <c r="R70" s="120" t="n">
        <f aca="false">(1-$I$19)*(1-$J$19)*$D$19*$E$19/4*MIN(1,MAX(0,(R$5-$H$19+1)/$T$19))*IF(R$5=$H$19,DelivFactor,IF(AND(R$5&gt;$H$19,R$5&lt;$H$19+$F$19),1,IF(R$5=$H$19+$F$19,1-DelivFactor,0)))</f>
        <v>0</v>
      </c>
      <c r="S70" s="120" t="n">
        <f aca="false">(1-$I$19)*(1-$J$19)*$D$19*$E$19/4*MIN(1,MAX(0,(S$5-$H$19+1)/$T$19))*IF(S$5=$H$19,DelivFactor,IF(AND(S$5&gt;$H$19,S$5&lt;$H$19+$F$19),1,IF(S$5=$H$19+$F$19,1-DelivFactor,0)))</f>
        <v>0</v>
      </c>
      <c r="T70" s="120" t="n">
        <f aca="false">(1-$I$19)*(1-$J$19)*$D$19*$E$19/4*MIN(1,MAX(0,(T$5-$H$19+1)/$T$19))*IF(T$5=$H$19,DelivFactor,IF(AND(T$5&gt;$H$19,T$5&lt;$H$19+$F$19),1,IF(T$5=$H$19+$F$19,1-DelivFactor,0)))</f>
        <v>12.0784027777778</v>
      </c>
      <c r="U70" s="120" t="n">
        <f aca="false">(1-$I$19)*(1-$J$19)*$D$19*$E$19/4*MIN(1,MAX(0,(U$5-$H$19+1)/$T$19))*IF(U$5=$H$19,DelivFactor,IF(AND(U$5&gt;$H$19,U$5&lt;$H$19+$F$19),1,IF(U$5=$H$19+$F$19,1-DelivFactor,0)))</f>
        <v>48.3136111111111</v>
      </c>
      <c r="V70" s="120" t="n">
        <f aca="false">(1-$I$19)*(1-$J$19)*$D$19*$E$19/4*MIN(1,MAX(0,(V$5-$H$19+1)/$T$19))*IF(V$5=$H$19,DelivFactor,IF(AND(V$5&gt;$H$19,V$5&lt;$H$19+$F$19),1,IF(V$5=$H$19+$F$19,1-DelivFactor,0)))</f>
        <v>72.4704166666667</v>
      </c>
      <c r="W70" s="120" t="n">
        <f aca="false">(1-$I$19)*(1-$J$19)*$D$19*$E$19/4*MIN(1,MAX(0,(W$5-$H$19+1)/$T$19))*IF(W$5=$H$19,DelivFactor,IF(AND(W$5&gt;$H$19,W$5&lt;$H$19+$F$19),1,IF(W$5=$H$19+$F$19,1-DelivFactor,0)))</f>
        <v>96.6272222222222</v>
      </c>
      <c r="X70" s="120" t="n">
        <f aca="false">(1-$I$19)*(1-$J$19)*$D$19*$E$19/4*MIN(1,MAX(0,(X$5-$H$19+1)/$T$19))*IF(X$5=$H$19,DelivFactor,IF(AND(X$5&gt;$H$19,X$5&lt;$H$19+$F$19),1,IF(X$5=$H$19+$F$19,1-DelivFactor,0)))</f>
        <v>96.6272222222222</v>
      </c>
      <c r="Y70" s="120" t="n">
        <f aca="false">(1-$I$19)*(1-$J$19)*$D$19*$E$19/4*MIN(1,MAX(0,(Y$5-$H$19+1)/$T$19))*IF(Y$5=$H$19,DelivFactor,IF(AND(Y$5&gt;$H$19,Y$5&lt;$H$19+$F$19),1,IF(Y$5=$H$19+$F$19,1-DelivFactor,0)))</f>
        <v>96.6272222222222</v>
      </c>
      <c r="Z70" s="120" t="n">
        <f aca="false">(1-$I$19)*(1-$J$19)*$D$19*$E$19/4*MIN(1,MAX(0,(Z$5-$H$19+1)/$T$19))*IF(Z$5=$H$19,DelivFactor,IF(AND(Z$5&gt;$H$19,Z$5&lt;$H$19+$F$19),1,IF(Z$5=$H$19+$F$19,1-DelivFactor,0)))</f>
        <v>96.6272222222222</v>
      </c>
      <c r="AA70" s="120" t="n">
        <f aca="false">(1-$I$19)*(1-$J$19)*$D$19*$E$19/4*MIN(1,MAX(0,(AA$5-$H$19+1)/$T$19))*IF(AA$5=$H$19,DelivFactor,IF(AND(AA$5&gt;$H$19,AA$5&lt;$H$19+$F$19),1,IF(AA$5=$H$19+$F$19,1-DelivFactor,0)))</f>
        <v>96.6272222222222</v>
      </c>
      <c r="AB70" s="120" t="n">
        <f aca="false">(1-$I$19)*(1-$J$19)*$D$19*$E$19/4*MIN(1,MAX(0,(AB$5-$H$19+1)/$T$19))*IF(AB$5=$H$19,DelivFactor,IF(AND(AB$5&gt;$H$19,AB$5&lt;$H$19+$F$19),1,IF(AB$5=$H$19+$F$19,1-DelivFactor,0)))</f>
        <v>96.6272222222222</v>
      </c>
      <c r="AC70" s="120" t="n">
        <f aca="false">(1-$I$19)*(1-$J$19)*$D$19*$E$19/4*MIN(1,MAX(0,(AC$5-$H$19+1)/$T$19))*IF(AC$5=$H$19,DelivFactor,IF(AND(AC$5&gt;$H$19,AC$5&lt;$H$19+$F$19),1,IF(AC$5=$H$19+$F$19,1-DelivFactor,0)))</f>
        <v>96.6272222222222</v>
      </c>
      <c r="AD70" s="120" t="n">
        <f aca="false">(1-$I$19)*(1-$J$19)*$D$19*$E$19/4*MIN(1,MAX(0,(AD$5-$H$19+1)/$T$19))*IF(AD$5=$H$19,DelivFactor,IF(AND(AD$5&gt;$H$19,AD$5&lt;$H$19+$F$19),1,IF(AD$5=$H$19+$F$19,1-DelivFactor,0)))</f>
        <v>96.6272222222222</v>
      </c>
      <c r="AE70" s="120" t="n">
        <f aca="false">(1-$I$19)*(1-$J$19)*$D$19*$E$19/4*MIN(1,MAX(0,(AE$5-$H$19+1)/$T$19))*IF(AE$5=$H$19,DelivFactor,IF(AND(AE$5&gt;$H$19,AE$5&lt;$H$19+$F$19),1,IF(AE$5=$H$19+$F$19,1-DelivFactor,0)))</f>
        <v>96.6272222222222</v>
      </c>
      <c r="AF70" s="120" t="n">
        <f aca="false">(1-$I$19)*(1-$J$19)*$D$19*$E$19/4*MIN(1,MAX(0,(AF$5-$H$19+1)/$T$19))*IF(AF$5=$H$19,DelivFactor,IF(AND(AF$5&gt;$H$19,AF$5&lt;$H$19+$F$19),1,IF(AF$5=$H$19+$F$19,1-DelivFactor,0)))</f>
        <v>96.6272222222222</v>
      </c>
      <c r="AG70" s="120" t="n">
        <f aca="false">(1-$I$19)*(1-$J$19)*$D$19*$E$19/4*MIN(1,MAX(0,(AG$5-$H$19+1)/$T$19))*IF(AG$5=$H$19,DelivFactor,IF(AND(AG$5&gt;$H$19,AG$5&lt;$H$19+$F$19),1,IF(AG$5=$H$19+$F$19,1-DelivFactor,0)))</f>
        <v>96.6272222222222</v>
      </c>
      <c r="AI70" s="120" t="n">
        <f aca="false">SUMIF($F$7:$AG$7,AI$7,$F70:$AG70)</f>
        <v>0</v>
      </c>
      <c r="AJ70" s="120" t="n">
        <f aca="false">SUMIF($F$7:$AG$7,AJ$7,$F70:$AG70)</f>
        <v>0</v>
      </c>
      <c r="AK70" s="120" t="n">
        <f aca="false">SUMIF($F$7:$AG$7,AK$7,$F70:$AG70)</f>
        <v>0</v>
      </c>
      <c r="AL70" s="120" t="n">
        <f aca="false">SUMIF($F$7:$AG$7,AL$7,$F70:$AG70)</f>
        <v>60.3920138888889</v>
      </c>
      <c r="AM70" s="120" t="n">
        <f aca="false">SUMIF($F$7:$AG$7,AM$7,$F70:$AG70)</f>
        <v>362.352083333333</v>
      </c>
      <c r="AN70" s="120" t="n">
        <f aca="false">SUMIF($F$7:$AG$7,AN$7,$F70:$AG70)</f>
        <v>386.508888888889</v>
      </c>
      <c r="AO70" s="120" t="n">
        <f aca="false">SUMIF($F$7:$AG$7,AO$7,$F70:$AG70)</f>
        <v>386.508888888889</v>
      </c>
    </row>
    <row r="71" customFormat="false" ht="15" hidden="false" customHeight="false" outlineLevel="0" collapsed="false">
      <c r="A71" s="101" t="s">
        <v>1402</v>
      </c>
      <c r="B71" s="18" t="s">
        <v>415</v>
      </c>
      <c r="C71" s="18"/>
      <c r="D71" s="18"/>
      <c r="F71" s="110" t="n">
        <f aca="false">(1-$I$19)*(1-$J$19)*$D$19*AND(F$5&gt;=$H$19,F$5&lt;$H$19+$F$19)</f>
        <v>0</v>
      </c>
      <c r="G71" s="110" t="n">
        <f aca="false">(1-$I$19)*(1-$J$19)*$D$19*AND(G$5&gt;=$H$19,G$5&lt;$H$19+$F$19)</f>
        <v>0</v>
      </c>
      <c r="H71" s="110" t="n">
        <f aca="false">(1-$I$19)*(1-$J$19)*$D$19*AND(H$5&gt;=$H$19,H$5&lt;$H$19+$F$19)</f>
        <v>0</v>
      </c>
      <c r="I71" s="110" t="n">
        <f aca="false">(1-$I$19)*(1-$J$19)*$D$19*AND(I$5&gt;=$H$19,I$5&lt;$H$19+$F$19)</f>
        <v>0</v>
      </c>
      <c r="J71" s="110" t="n">
        <f aca="false">(1-$I$19)*(1-$J$19)*$D$19*AND(J$5&gt;=$H$19,J$5&lt;$H$19+$F$19)</f>
        <v>0</v>
      </c>
      <c r="K71" s="110" t="n">
        <f aca="false">(1-$I$19)*(1-$J$19)*$D$19*AND(K$5&gt;=$H$19,K$5&lt;$H$19+$F$19)</f>
        <v>0</v>
      </c>
      <c r="L71" s="110" t="n">
        <f aca="false">(1-$I$19)*(1-$J$19)*$D$19*AND(L$5&gt;=$H$19,L$5&lt;$H$19+$F$19)</f>
        <v>0</v>
      </c>
      <c r="M71" s="110" t="n">
        <f aca="false">(1-$I$19)*(1-$J$19)*$D$19*AND(M$5&gt;=$H$19,M$5&lt;$H$19+$F$19)</f>
        <v>0</v>
      </c>
      <c r="N71" s="110" t="n">
        <f aca="false">(1-$I$19)*(1-$J$19)*$D$19*AND(N$5&gt;=$H$19,N$5&lt;$H$19+$F$19)</f>
        <v>0</v>
      </c>
      <c r="O71" s="110" t="n">
        <f aca="false">(1-$I$19)*(1-$J$19)*$D$19*AND(O$5&gt;=$H$19,O$5&lt;$H$19+$F$19)</f>
        <v>0</v>
      </c>
      <c r="P71" s="21" t="n">
        <f aca="false">(1-$I$19)*(1-$J$19)*$D$19*AND(P$5&gt;=$H$19,P$5&lt;$H$19+$F$19)</f>
        <v>0</v>
      </c>
      <c r="Q71" s="21" t="n">
        <f aca="false">(1-$I$19)*(1-$J$19)*$D$19*AND(Q$5&gt;=$H$19,Q$5&lt;$H$19+$F$19)</f>
        <v>0</v>
      </c>
      <c r="R71" s="21" t="n">
        <f aca="false">(1-$I$19)*(1-$J$19)*$D$19*AND(R$5&gt;=$H$19,R$5&lt;$H$19+$F$19)</f>
        <v>0</v>
      </c>
      <c r="S71" s="21" t="n">
        <f aca="false">(1-$I$19)*(1-$J$19)*$D$19*AND(S$5&gt;=$H$19,S$5&lt;$H$19+$F$19)</f>
        <v>0</v>
      </c>
      <c r="T71" s="21" t="n">
        <f aca="false">(1-$I$19)*(1-$J$19)*$D$19*AND(T$5&gt;=$H$19,T$5&lt;$H$19+$F$19)</f>
        <v>26.6666666666667</v>
      </c>
      <c r="U71" s="21" t="n">
        <f aca="false">(1-$I$19)*(1-$J$19)*$D$19*AND(U$5&gt;=$H$19,U$5&lt;$H$19+$F$19)</f>
        <v>26.6666666666667</v>
      </c>
      <c r="V71" s="21" t="n">
        <f aca="false">(1-$I$19)*(1-$J$19)*$D$19*AND(V$5&gt;=$H$19,V$5&lt;$H$19+$F$19)</f>
        <v>26.6666666666667</v>
      </c>
      <c r="W71" s="21" t="n">
        <f aca="false">(1-$I$19)*(1-$J$19)*$D$19*AND(W$5&gt;=$H$19,W$5&lt;$H$19+$F$19)</f>
        <v>26.6666666666667</v>
      </c>
      <c r="X71" s="21" t="n">
        <f aca="false">(1-$I$19)*(1-$J$19)*$D$19*AND(X$5&gt;=$H$19,X$5&lt;$H$19+$F$19)</f>
        <v>26.6666666666667</v>
      </c>
      <c r="Y71" s="21" t="n">
        <f aca="false">(1-$I$19)*(1-$J$19)*$D$19*AND(Y$5&gt;=$H$19,Y$5&lt;$H$19+$F$19)</f>
        <v>26.6666666666667</v>
      </c>
      <c r="Z71" s="21" t="n">
        <f aca="false">(1-$I$19)*(1-$J$19)*$D$19*AND(Z$5&gt;=$H$19,Z$5&lt;$H$19+$F$19)</f>
        <v>26.6666666666667</v>
      </c>
      <c r="AA71" s="21" t="n">
        <f aca="false">(1-$I$19)*(1-$J$19)*$D$19*AND(AA$5&gt;=$H$19,AA$5&lt;$H$19+$F$19)</f>
        <v>26.6666666666667</v>
      </c>
      <c r="AB71" s="21" t="n">
        <f aca="false">(1-$I$19)*(1-$J$19)*$D$19*AND(AB$5&gt;=$H$19,AB$5&lt;$H$19+$F$19)</f>
        <v>26.6666666666667</v>
      </c>
      <c r="AC71" s="21" t="n">
        <f aca="false">(1-$I$19)*(1-$J$19)*$D$19*AND(AC$5&gt;=$H$19,AC$5&lt;$H$19+$F$19)</f>
        <v>26.6666666666667</v>
      </c>
      <c r="AD71" s="21" t="n">
        <f aca="false">(1-$I$19)*(1-$J$19)*$D$19*AND(AD$5&gt;=$H$19,AD$5&lt;$H$19+$F$19)</f>
        <v>26.6666666666667</v>
      </c>
      <c r="AE71" s="21" t="n">
        <f aca="false">(1-$I$19)*(1-$J$19)*$D$19*AND(AE$5&gt;=$H$19,AE$5&lt;$H$19+$F$19)</f>
        <v>26.6666666666667</v>
      </c>
      <c r="AF71" s="21" t="n">
        <f aca="false">(1-$I$19)*(1-$J$19)*$D$19*AND(AF$5&gt;=$H$19,AF$5&lt;$H$19+$F$19)</f>
        <v>26.6666666666667</v>
      </c>
      <c r="AG71" s="21" t="n">
        <f aca="false">(1-$I$19)*(1-$J$19)*$D$19*AND(AG$5&gt;=$H$19,AG$5&lt;$H$19+$F$19)</f>
        <v>26.6666666666667</v>
      </c>
      <c r="AI71" s="21" t="n">
        <f aca="false">INDEX($F71:$AG71,1,MATCH(AI$7,$F$7:$AG$7,1))</f>
        <v>0</v>
      </c>
      <c r="AJ71" s="21" t="n">
        <f aca="false">INDEX($F71:$AG71,1,MATCH(AJ$7,$F$7:$AG$7,1))</f>
        <v>0</v>
      </c>
      <c r="AK71" s="21" t="n">
        <f aca="false">INDEX($F71:$AG71,1,MATCH(AK$7,$F$7:$AG$7,1))</f>
        <v>0</v>
      </c>
      <c r="AL71" s="21" t="n">
        <f aca="false">INDEX($F71:$AG71,1,MATCH(AL$7,$F$7:$AG$7,1))</f>
        <v>26.6666666666667</v>
      </c>
      <c r="AM71" s="21" t="n">
        <f aca="false">INDEX($F71:$AG71,1,MATCH(AM$7,$F$7:$AG$7,1))</f>
        <v>26.6666666666667</v>
      </c>
      <c r="AN71" s="21" t="n">
        <f aca="false">INDEX($F71:$AG71,1,MATCH(AN$7,$F$7:$AG$7,1))</f>
        <v>26.6666666666667</v>
      </c>
      <c r="AO71" s="21" t="n">
        <f aca="false">INDEX($F71:$AG71,1,MATCH(AO$7,$F$7:$AG$7,1))</f>
        <v>26.6666666666667</v>
      </c>
    </row>
    <row r="72" customFormat="false" ht="15" hidden="false" customHeight="false" outlineLevel="0" collapsed="false">
      <c r="A72" s="101" t="s">
        <v>1403</v>
      </c>
      <c r="B72" s="18" t="s">
        <v>400</v>
      </c>
      <c r="C72" s="18"/>
      <c r="D72" s="18"/>
      <c r="F72" s="119" t="n">
        <f aca="false">-(1-$I$19)*LD_Pct*$D$19*$E$19/4*AND(F$5&gt;=$G$19,F$5&lt;$H$19)</f>
        <v>-0</v>
      </c>
      <c r="G72" s="119" t="n">
        <f aca="false">-(1-$I$19)*LD_Pct*$D$19*$E$19/4*AND(G$5&gt;=$G$19,G$5&lt;$H$19)</f>
        <v>-0</v>
      </c>
      <c r="H72" s="119" t="n">
        <f aca="false">-(1-$I$19)*LD_Pct*$D$19*$E$19/4*AND(H$5&gt;=$G$19,H$5&lt;$H$19)</f>
        <v>-0</v>
      </c>
      <c r="I72" s="119" t="n">
        <f aca="false">-(1-$I$19)*LD_Pct*$D$19*$E$19/4*AND(I$5&gt;=$G$19,I$5&lt;$H$19)</f>
        <v>-0</v>
      </c>
      <c r="J72" s="119" t="n">
        <f aca="false">-(1-$I$19)*LD_Pct*$D$19*$E$19/4*AND(J$5&gt;=$G$19,J$5&lt;$H$19)</f>
        <v>-0</v>
      </c>
      <c r="K72" s="119" t="n">
        <f aca="false">-(1-$I$19)*LD_Pct*$D$19*$E$19/4*AND(K$5&gt;=$G$19,K$5&lt;$H$19)</f>
        <v>-0</v>
      </c>
      <c r="L72" s="119" t="n">
        <f aca="false">-(1-$I$19)*LD_Pct*$D$19*$E$19/4*AND(L$5&gt;=$G$19,L$5&lt;$H$19)</f>
        <v>-0</v>
      </c>
      <c r="M72" s="119" t="n">
        <f aca="false">-(1-$I$19)*LD_Pct*$D$19*$E$19/4*AND(M$5&gt;=$G$19,M$5&lt;$H$19)</f>
        <v>-0</v>
      </c>
      <c r="N72" s="119" t="n">
        <f aca="false">-(1-$I$19)*LD_Pct*$D$19*$E$19/4*AND(N$5&gt;=$G$19,N$5&lt;$H$19)</f>
        <v>-0</v>
      </c>
      <c r="O72" s="119" t="n">
        <f aca="false">-(1-$I$19)*LD_Pct*$D$19*$E$19/4*AND(O$5&gt;=$G$19,O$5&lt;$H$19)</f>
        <v>-0</v>
      </c>
      <c r="P72" s="120" t="n">
        <f aca="false">-(1-$I$19)*LD_Pct*$D$19*$E$19/4*AND(P$5&gt;=$G$19,P$5&lt;$H$19)</f>
        <v>-0</v>
      </c>
      <c r="Q72" s="120" t="n">
        <f aca="false">-(1-$I$19)*LD_Pct*$D$19*$E$19/4*AND(Q$5&gt;=$G$19,Q$5&lt;$H$19)</f>
        <v>-0</v>
      </c>
      <c r="R72" s="120" t="n">
        <f aca="false">-(1-$I$19)*LD_Pct*$D$19*$E$19/4*AND(R$5&gt;=$G$19,R$5&lt;$H$19)</f>
        <v>-0</v>
      </c>
      <c r="S72" s="120" t="n">
        <f aca="false">-(1-$I$19)*LD_Pct*$D$19*$E$19/4*AND(S$5&gt;=$G$19,S$5&lt;$H$19)</f>
        <v>-0</v>
      </c>
      <c r="T72" s="120" t="n">
        <f aca="false">-(1-$I$19)*LD_Pct*$D$19*$E$19/4*AND(T$5&gt;=$G$19,T$5&lt;$H$19)</f>
        <v>-0</v>
      </c>
      <c r="U72" s="120" t="n">
        <f aca="false">-(1-$I$19)*LD_Pct*$D$19*$E$19/4*AND(U$5&gt;=$G$19,U$5&lt;$H$19)</f>
        <v>-0</v>
      </c>
      <c r="V72" s="120" t="n">
        <f aca="false">-(1-$I$19)*LD_Pct*$D$19*$E$19/4*AND(V$5&gt;=$G$19,V$5&lt;$H$19)</f>
        <v>-0</v>
      </c>
      <c r="W72" s="120" t="n">
        <f aca="false">-(1-$I$19)*LD_Pct*$D$19*$E$19/4*AND(W$5&gt;=$G$19,W$5&lt;$H$19)</f>
        <v>-0</v>
      </c>
      <c r="X72" s="120" t="n">
        <f aca="false">-(1-$I$19)*LD_Pct*$D$19*$E$19/4*AND(X$5&gt;=$G$19,X$5&lt;$H$19)</f>
        <v>-0</v>
      </c>
      <c r="Y72" s="120" t="n">
        <f aca="false">-(1-$I$19)*LD_Pct*$D$19*$E$19/4*AND(Y$5&gt;=$G$19,Y$5&lt;$H$19)</f>
        <v>-0</v>
      </c>
      <c r="Z72" s="120" t="n">
        <f aca="false">-(1-$I$19)*LD_Pct*$D$19*$E$19/4*AND(Z$5&gt;=$G$19,Z$5&lt;$H$19)</f>
        <v>-0</v>
      </c>
      <c r="AA72" s="120" t="n">
        <f aca="false">-(1-$I$19)*LD_Pct*$D$19*$E$19/4*AND(AA$5&gt;=$G$19,AA$5&lt;$H$19)</f>
        <v>-0</v>
      </c>
      <c r="AB72" s="120" t="n">
        <f aca="false">-(1-$I$19)*LD_Pct*$D$19*$E$19/4*AND(AB$5&gt;=$G$19,AB$5&lt;$H$19)</f>
        <v>-0</v>
      </c>
      <c r="AC72" s="120" t="n">
        <f aca="false">-(1-$I$19)*LD_Pct*$D$19*$E$19/4*AND(AC$5&gt;=$G$19,AC$5&lt;$H$19)</f>
        <v>-0</v>
      </c>
      <c r="AD72" s="120" t="n">
        <f aca="false">-(1-$I$19)*LD_Pct*$D$19*$E$19/4*AND(AD$5&gt;=$G$19,AD$5&lt;$H$19)</f>
        <v>-0</v>
      </c>
      <c r="AE72" s="120" t="n">
        <f aca="false">-(1-$I$19)*LD_Pct*$D$19*$E$19/4*AND(AE$5&gt;=$G$19,AE$5&lt;$H$19)</f>
        <v>-0</v>
      </c>
      <c r="AF72" s="120" t="n">
        <f aca="false">-(1-$I$19)*LD_Pct*$D$19*$E$19/4*AND(AF$5&gt;=$G$19,AF$5&lt;$H$19)</f>
        <v>-0</v>
      </c>
      <c r="AG72" s="120" t="n">
        <f aca="false">-(1-$I$19)*LD_Pct*$D$19*$E$19/4*AND(AG$5&gt;=$G$19,AG$5&lt;$H$19)</f>
        <v>-0</v>
      </c>
      <c r="AI72" s="120" t="n">
        <f aca="false">SUMIF($F$7:$AG$7,AI$7,$F72:$AG72)</f>
        <v>0</v>
      </c>
      <c r="AJ72" s="120" t="n">
        <f aca="false">SUMIF($F$7:$AG$7,AJ$7,$F72:$AG72)</f>
        <v>0</v>
      </c>
      <c r="AK72" s="120" t="n">
        <f aca="false">SUMIF($F$7:$AG$7,AK$7,$F72:$AG72)</f>
        <v>0</v>
      </c>
      <c r="AL72" s="120" t="n">
        <f aca="false">SUMIF($F$7:$AG$7,AL$7,$F72:$AG72)</f>
        <v>0</v>
      </c>
      <c r="AM72" s="120" t="n">
        <f aca="false">SUMIF($F$7:$AG$7,AM$7,$F72:$AG72)</f>
        <v>0</v>
      </c>
      <c r="AN72" s="120" t="n">
        <f aca="false">SUMIF($F$7:$AG$7,AN$7,$F72:$AG72)</f>
        <v>0</v>
      </c>
      <c r="AO72" s="120" t="n">
        <f aca="false">SUMIF($F$7:$AG$7,AO$7,$F72:$AG72)</f>
        <v>0</v>
      </c>
    </row>
    <row r="73" customFormat="false" ht="15" hidden="false" customHeight="false" outlineLevel="0" collapsed="false">
      <c r="A73" s="101" t="s">
        <v>1404</v>
      </c>
      <c r="B73" s="18" t="s">
        <v>415</v>
      </c>
      <c r="C73" s="18"/>
      <c r="D73" s="18"/>
      <c r="F73" s="110" t="n">
        <f aca="false">(1-$I$19)*(1-$J$19)*$D$19*(F$5&gt;=$H$19+$F$19)</f>
        <v>0</v>
      </c>
      <c r="G73" s="110" t="n">
        <f aca="false">(1-$I$19)*(1-$J$19)*$D$19*(G$5&gt;=$H$19+$F$19)</f>
        <v>0</v>
      </c>
      <c r="H73" s="110" t="n">
        <f aca="false">(1-$I$19)*(1-$J$19)*$D$19*(H$5&gt;=$H$19+$F$19)</f>
        <v>0</v>
      </c>
      <c r="I73" s="110" t="n">
        <f aca="false">(1-$I$19)*(1-$J$19)*$D$19*(I$5&gt;=$H$19+$F$19)</f>
        <v>0</v>
      </c>
      <c r="J73" s="110" t="n">
        <f aca="false">(1-$I$19)*(1-$J$19)*$D$19*(J$5&gt;=$H$19+$F$19)</f>
        <v>0</v>
      </c>
      <c r="K73" s="110" t="n">
        <f aca="false">(1-$I$19)*(1-$J$19)*$D$19*(K$5&gt;=$H$19+$F$19)</f>
        <v>0</v>
      </c>
      <c r="L73" s="110" t="n">
        <f aca="false">(1-$I$19)*(1-$J$19)*$D$19*(L$5&gt;=$H$19+$F$19)</f>
        <v>0</v>
      </c>
      <c r="M73" s="110" t="n">
        <f aca="false">(1-$I$19)*(1-$J$19)*$D$19*(M$5&gt;=$H$19+$F$19)</f>
        <v>0</v>
      </c>
      <c r="N73" s="110" t="n">
        <f aca="false">(1-$I$19)*(1-$J$19)*$D$19*(N$5&gt;=$H$19+$F$19)</f>
        <v>0</v>
      </c>
      <c r="O73" s="110" t="n">
        <f aca="false">(1-$I$19)*(1-$J$19)*$D$19*(O$5&gt;=$H$19+$F$19)</f>
        <v>0</v>
      </c>
      <c r="P73" s="21" t="n">
        <f aca="false">(1-$I$19)*(1-$J$19)*$D$19*(P$5&gt;=$H$19+$F$19)</f>
        <v>0</v>
      </c>
      <c r="Q73" s="21" t="n">
        <f aca="false">(1-$I$19)*(1-$J$19)*$D$19*(Q$5&gt;=$H$19+$F$19)</f>
        <v>0</v>
      </c>
      <c r="R73" s="21" t="n">
        <f aca="false">(1-$I$19)*(1-$J$19)*$D$19*(R$5&gt;=$H$19+$F$19)</f>
        <v>0</v>
      </c>
      <c r="S73" s="21" t="n">
        <f aca="false">(1-$I$19)*(1-$J$19)*$D$19*(S$5&gt;=$H$19+$F$19)</f>
        <v>0</v>
      </c>
      <c r="T73" s="21" t="n">
        <f aca="false">(1-$I$19)*(1-$J$19)*$D$19*(T$5&gt;=$H$19+$F$19)</f>
        <v>0</v>
      </c>
      <c r="U73" s="21" t="n">
        <f aca="false">(1-$I$19)*(1-$J$19)*$D$19*(U$5&gt;=$H$19+$F$19)</f>
        <v>0</v>
      </c>
      <c r="V73" s="21" t="n">
        <f aca="false">(1-$I$19)*(1-$J$19)*$D$19*(V$5&gt;=$H$19+$F$19)</f>
        <v>0</v>
      </c>
      <c r="W73" s="21" t="n">
        <f aca="false">(1-$I$19)*(1-$J$19)*$D$19*(W$5&gt;=$H$19+$F$19)</f>
        <v>0</v>
      </c>
      <c r="X73" s="21" t="n">
        <f aca="false">(1-$I$19)*(1-$J$19)*$D$19*(X$5&gt;=$H$19+$F$19)</f>
        <v>0</v>
      </c>
      <c r="Y73" s="21" t="n">
        <f aca="false">(1-$I$19)*(1-$J$19)*$D$19*(Y$5&gt;=$H$19+$F$19)</f>
        <v>0</v>
      </c>
      <c r="Z73" s="21" t="n">
        <f aca="false">(1-$I$19)*(1-$J$19)*$D$19*(Z$5&gt;=$H$19+$F$19)</f>
        <v>0</v>
      </c>
      <c r="AA73" s="21" t="n">
        <f aca="false">(1-$I$19)*(1-$J$19)*$D$19*(AA$5&gt;=$H$19+$F$19)</f>
        <v>0</v>
      </c>
      <c r="AB73" s="21" t="n">
        <f aca="false">(1-$I$19)*(1-$J$19)*$D$19*(AB$5&gt;=$H$19+$F$19)</f>
        <v>0</v>
      </c>
      <c r="AC73" s="21" t="n">
        <f aca="false">(1-$I$19)*(1-$J$19)*$D$19*(AC$5&gt;=$H$19+$F$19)</f>
        <v>0</v>
      </c>
      <c r="AD73" s="21" t="n">
        <f aca="false">(1-$I$19)*(1-$J$19)*$D$19*(AD$5&gt;=$H$19+$F$19)</f>
        <v>0</v>
      </c>
      <c r="AE73" s="21" t="n">
        <f aca="false">(1-$I$19)*(1-$J$19)*$D$19*(AE$5&gt;=$H$19+$F$19)</f>
        <v>0</v>
      </c>
      <c r="AF73" s="21" t="n">
        <f aca="false">(1-$I$19)*(1-$J$19)*$D$19*(AF$5&gt;=$H$19+$F$19)</f>
        <v>0</v>
      </c>
      <c r="AG73" s="21" t="n">
        <f aca="false">(1-$I$19)*(1-$J$19)*$D$19*(AG$5&gt;=$H$19+$F$19)</f>
        <v>0</v>
      </c>
      <c r="AI73" s="21" t="n">
        <f aca="false">INDEX($F73:$AG73,1,MATCH(AI$7,$F$7:$AG$7,1))</f>
        <v>0</v>
      </c>
      <c r="AJ73" s="21" t="n">
        <f aca="false">INDEX($F73:$AG73,1,MATCH(AJ$7,$F$7:$AG$7,1))</f>
        <v>0</v>
      </c>
      <c r="AK73" s="21" t="n">
        <f aca="false">INDEX($F73:$AG73,1,MATCH(AK$7,$F$7:$AG$7,1))</f>
        <v>0</v>
      </c>
      <c r="AL73" s="21" t="n">
        <f aca="false">INDEX($F73:$AG73,1,MATCH(AL$7,$F$7:$AG$7,1))</f>
        <v>0</v>
      </c>
      <c r="AM73" s="21" t="n">
        <f aca="false">INDEX($F73:$AG73,1,MATCH(AM$7,$F$7:$AG$7,1))</f>
        <v>0</v>
      </c>
      <c r="AN73" s="21" t="n">
        <f aca="false">INDEX($F73:$AG73,1,MATCH(AN$7,$F$7:$AG$7,1))</f>
        <v>0</v>
      </c>
      <c r="AO73" s="21" t="n">
        <f aca="false">INDEX($F73:$AG73,1,MATCH(AO$7,$F$7:$AG$7,1))</f>
        <v>0</v>
      </c>
    </row>
    <row r="74" customFormat="false" ht="15" hidden="false" customHeight="false" outlineLevel="0" collapsed="false">
      <c r="A74" s="101" t="s">
        <v>1405</v>
      </c>
      <c r="B74" s="18" t="s">
        <v>400</v>
      </c>
      <c r="C74" s="18"/>
      <c r="D74" s="18" t="s">
        <v>1370</v>
      </c>
      <c r="F74" s="119" t="n">
        <f aca="false">F73*CHOOSE(MATCH($C$19,{"H";"B";"N"},0),GPUMW_H*ODc_H,GPUMW_B*ODc_B,GPUMW_N*ODc_N)*ResidUtil*Timeline!F$9*INDEX(Curve,1,MAX(1,MIN(8,INT((F$5-$H$19)/4)+1)))/1000000</f>
        <v>0</v>
      </c>
      <c r="G74" s="119" t="n">
        <f aca="false">G73*CHOOSE(MATCH($C$19,{"H";"B";"N"},0),GPUMW_H*ODc_H,GPUMW_B*ODc_B,GPUMW_N*ODc_N)*ResidUtil*Timeline!G$9*INDEX(Curve,1,MAX(1,MIN(8,INT((G$5-$H$19)/4)+1)))/1000000</f>
        <v>0</v>
      </c>
      <c r="H74" s="119" t="n">
        <f aca="false">H73*CHOOSE(MATCH($C$19,{"H";"B";"N"},0),GPUMW_H*ODc_H,GPUMW_B*ODc_B,GPUMW_N*ODc_N)*ResidUtil*Timeline!H$9*INDEX(Curve,1,MAX(1,MIN(8,INT((H$5-$H$19)/4)+1)))/1000000</f>
        <v>0</v>
      </c>
      <c r="I74" s="119" t="n">
        <f aca="false">I73*CHOOSE(MATCH($C$19,{"H";"B";"N"},0),GPUMW_H*ODc_H,GPUMW_B*ODc_B,GPUMW_N*ODc_N)*ResidUtil*Timeline!I$9*INDEX(Curve,1,MAX(1,MIN(8,INT((I$5-$H$19)/4)+1)))/1000000</f>
        <v>0</v>
      </c>
      <c r="J74" s="119" t="n">
        <f aca="false">J73*CHOOSE(MATCH($C$19,{"H";"B";"N"},0),GPUMW_H*ODc_H,GPUMW_B*ODc_B,GPUMW_N*ODc_N)*ResidUtil*Timeline!J$9*INDEX(Curve,1,MAX(1,MIN(8,INT((J$5-$H$19)/4)+1)))/1000000</f>
        <v>0</v>
      </c>
      <c r="K74" s="119" t="n">
        <f aca="false">K73*CHOOSE(MATCH($C$19,{"H";"B";"N"},0),GPUMW_H*ODc_H,GPUMW_B*ODc_B,GPUMW_N*ODc_N)*ResidUtil*Timeline!K$9*INDEX(Curve,1,MAX(1,MIN(8,INT((K$5-$H$19)/4)+1)))/1000000</f>
        <v>0</v>
      </c>
      <c r="L74" s="119" t="n">
        <f aca="false">L73*CHOOSE(MATCH($C$19,{"H";"B";"N"},0),GPUMW_H*ODc_H,GPUMW_B*ODc_B,GPUMW_N*ODc_N)*ResidUtil*Timeline!L$9*INDEX(Curve,1,MAX(1,MIN(8,INT((L$5-$H$19)/4)+1)))/1000000</f>
        <v>0</v>
      </c>
      <c r="M74" s="119" t="n">
        <f aca="false">M73*CHOOSE(MATCH($C$19,{"H";"B";"N"},0),GPUMW_H*ODc_H,GPUMW_B*ODc_B,GPUMW_N*ODc_N)*ResidUtil*Timeline!M$9*INDEX(Curve,1,MAX(1,MIN(8,INT((M$5-$H$19)/4)+1)))/1000000</f>
        <v>0</v>
      </c>
      <c r="N74" s="119" t="n">
        <f aca="false">N73*CHOOSE(MATCH($C$19,{"H";"B";"N"},0),GPUMW_H*ODc_H,GPUMW_B*ODc_B,GPUMW_N*ODc_N)*ResidUtil*Timeline!N$9*INDEX(Curve,1,MAX(1,MIN(8,INT((N$5-$H$19)/4)+1)))/1000000</f>
        <v>0</v>
      </c>
      <c r="O74" s="119" t="n">
        <f aca="false">O73*CHOOSE(MATCH($C$19,{"H";"B";"N"},0),GPUMW_H*ODc_H,GPUMW_B*ODc_B,GPUMW_N*ODc_N)*ResidUtil*Timeline!O$9*INDEX(Curve,1,MAX(1,MIN(8,INT((O$5-$H$19)/4)+1)))/1000000</f>
        <v>0</v>
      </c>
      <c r="P74" s="120" t="n">
        <f aca="false">P73*CHOOSE(MATCH($C$19,{"H";"B";"N"},0),GPUMW_H*ODc_H,GPUMW_B*ODc_B,GPUMW_N*ODc_N)*ResidUtil*Timeline!P$9*INDEX(Curve,1,MAX(1,MIN(8,INT((P$5-$H$19)/4)+1)))/1000000</f>
        <v>0</v>
      </c>
      <c r="Q74" s="120" t="n">
        <f aca="false">Q73*CHOOSE(MATCH($C$19,{"H";"B";"N"},0),GPUMW_H*ODc_H,GPUMW_B*ODc_B,GPUMW_N*ODc_N)*ResidUtil*Timeline!Q$9*INDEX(Curve,1,MAX(1,MIN(8,INT((Q$5-$H$19)/4)+1)))/1000000</f>
        <v>0</v>
      </c>
      <c r="R74" s="120" t="n">
        <f aca="false">R73*CHOOSE(MATCH($C$19,{"H";"B";"N"},0),GPUMW_H*ODc_H,GPUMW_B*ODc_B,GPUMW_N*ODc_N)*ResidUtil*Timeline!R$9*INDEX(Curve,1,MAX(1,MIN(8,INT((R$5-$H$19)/4)+1)))/1000000</f>
        <v>0</v>
      </c>
      <c r="S74" s="120" t="n">
        <f aca="false">S73*CHOOSE(MATCH($C$19,{"H";"B";"N"},0),GPUMW_H*ODc_H,GPUMW_B*ODc_B,GPUMW_N*ODc_N)*ResidUtil*Timeline!S$9*INDEX(Curve,1,MAX(1,MIN(8,INT((S$5-$H$19)/4)+1)))/1000000</f>
        <v>0</v>
      </c>
      <c r="T74" s="120" t="n">
        <f aca="false">T73*CHOOSE(MATCH($C$19,{"H";"B";"N"},0),GPUMW_H*ODc_H,GPUMW_B*ODc_B,GPUMW_N*ODc_N)*ResidUtil*Timeline!T$9*INDEX(Curve,1,MAX(1,MIN(8,INT((T$5-$H$19)/4)+1)))/1000000</f>
        <v>0</v>
      </c>
      <c r="U74" s="120" t="n">
        <f aca="false">U73*CHOOSE(MATCH($C$19,{"H";"B";"N"},0),GPUMW_H*ODc_H,GPUMW_B*ODc_B,GPUMW_N*ODc_N)*ResidUtil*Timeline!U$9*INDEX(Curve,1,MAX(1,MIN(8,INT((U$5-$H$19)/4)+1)))/1000000</f>
        <v>0</v>
      </c>
      <c r="V74" s="120" t="n">
        <f aca="false">V73*CHOOSE(MATCH($C$19,{"H";"B";"N"},0),GPUMW_H*ODc_H,GPUMW_B*ODc_B,GPUMW_N*ODc_N)*ResidUtil*Timeline!V$9*INDEX(Curve,1,MAX(1,MIN(8,INT((V$5-$H$19)/4)+1)))/1000000</f>
        <v>0</v>
      </c>
      <c r="W74" s="120" t="n">
        <f aca="false">W73*CHOOSE(MATCH($C$19,{"H";"B";"N"},0),GPUMW_H*ODc_H,GPUMW_B*ODc_B,GPUMW_N*ODc_N)*ResidUtil*Timeline!W$9*INDEX(Curve,1,MAX(1,MIN(8,INT((W$5-$H$19)/4)+1)))/1000000</f>
        <v>0</v>
      </c>
      <c r="X74" s="120" t="n">
        <f aca="false">X73*CHOOSE(MATCH($C$19,{"H";"B";"N"},0),GPUMW_H*ODc_H,GPUMW_B*ODc_B,GPUMW_N*ODc_N)*ResidUtil*Timeline!X$9*INDEX(Curve,1,MAX(1,MIN(8,INT((X$5-$H$19)/4)+1)))/1000000</f>
        <v>0</v>
      </c>
      <c r="Y74" s="120" t="n">
        <f aca="false">Y73*CHOOSE(MATCH($C$19,{"H";"B";"N"},0),GPUMW_H*ODc_H,GPUMW_B*ODc_B,GPUMW_N*ODc_N)*ResidUtil*Timeline!Y$9*INDEX(Curve,1,MAX(1,MIN(8,INT((Y$5-$H$19)/4)+1)))/1000000</f>
        <v>0</v>
      </c>
      <c r="Z74" s="120" t="n">
        <f aca="false">Z73*CHOOSE(MATCH($C$19,{"H";"B";"N"},0),GPUMW_H*ODc_H,GPUMW_B*ODc_B,GPUMW_N*ODc_N)*ResidUtil*Timeline!Z$9*INDEX(Curve,1,MAX(1,MIN(8,INT((Z$5-$H$19)/4)+1)))/1000000</f>
        <v>0</v>
      </c>
      <c r="AA74" s="120" t="n">
        <f aca="false">AA73*CHOOSE(MATCH($C$19,{"H";"B";"N"},0),GPUMW_H*ODc_H,GPUMW_B*ODc_B,GPUMW_N*ODc_N)*ResidUtil*Timeline!AA$9*INDEX(Curve,1,MAX(1,MIN(8,INT((AA$5-$H$19)/4)+1)))/1000000</f>
        <v>0</v>
      </c>
      <c r="AB74" s="120" t="n">
        <f aca="false">AB73*CHOOSE(MATCH($C$19,{"H";"B";"N"},0),GPUMW_H*ODc_H,GPUMW_B*ODc_B,GPUMW_N*ODc_N)*ResidUtil*Timeline!AB$9*INDEX(Curve,1,MAX(1,MIN(8,INT((AB$5-$H$19)/4)+1)))/1000000</f>
        <v>0</v>
      </c>
      <c r="AC74" s="120" t="n">
        <f aca="false">AC73*CHOOSE(MATCH($C$19,{"H";"B";"N"},0),GPUMW_H*ODc_H,GPUMW_B*ODc_B,GPUMW_N*ODc_N)*ResidUtil*Timeline!AC$9*INDEX(Curve,1,MAX(1,MIN(8,INT((AC$5-$H$19)/4)+1)))/1000000</f>
        <v>0</v>
      </c>
      <c r="AD74" s="120" t="n">
        <f aca="false">AD73*CHOOSE(MATCH($C$19,{"H";"B";"N"},0),GPUMW_H*ODc_H,GPUMW_B*ODc_B,GPUMW_N*ODc_N)*ResidUtil*Timeline!AD$9*INDEX(Curve,1,MAX(1,MIN(8,INT((AD$5-$H$19)/4)+1)))/1000000</f>
        <v>0</v>
      </c>
      <c r="AE74" s="120" t="n">
        <f aca="false">AE73*CHOOSE(MATCH($C$19,{"H";"B";"N"},0),GPUMW_H*ODc_H,GPUMW_B*ODc_B,GPUMW_N*ODc_N)*ResidUtil*Timeline!AE$9*INDEX(Curve,1,MAX(1,MIN(8,INT((AE$5-$H$19)/4)+1)))/1000000</f>
        <v>0</v>
      </c>
      <c r="AF74" s="120" t="n">
        <f aca="false">AF73*CHOOSE(MATCH($C$19,{"H";"B";"N"},0),GPUMW_H*ODc_H,GPUMW_B*ODc_B,GPUMW_N*ODc_N)*ResidUtil*Timeline!AF$9*INDEX(Curve,1,MAX(1,MIN(8,INT((AF$5-$H$19)/4)+1)))/1000000</f>
        <v>0</v>
      </c>
      <c r="AG74" s="120" t="n">
        <f aca="false">AG73*CHOOSE(MATCH($C$19,{"H";"B";"N"},0),GPUMW_H*ODc_H,GPUMW_B*ODc_B,GPUMW_N*ODc_N)*ResidUtil*Timeline!AG$9*INDEX(Curve,1,MAX(1,MIN(8,INT((AG$5-$H$19)/4)+1)))/1000000</f>
        <v>0</v>
      </c>
      <c r="AI74" s="120" t="n">
        <f aca="false">SUMIF($F$7:$AG$7,AI$7,$F74:$AG74)</f>
        <v>0</v>
      </c>
      <c r="AJ74" s="120" t="n">
        <f aca="false">SUMIF($F$7:$AG$7,AJ$7,$F74:$AG74)</f>
        <v>0</v>
      </c>
      <c r="AK74" s="120" t="n">
        <f aca="false">SUMIF($F$7:$AG$7,AK$7,$F74:$AG74)</f>
        <v>0</v>
      </c>
      <c r="AL74" s="120" t="n">
        <f aca="false">SUMIF($F$7:$AG$7,AL$7,$F74:$AG74)</f>
        <v>0</v>
      </c>
      <c r="AM74" s="120" t="n">
        <f aca="false">SUMIF($F$7:$AG$7,AM$7,$F74:$AG74)</f>
        <v>0</v>
      </c>
      <c r="AN74" s="120" t="n">
        <f aca="false">SUMIF($F$7:$AG$7,AN$7,$F74:$AG74)</f>
        <v>0</v>
      </c>
      <c r="AO74" s="120" t="n">
        <f aca="false">SUMIF($F$7:$AG$7,AO$7,$F74:$AG74)</f>
        <v>0</v>
      </c>
    </row>
    <row r="75" customFormat="false" ht="15" hidden="false" customHeight="false" outlineLevel="0" collapsed="false">
      <c r="A75" s="101" t="s">
        <v>1406</v>
      </c>
      <c r="B75" s="18" t="s">
        <v>400</v>
      </c>
      <c r="C75" s="18"/>
      <c r="D75" s="18"/>
      <c r="F75" s="119" t="n">
        <f aca="false">(1-$I$20)*(1-$J$20)*$D$20*$E$20/4*MIN(1,MAX(0,(F$5-$H$20+1)/$T$20))*IF(F$5=$H$20,DelivFactor,IF(AND(F$5&gt;$H$20,F$5&lt;$H$20+$F$20),1,IF(F$5=$H$20+$F$20,1-DelivFactor,0)))</f>
        <v>0</v>
      </c>
      <c r="G75" s="119" t="n">
        <f aca="false">(1-$I$20)*(1-$J$20)*$D$20*$E$20/4*MIN(1,MAX(0,(G$5-$H$20+1)/$T$20))*IF(G$5=$H$20,DelivFactor,IF(AND(G$5&gt;$H$20,G$5&lt;$H$20+$F$20),1,IF(G$5=$H$20+$F$20,1-DelivFactor,0)))</f>
        <v>0</v>
      </c>
      <c r="H75" s="119" t="n">
        <f aca="false">(1-$I$20)*(1-$J$20)*$D$20*$E$20/4*MIN(1,MAX(0,(H$5-$H$20+1)/$T$20))*IF(H$5=$H$20,DelivFactor,IF(AND(H$5&gt;$H$20,H$5&lt;$H$20+$F$20),1,IF(H$5=$H$20+$F$20,1-DelivFactor,0)))</f>
        <v>0</v>
      </c>
      <c r="I75" s="119" t="n">
        <f aca="false">(1-$I$20)*(1-$J$20)*$D$20*$E$20/4*MIN(1,MAX(0,(I$5-$H$20+1)/$T$20))*IF(I$5=$H$20,DelivFactor,IF(AND(I$5&gt;$H$20,I$5&lt;$H$20+$F$20),1,IF(I$5=$H$20+$F$20,1-DelivFactor,0)))</f>
        <v>0</v>
      </c>
      <c r="J75" s="119" t="n">
        <f aca="false">(1-$I$20)*(1-$J$20)*$D$20*$E$20/4*MIN(1,MAX(0,(J$5-$H$20+1)/$T$20))*IF(J$5=$H$20,DelivFactor,IF(AND(J$5&gt;$H$20,J$5&lt;$H$20+$F$20),1,IF(J$5=$H$20+$F$20,1-DelivFactor,0)))</f>
        <v>0</v>
      </c>
      <c r="K75" s="119" t="n">
        <f aca="false">(1-$I$20)*(1-$J$20)*$D$20*$E$20/4*MIN(1,MAX(0,(K$5-$H$20+1)/$T$20))*IF(K$5=$H$20,DelivFactor,IF(AND(K$5&gt;$H$20,K$5&lt;$H$20+$F$20),1,IF(K$5=$H$20+$F$20,1-DelivFactor,0)))</f>
        <v>0</v>
      </c>
      <c r="L75" s="119" t="n">
        <f aca="false">(1-$I$20)*(1-$J$20)*$D$20*$E$20/4*MIN(1,MAX(0,(L$5-$H$20+1)/$T$20))*IF(L$5=$H$20,DelivFactor,IF(AND(L$5&gt;$H$20,L$5&lt;$H$20+$F$20),1,IF(L$5=$H$20+$F$20,1-DelivFactor,0)))</f>
        <v>0</v>
      </c>
      <c r="M75" s="119" t="n">
        <f aca="false">(1-$I$20)*(1-$J$20)*$D$20*$E$20/4*MIN(1,MAX(0,(M$5-$H$20+1)/$T$20))*IF(M$5=$H$20,DelivFactor,IF(AND(M$5&gt;$H$20,M$5&lt;$H$20+$F$20),1,IF(M$5=$H$20+$F$20,1-DelivFactor,0)))</f>
        <v>0</v>
      </c>
      <c r="N75" s="119" t="n">
        <f aca="false">(1-$I$20)*(1-$J$20)*$D$20*$E$20/4*MIN(1,MAX(0,(N$5-$H$20+1)/$T$20))*IF(N$5=$H$20,DelivFactor,IF(AND(N$5&gt;$H$20,N$5&lt;$H$20+$F$20),1,IF(N$5=$H$20+$F$20,1-DelivFactor,0)))</f>
        <v>0</v>
      </c>
      <c r="O75" s="119" t="n">
        <f aca="false">(1-$I$20)*(1-$J$20)*$D$20*$E$20/4*MIN(1,MAX(0,(O$5-$H$20+1)/$T$20))*IF(O$5=$H$20,DelivFactor,IF(AND(O$5&gt;$H$20,O$5&lt;$H$20+$F$20),1,IF(O$5=$H$20+$F$20,1-DelivFactor,0)))</f>
        <v>0</v>
      </c>
      <c r="P75" s="120" t="n">
        <f aca="false">(1-$I$20)*(1-$J$20)*$D$20*$E$20/4*MIN(1,MAX(0,(P$5-$H$20+1)/$T$20))*IF(P$5=$H$20,DelivFactor,IF(AND(P$5&gt;$H$20,P$5&lt;$H$20+$F$20),1,IF(P$5=$H$20+$F$20,1-DelivFactor,0)))</f>
        <v>0</v>
      </c>
      <c r="Q75" s="120" t="n">
        <f aca="false">(1-$I$20)*(1-$J$20)*$D$20*$E$20/4*MIN(1,MAX(0,(Q$5-$H$20+1)/$T$20))*IF(Q$5=$H$20,DelivFactor,IF(AND(Q$5&gt;$H$20,Q$5&lt;$H$20+$F$20),1,IF(Q$5=$H$20+$F$20,1-DelivFactor,0)))</f>
        <v>0</v>
      </c>
      <c r="R75" s="120" t="n">
        <f aca="false">(1-$I$20)*(1-$J$20)*$D$20*$E$20/4*MIN(1,MAX(0,(R$5-$H$20+1)/$T$20))*IF(R$5=$H$20,DelivFactor,IF(AND(R$5&gt;$H$20,R$5&lt;$H$20+$F$20),1,IF(R$5=$H$20+$F$20,1-DelivFactor,0)))</f>
        <v>0</v>
      </c>
      <c r="S75" s="120" t="n">
        <f aca="false">(1-$I$20)*(1-$J$20)*$D$20*$E$20/4*MIN(1,MAX(0,(S$5-$H$20+1)/$T$20))*IF(S$5=$H$20,DelivFactor,IF(AND(S$5&gt;$H$20,S$5&lt;$H$20+$F$20),1,IF(S$5=$H$20+$F$20,1-DelivFactor,0)))</f>
        <v>0</v>
      </c>
      <c r="T75" s="120" t="n">
        <f aca="false">(1-$I$20)*(1-$J$20)*$D$20*$E$20/4*MIN(1,MAX(0,(T$5-$H$20+1)/$T$20))*IF(T$5=$H$20,DelivFactor,IF(AND(T$5&gt;$H$20,T$5&lt;$H$20+$F$20),1,IF(T$5=$H$20+$F$20,1-DelivFactor,0)))</f>
        <v>12.0784027777778</v>
      </c>
      <c r="U75" s="120" t="n">
        <f aca="false">(1-$I$20)*(1-$J$20)*$D$20*$E$20/4*MIN(1,MAX(0,(U$5-$H$20+1)/$T$20))*IF(U$5=$H$20,DelivFactor,IF(AND(U$5&gt;$H$20,U$5&lt;$H$20+$F$20),1,IF(U$5=$H$20+$F$20,1-DelivFactor,0)))</f>
        <v>48.3136111111111</v>
      </c>
      <c r="V75" s="120" t="n">
        <f aca="false">(1-$I$20)*(1-$J$20)*$D$20*$E$20/4*MIN(1,MAX(0,(V$5-$H$20+1)/$T$20))*IF(V$5=$H$20,DelivFactor,IF(AND(V$5&gt;$H$20,V$5&lt;$H$20+$F$20),1,IF(V$5=$H$20+$F$20,1-DelivFactor,0)))</f>
        <v>72.4704166666667</v>
      </c>
      <c r="W75" s="120" t="n">
        <f aca="false">(1-$I$20)*(1-$J$20)*$D$20*$E$20/4*MIN(1,MAX(0,(W$5-$H$20+1)/$T$20))*IF(W$5=$H$20,DelivFactor,IF(AND(W$5&gt;$H$20,W$5&lt;$H$20+$F$20),1,IF(W$5=$H$20+$F$20,1-DelivFactor,0)))</f>
        <v>96.6272222222222</v>
      </c>
      <c r="X75" s="120" t="n">
        <f aca="false">(1-$I$20)*(1-$J$20)*$D$20*$E$20/4*MIN(1,MAX(0,(X$5-$H$20+1)/$T$20))*IF(X$5=$H$20,DelivFactor,IF(AND(X$5&gt;$H$20,X$5&lt;$H$20+$F$20),1,IF(X$5=$H$20+$F$20,1-DelivFactor,0)))</f>
        <v>96.6272222222222</v>
      </c>
      <c r="Y75" s="120" t="n">
        <f aca="false">(1-$I$20)*(1-$J$20)*$D$20*$E$20/4*MIN(1,MAX(0,(Y$5-$H$20+1)/$T$20))*IF(Y$5=$H$20,DelivFactor,IF(AND(Y$5&gt;$H$20,Y$5&lt;$H$20+$F$20),1,IF(Y$5=$H$20+$F$20,1-DelivFactor,0)))</f>
        <v>96.6272222222222</v>
      </c>
      <c r="Z75" s="120" t="n">
        <f aca="false">(1-$I$20)*(1-$J$20)*$D$20*$E$20/4*MIN(1,MAX(0,(Z$5-$H$20+1)/$T$20))*IF(Z$5=$H$20,DelivFactor,IF(AND(Z$5&gt;$H$20,Z$5&lt;$H$20+$F$20),1,IF(Z$5=$H$20+$F$20,1-DelivFactor,0)))</f>
        <v>96.6272222222222</v>
      </c>
      <c r="AA75" s="120" t="n">
        <f aca="false">(1-$I$20)*(1-$J$20)*$D$20*$E$20/4*MIN(1,MAX(0,(AA$5-$H$20+1)/$T$20))*IF(AA$5=$H$20,DelivFactor,IF(AND(AA$5&gt;$H$20,AA$5&lt;$H$20+$F$20),1,IF(AA$5=$H$20+$F$20,1-DelivFactor,0)))</f>
        <v>96.6272222222222</v>
      </c>
      <c r="AB75" s="120" t="n">
        <f aca="false">(1-$I$20)*(1-$J$20)*$D$20*$E$20/4*MIN(1,MAX(0,(AB$5-$H$20+1)/$T$20))*IF(AB$5=$H$20,DelivFactor,IF(AND(AB$5&gt;$H$20,AB$5&lt;$H$20+$F$20),1,IF(AB$5=$H$20+$F$20,1-DelivFactor,0)))</f>
        <v>96.6272222222222</v>
      </c>
      <c r="AC75" s="120" t="n">
        <f aca="false">(1-$I$20)*(1-$J$20)*$D$20*$E$20/4*MIN(1,MAX(0,(AC$5-$H$20+1)/$T$20))*IF(AC$5=$H$20,DelivFactor,IF(AND(AC$5&gt;$H$20,AC$5&lt;$H$20+$F$20),1,IF(AC$5=$H$20+$F$20,1-DelivFactor,0)))</f>
        <v>96.6272222222222</v>
      </c>
      <c r="AD75" s="120" t="n">
        <f aca="false">(1-$I$20)*(1-$J$20)*$D$20*$E$20/4*MIN(1,MAX(0,(AD$5-$H$20+1)/$T$20))*IF(AD$5=$H$20,DelivFactor,IF(AND(AD$5&gt;$H$20,AD$5&lt;$H$20+$F$20),1,IF(AD$5=$H$20+$F$20,1-DelivFactor,0)))</f>
        <v>96.6272222222222</v>
      </c>
      <c r="AE75" s="120" t="n">
        <f aca="false">(1-$I$20)*(1-$J$20)*$D$20*$E$20/4*MIN(1,MAX(0,(AE$5-$H$20+1)/$T$20))*IF(AE$5=$H$20,DelivFactor,IF(AND(AE$5&gt;$H$20,AE$5&lt;$H$20+$F$20),1,IF(AE$5=$H$20+$F$20,1-DelivFactor,0)))</f>
        <v>96.6272222222222</v>
      </c>
      <c r="AF75" s="120" t="n">
        <f aca="false">(1-$I$20)*(1-$J$20)*$D$20*$E$20/4*MIN(1,MAX(0,(AF$5-$H$20+1)/$T$20))*IF(AF$5=$H$20,DelivFactor,IF(AND(AF$5&gt;$H$20,AF$5&lt;$H$20+$F$20),1,IF(AF$5=$H$20+$F$20,1-DelivFactor,0)))</f>
        <v>96.6272222222222</v>
      </c>
      <c r="AG75" s="120" t="n">
        <f aca="false">(1-$I$20)*(1-$J$20)*$D$20*$E$20/4*MIN(1,MAX(0,(AG$5-$H$20+1)/$T$20))*IF(AG$5=$H$20,DelivFactor,IF(AND(AG$5&gt;$H$20,AG$5&lt;$H$20+$F$20),1,IF(AG$5=$H$20+$F$20,1-DelivFactor,0)))</f>
        <v>96.6272222222222</v>
      </c>
      <c r="AI75" s="120" t="n">
        <f aca="false">SUMIF($F$7:$AG$7,AI$7,$F75:$AG75)</f>
        <v>0</v>
      </c>
      <c r="AJ75" s="120" t="n">
        <f aca="false">SUMIF($F$7:$AG$7,AJ$7,$F75:$AG75)</f>
        <v>0</v>
      </c>
      <c r="AK75" s="120" t="n">
        <f aca="false">SUMIF($F$7:$AG$7,AK$7,$F75:$AG75)</f>
        <v>0</v>
      </c>
      <c r="AL75" s="120" t="n">
        <f aca="false">SUMIF($F$7:$AG$7,AL$7,$F75:$AG75)</f>
        <v>60.3920138888889</v>
      </c>
      <c r="AM75" s="120" t="n">
        <f aca="false">SUMIF($F$7:$AG$7,AM$7,$F75:$AG75)</f>
        <v>362.352083333333</v>
      </c>
      <c r="AN75" s="120" t="n">
        <f aca="false">SUMIF($F$7:$AG$7,AN$7,$F75:$AG75)</f>
        <v>386.508888888889</v>
      </c>
      <c r="AO75" s="120" t="n">
        <f aca="false">SUMIF($F$7:$AG$7,AO$7,$F75:$AG75)</f>
        <v>386.508888888889</v>
      </c>
    </row>
    <row r="76" customFormat="false" ht="15" hidden="false" customHeight="false" outlineLevel="0" collapsed="false">
      <c r="A76" s="101" t="s">
        <v>1407</v>
      </c>
      <c r="B76" s="18" t="s">
        <v>415</v>
      </c>
      <c r="C76" s="18"/>
      <c r="D76" s="18"/>
      <c r="F76" s="110" t="n">
        <f aca="false">(1-$I$20)*(1-$J$20)*$D$20*AND(F$5&gt;=$H$20,F$5&lt;$H$20+$F$20)</f>
        <v>0</v>
      </c>
      <c r="G76" s="110" t="n">
        <f aca="false">(1-$I$20)*(1-$J$20)*$D$20*AND(G$5&gt;=$H$20,G$5&lt;$H$20+$F$20)</f>
        <v>0</v>
      </c>
      <c r="H76" s="110" t="n">
        <f aca="false">(1-$I$20)*(1-$J$20)*$D$20*AND(H$5&gt;=$H$20,H$5&lt;$H$20+$F$20)</f>
        <v>0</v>
      </c>
      <c r="I76" s="110" t="n">
        <f aca="false">(1-$I$20)*(1-$J$20)*$D$20*AND(I$5&gt;=$H$20,I$5&lt;$H$20+$F$20)</f>
        <v>0</v>
      </c>
      <c r="J76" s="110" t="n">
        <f aca="false">(1-$I$20)*(1-$J$20)*$D$20*AND(J$5&gt;=$H$20,J$5&lt;$H$20+$F$20)</f>
        <v>0</v>
      </c>
      <c r="K76" s="110" t="n">
        <f aca="false">(1-$I$20)*(1-$J$20)*$D$20*AND(K$5&gt;=$H$20,K$5&lt;$H$20+$F$20)</f>
        <v>0</v>
      </c>
      <c r="L76" s="110" t="n">
        <f aca="false">(1-$I$20)*(1-$J$20)*$D$20*AND(L$5&gt;=$H$20,L$5&lt;$H$20+$F$20)</f>
        <v>0</v>
      </c>
      <c r="M76" s="110" t="n">
        <f aca="false">(1-$I$20)*(1-$J$20)*$D$20*AND(M$5&gt;=$H$20,M$5&lt;$H$20+$F$20)</f>
        <v>0</v>
      </c>
      <c r="N76" s="110" t="n">
        <f aca="false">(1-$I$20)*(1-$J$20)*$D$20*AND(N$5&gt;=$H$20,N$5&lt;$H$20+$F$20)</f>
        <v>0</v>
      </c>
      <c r="O76" s="110" t="n">
        <f aca="false">(1-$I$20)*(1-$J$20)*$D$20*AND(O$5&gt;=$H$20,O$5&lt;$H$20+$F$20)</f>
        <v>0</v>
      </c>
      <c r="P76" s="21" t="n">
        <f aca="false">(1-$I$20)*(1-$J$20)*$D$20*AND(P$5&gt;=$H$20,P$5&lt;$H$20+$F$20)</f>
        <v>0</v>
      </c>
      <c r="Q76" s="21" t="n">
        <f aca="false">(1-$I$20)*(1-$J$20)*$D$20*AND(Q$5&gt;=$H$20,Q$5&lt;$H$20+$F$20)</f>
        <v>0</v>
      </c>
      <c r="R76" s="21" t="n">
        <f aca="false">(1-$I$20)*(1-$J$20)*$D$20*AND(R$5&gt;=$H$20,R$5&lt;$H$20+$F$20)</f>
        <v>0</v>
      </c>
      <c r="S76" s="21" t="n">
        <f aca="false">(1-$I$20)*(1-$J$20)*$D$20*AND(S$5&gt;=$H$20,S$5&lt;$H$20+$F$20)</f>
        <v>0</v>
      </c>
      <c r="T76" s="21" t="n">
        <f aca="false">(1-$I$20)*(1-$J$20)*$D$20*AND(T$5&gt;=$H$20,T$5&lt;$H$20+$F$20)</f>
        <v>26.6666666666667</v>
      </c>
      <c r="U76" s="21" t="n">
        <f aca="false">(1-$I$20)*(1-$J$20)*$D$20*AND(U$5&gt;=$H$20,U$5&lt;$H$20+$F$20)</f>
        <v>26.6666666666667</v>
      </c>
      <c r="V76" s="21" t="n">
        <f aca="false">(1-$I$20)*(1-$J$20)*$D$20*AND(V$5&gt;=$H$20,V$5&lt;$H$20+$F$20)</f>
        <v>26.6666666666667</v>
      </c>
      <c r="W76" s="21" t="n">
        <f aca="false">(1-$I$20)*(1-$J$20)*$D$20*AND(W$5&gt;=$H$20,W$5&lt;$H$20+$F$20)</f>
        <v>26.6666666666667</v>
      </c>
      <c r="X76" s="21" t="n">
        <f aca="false">(1-$I$20)*(1-$J$20)*$D$20*AND(X$5&gt;=$H$20,X$5&lt;$H$20+$F$20)</f>
        <v>26.6666666666667</v>
      </c>
      <c r="Y76" s="21" t="n">
        <f aca="false">(1-$I$20)*(1-$J$20)*$D$20*AND(Y$5&gt;=$H$20,Y$5&lt;$H$20+$F$20)</f>
        <v>26.6666666666667</v>
      </c>
      <c r="Z76" s="21" t="n">
        <f aca="false">(1-$I$20)*(1-$J$20)*$D$20*AND(Z$5&gt;=$H$20,Z$5&lt;$H$20+$F$20)</f>
        <v>26.6666666666667</v>
      </c>
      <c r="AA76" s="21" t="n">
        <f aca="false">(1-$I$20)*(1-$J$20)*$D$20*AND(AA$5&gt;=$H$20,AA$5&lt;$H$20+$F$20)</f>
        <v>26.6666666666667</v>
      </c>
      <c r="AB76" s="21" t="n">
        <f aca="false">(1-$I$20)*(1-$J$20)*$D$20*AND(AB$5&gt;=$H$20,AB$5&lt;$H$20+$F$20)</f>
        <v>26.6666666666667</v>
      </c>
      <c r="AC76" s="21" t="n">
        <f aca="false">(1-$I$20)*(1-$J$20)*$D$20*AND(AC$5&gt;=$H$20,AC$5&lt;$H$20+$F$20)</f>
        <v>26.6666666666667</v>
      </c>
      <c r="AD76" s="21" t="n">
        <f aca="false">(1-$I$20)*(1-$J$20)*$D$20*AND(AD$5&gt;=$H$20,AD$5&lt;$H$20+$F$20)</f>
        <v>26.6666666666667</v>
      </c>
      <c r="AE76" s="21" t="n">
        <f aca="false">(1-$I$20)*(1-$J$20)*$D$20*AND(AE$5&gt;=$H$20,AE$5&lt;$H$20+$F$20)</f>
        <v>26.6666666666667</v>
      </c>
      <c r="AF76" s="21" t="n">
        <f aca="false">(1-$I$20)*(1-$J$20)*$D$20*AND(AF$5&gt;=$H$20,AF$5&lt;$H$20+$F$20)</f>
        <v>26.6666666666667</v>
      </c>
      <c r="AG76" s="21" t="n">
        <f aca="false">(1-$I$20)*(1-$J$20)*$D$20*AND(AG$5&gt;=$H$20,AG$5&lt;$H$20+$F$20)</f>
        <v>26.6666666666667</v>
      </c>
      <c r="AI76" s="21" t="n">
        <f aca="false">INDEX($F76:$AG76,1,MATCH(AI$7,$F$7:$AG$7,1))</f>
        <v>0</v>
      </c>
      <c r="AJ76" s="21" t="n">
        <f aca="false">INDEX($F76:$AG76,1,MATCH(AJ$7,$F$7:$AG$7,1))</f>
        <v>0</v>
      </c>
      <c r="AK76" s="21" t="n">
        <f aca="false">INDEX($F76:$AG76,1,MATCH(AK$7,$F$7:$AG$7,1))</f>
        <v>0</v>
      </c>
      <c r="AL76" s="21" t="n">
        <f aca="false">INDEX($F76:$AG76,1,MATCH(AL$7,$F$7:$AG$7,1))</f>
        <v>26.6666666666667</v>
      </c>
      <c r="AM76" s="21" t="n">
        <f aca="false">INDEX($F76:$AG76,1,MATCH(AM$7,$F$7:$AG$7,1))</f>
        <v>26.6666666666667</v>
      </c>
      <c r="AN76" s="21" t="n">
        <f aca="false">INDEX($F76:$AG76,1,MATCH(AN$7,$F$7:$AG$7,1))</f>
        <v>26.6666666666667</v>
      </c>
      <c r="AO76" s="21" t="n">
        <f aca="false">INDEX($F76:$AG76,1,MATCH(AO$7,$F$7:$AG$7,1))</f>
        <v>26.6666666666667</v>
      </c>
    </row>
    <row r="77" customFormat="false" ht="15" hidden="false" customHeight="false" outlineLevel="0" collapsed="false">
      <c r="A77" s="101" t="s">
        <v>1408</v>
      </c>
      <c r="B77" s="18" t="s">
        <v>400</v>
      </c>
      <c r="C77" s="18"/>
      <c r="D77" s="18"/>
      <c r="F77" s="119" t="n">
        <f aca="false">-(1-$I$20)*LD_Pct*$D$20*$E$20/4*AND(F$5&gt;=$G$20,F$5&lt;$H$20)</f>
        <v>-0</v>
      </c>
      <c r="G77" s="119" t="n">
        <f aca="false">-(1-$I$20)*LD_Pct*$D$20*$E$20/4*AND(G$5&gt;=$G$20,G$5&lt;$H$20)</f>
        <v>-0</v>
      </c>
      <c r="H77" s="119" t="n">
        <f aca="false">-(1-$I$20)*LD_Pct*$D$20*$E$20/4*AND(H$5&gt;=$G$20,H$5&lt;$H$20)</f>
        <v>-0</v>
      </c>
      <c r="I77" s="119" t="n">
        <f aca="false">-(1-$I$20)*LD_Pct*$D$20*$E$20/4*AND(I$5&gt;=$G$20,I$5&lt;$H$20)</f>
        <v>-0</v>
      </c>
      <c r="J77" s="119" t="n">
        <f aca="false">-(1-$I$20)*LD_Pct*$D$20*$E$20/4*AND(J$5&gt;=$G$20,J$5&lt;$H$20)</f>
        <v>-0</v>
      </c>
      <c r="K77" s="119" t="n">
        <f aca="false">-(1-$I$20)*LD_Pct*$D$20*$E$20/4*AND(K$5&gt;=$G$20,K$5&lt;$H$20)</f>
        <v>-0</v>
      </c>
      <c r="L77" s="119" t="n">
        <f aca="false">-(1-$I$20)*LD_Pct*$D$20*$E$20/4*AND(L$5&gt;=$G$20,L$5&lt;$H$20)</f>
        <v>-0</v>
      </c>
      <c r="M77" s="119" t="n">
        <f aca="false">-(1-$I$20)*LD_Pct*$D$20*$E$20/4*AND(M$5&gt;=$G$20,M$5&lt;$H$20)</f>
        <v>-0</v>
      </c>
      <c r="N77" s="119" t="n">
        <f aca="false">-(1-$I$20)*LD_Pct*$D$20*$E$20/4*AND(N$5&gt;=$G$20,N$5&lt;$H$20)</f>
        <v>-0</v>
      </c>
      <c r="O77" s="119" t="n">
        <f aca="false">-(1-$I$20)*LD_Pct*$D$20*$E$20/4*AND(O$5&gt;=$G$20,O$5&lt;$H$20)</f>
        <v>-0</v>
      </c>
      <c r="P77" s="120" t="n">
        <f aca="false">-(1-$I$20)*LD_Pct*$D$20*$E$20/4*AND(P$5&gt;=$G$20,P$5&lt;$H$20)</f>
        <v>-0</v>
      </c>
      <c r="Q77" s="120" t="n">
        <f aca="false">-(1-$I$20)*LD_Pct*$D$20*$E$20/4*AND(Q$5&gt;=$G$20,Q$5&lt;$H$20)</f>
        <v>-0</v>
      </c>
      <c r="R77" s="120" t="n">
        <f aca="false">-(1-$I$20)*LD_Pct*$D$20*$E$20/4*AND(R$5&gt;=$G$20,R$5&lt;$H$20)</f>
        <v>-0</v>
      </c>
      <c r="S77" s="120" t="n">
        <f aca="false">-(1-$I$20)*LD_Pct*$D$20*$E$20/4*AND(S$5&gt;=$G$20,S$5&lt;$H$20)</f>
        <v>-0</v>
      </c>
      <c r="T77" s="120" t="n">
        <f aca="false">-(1-$I$20)*LD_Pct*$D$20*$E$20/4*AND(T$5&gt;=$G$20,T$5&lt;$H$20)</f>
        <v>-0</v>
      </c>
      <c r="U77" s="120" t="n">
        <f aca="false">-(1-$I$20)*LD_Pct*$D$20*$E$20/4*AND(U$5&gt;=$G$20,U$5&lt;$H$20)</f>
        <v>-0</v>
      </c>
      <c r="V77" s="120" t="n">
        <f aca="false">-(1-$I$20)*LD_Pct*$D$20*$E$20/4*AND(V$5&gt;=$G$20,V$5&lt;$H$20)</f>
        <v>-0</v>
      </c>
      <c r="W77" s="120" t="n">
        <f aca="false">-(1-$I$20)*LD_Pct*$D$20*$E$20/4*AND(W$5&gt;=$G$20,W$5&lt;$H$20)</f>
        <v>-0</v>
      </c>
      <c r="X77" s="120" t="n">
        <f aca="false">-(1-$I$20)*LD_Pct*$D$20*$E$20/4*AND(X$5&gt;=$G$20,X$5&lt;$H$20)</f>
        <v>-0</v>
      </c>
      <c r="Y77" s="120" t="n">
        <f aca="false">-(1-$I$20)*LD_Pct*$D$20*$E$20/4*AND(Y$5&gt;=$G$20,Y$5&lt;$H$20)</f>
        <v>-0</v>
      </c>
      <c r="Z77" s="120" t="n">
        <f aca="false">-(1-$I$20)*LD_Pct*$D$20*$E$20/4*AND(Z$5&gt;=$G$20,Z$5&lt;$H$20)</f>
        <v>-0</v>
      </c>
      <c r="AA77" s="120" t="n">
        <f aca="false">-(1-$I$20)*LD_Pct*$D$20*$E$20/4*AND(AA$5&gt;=$G$20,AA$5&lt;$H$20)</f>
        <v>-0</v>
      </c>
      <c r="AB77" s="120" t="n">
        <f aca="false">-(1-$I$20)*LD_Pct*$D$20*$E$20/4*AND(AB$5&gt;=$G$20,AB$5&lt;$H$20)</f>
        <v>-0</v>
      </c>
      <c r="AC77" s="120" t="n">
        <f aca="false">-(1-$I$20)*LD_Pct*$D$20*$E$20/4*AND(AC$5&gt;=$G$20,AC$5&lt;$H$20)</f>
        <v>-0</v>
      </c>
      <c r="AD77" s="120" t="n">
        <f aca="false">-(1-$I$20)*LD_Pct*$D$20*$E$20/4*AND(AD$5&gt;=$G$20,AD$5&lt;$H$20)</f>
        <v>-0</v>
      </c>
      <c r="AE77" s="120" t="n">
        <f aca="false">-(1-$I$20)*LD_Pct*$D$20*$E$20/4*AND(AE$5&gt;=$G$20,AE$5&lt;$H$20)</f>
        <v>-0</v>
      </c>
      <c r="AF77" s="120" t="n">
        <f aca="false">-(1-$I$20)*LD_Pct*$D$20*$E$20/4*AND(AF$5&gt;=$G$20,AF$5&lt;$H$20)</f>
        <v>-0</v>
      </c>
      <c r="AG77" s="120" t="n">
        <f aca="false">-(1-$I$20)*LD_Pct*$D$20*$E$20/4*AND(AG$5&gt;=$G$20,AG$5&lt;$H$20)</f>
        <v>-0</v>
      </c>
      <c r="AI77" s="120" t="n">
        <f aca="false">SUMIF($F$7:$AG$7,AI$7,$F77:$AG77)</f>
        <v>0</v>
      </c>
      <c r="AJ77" s="120" t="n">
        <f aca="false">SUMIF($F$7:$AG$7,AJ$7,$F77:$AG77)</f>
        <v>0</v>
      </c>
      <c r="AK77" s="120" t="n">
        <f aca="false">SUMIF($F$7:$AG$7,AK$7,$F77:$AG77)</f>
        <v>0</v>
      </c>
      <c r="AL77" s="120" t="n">
        <f aca="false">SUMIF($F$7:$AG$7,AL$7,$F77:$AG77)</f>
        <v>0</v>
      </c>
      <c r="AM77" s="120" t="n">
        <f aca="false">SUMIF($F$7:$AG$7,AM$7,$F77:$AG77)</f>
        <v>0</v>
      </c>
      <c r="AN77" s="120" t="n">
        <f aca="false">SUMIF($F$7:$AG$7,AN$7,$F77:$AG77)</f>
        <v>0</v>
      </c>
      <c r="AO77" s="120" t="n">
        <f aca="false">SUMIF($F$7:$AG$7,AO$7,$F77:$AG77)</f>
        <v>0</v>
      </c>
    </row>
    <row r="78" customFormat="false" ht="15" hidden="false" customHeight="false" outlineLevel="0" collapsed="false">
      <c r="A78" s="101" t="s">
        <v>1409</v>
      </c>
      <c r="B78" s="18" t="s">
        <v>415</v>
      </c>
      <c r="C78" s="18"/>
      <c r="D78" s="18"/>
      <c r="F78" s="110" t="n">
        <f aca="false">(1-$I$20)*(1-$J$20)*$D$20*(F$5&gt;=$H$20+$F$20)</f>
        <v>0</v>
      </c>
      <c r="G78" s="110" t="n">
        <f aca="false">(1-$I$20)*(1-$J$20)*$D$20*(G$5&gt;=$H$20+$F$20)</f>
        <v>0</v>
      </c>
      <c r="H78" s="110" t="n">
        <f aca="false">(1-$I$20)*(1-$J$20)*$D$20*(H$5&gt;=$H$20+$F$20)</f>
        <v>0</v>
      </c>
      <c r="I78" s="110" t="n">
        <f aca="false">(1-$I$20)*(1-$J$20)*$D$20*(I$5&gt;=$H$20+$F$20)</f>
        <v>0</v>
      </c>
      <c r="J78" s="110" t="n">
        <f aca="false">(1-$I$20)*(1-$J$20)*$D$20*(J$5&gt;=$H$20+$F$20)</f>
        <v>0</v>
      </c>
      <c r="K78" s="110" t="n">
        <f aca="false">(1-$I$20)*(1-$J$20)*$D$20*(K$5&gt;=$H$20+$F$20)</f>
        <v>0</v>
      </c>
      <c r="L78" s="110" t="n">
        <f aca="false">(1-$I$20)*(1-$J$20)*$D$20*(L$5&gt;=$H$20+$F$20)</f>
        <v>0</v>
      </c>
      <c r="M78" s="110" t="n">
        <f aca="false">(1-$I$20)*(1-$J$20)*$D$20*(M$5&gt;=$H$20+$F$20)</f>
        <v>0</v>
      </c>
      <c r="N78" s="110" t="n">
        <f aca="false">(1-$I$20)*(1-$J$20)*$D$20*(N$5&gt;=$H$20+$F$20)</f>
        <v>0</v>
      </c>
      <c r="O78" s="110" t="n">
        <f aca="false">(1-$I$20)*(1-$J$20)*$D$20*(O$5&gt;=$H$20+$F$20)</f>
        <v>0</v>
      </c>
      <c r="P78" s="21" t="n">
        <f aca="false">(1-$I$20)*(1-$J$20)*$D$20*(P$5&gt;=$H$20+$F$20)</f>
        <v>0</v>
      </c>
      <c r="Q78" s="21" t="n">
        <f aca="false">(1-$I$20)*(1-$J$20)*$D$20*(Q$5&gt;=$H$20+$F$20)</f>
        <v>0</v>
      </c>
      <c r="R78" s="21" t="n">
        <f aca="false">(1-$I$20)*(1-$J$20)*$D$20*(R$5&gt;=$H$20+$F$20)</f>
        <v>0</v>
      </c>
      <c r="S78" s="21" t="n">
        <f aca="false">(1-$I$20)*(1-$J$20)*$D$20*(S$5&gt;=$H$20+$F$20)</f>
        <v>0</v>
      </c>
      <c r="T78" s="21" t="n">
        <f aca="false">(1-$I$20)*(1-$J$20)*$D$20*(T$5&gt;=$H$20+$F$20)</f>
        <v>0</v>
      </c>
      <c r="U78" s="21" t="n">
        <f aca="false">(1-$I$20)*(1-$J$20)*$D$20*(U$5&gt;=$H$20+$F$20)</f>
        <v>0</v>
      </c>
      <c r="V78" s="21" t="n">
        <f aca="false">(1-$I$20)*(1-$J$20)*$D$20*(V$5&gt;=$H$20+$F$20)</f>
        <v>0</v>
      </c>
      <c r="W78" s="21" t="n">
        <f aca="false">(1-$I$20)*(1-$J$20)*$D$20*(W$5&gt;=$H$20+$F$20)</f>
        <v>0</v>
      </c>
      <c r="X78" s="21" t="n">
        <f aca="false">(1-$I$20)*(1-$J$20)*$D$20*(X$5&gt;=$H$20+$F$20)</f>
        <v>0</v>
      </c>
      <c r="Y78" s="21" t="n">
        <f aca="false">(1-$I$20)*(1-$J$20)*$D$20*(Y$5&gt;=$H$20+$F$20)</f>
        <v>0</v>
      </c>
      <c r="Z78" s="21" t="n">
        <f aca="false">(1-$I$20)*(1-$J$20)*$D$20*(Z$5&gt;=$H$20+$F$20)</f>
        <v>0</v>
      </c>
      <c r="AA78" s="21" t="n">
        <f aca="false">(1-$I$20)*(1-$J$20)*$D$20*(AA$5&gt;=$H$20+$F$20)</f>
        <v>0</v>
      </c>
      <c r="AB78" s="21" t="n">
        <f aca="false">(1-$I$20)*(1-$J$20)*$D$20*(AB$5&gt;=$H$20+$F$20)</f>
        <v>0</v>
      </c>
      <c r="AC78" s="21" t="n">
        <f aca="false">(1-$I$20)*(1-$J$20)*$D$20*(AC$5&gt;=$H$20+$F$20)</f>
        <v>0</v>
      </c>
      <c r="AD78" s="21" t="n">
        <f aca="false">(1-$I$20)*(1-$J$20)*$D$20*(AD$5&gt;=$H$20+$F$20)</f>
        <v>0</v>
      </c>
      <c r="AE78" s="21" t="n">
        <f aca="false">(1-$I$20)*(1-$J$20)*$D$20*(AE$5&gt;=$H$20+$F$20)</f>
        <v>0</v>
      </c>
      <c r="AF78" s="21" t="n">
        <f aca="false">(1-$I$20)*(1-$J$20)*$D$20*(AF$5&gt;=$H$20+$F$20)</f>
        <v>0</v>
      </c>
      <c r="AG78" s="21" t="n">
        <f aca="false">(1-$I$20)*(1-$J$20)*$D$20*(AG$5&gt;=$H$20+$F$20)</f>
        <v>0</v>
      </c>
      <c r="AI78" s="21" t="n">
        <f aca="false">INDEX($F78:$AG78,1,MATCH(AI$7,$F$7:$AG$7,1))</f>
        <v>0</v>
      </c>
      <c r="AJ78" s="21" t="n">
        <f aca="false">INDEX($F78:$AG78,1,MATCH(AJ$7,$F$7:$AG$7,1))</f>
        <v>0</v>
      </c>
      <c r="AK78" s="21" t="n">
        <f aca="false">INDEX($F78:$AG78,1,MATCH(AK$7,$F$7:$AG$7,1))</f>
        <v>0</v>
      </c>
      <c r="AL78" s="21" t="n">
        <f aca="false">INDEX($F78:$AG78,1,MATCH(AL$7,$F$7:$AG$7,1))</f>
        <v>0</v>
      </c>
      <c r="AM78" s="21" t="n">
        <f aca="false">INDEX($F78:$AG78,1,MATCH(AM$7,$F$7:$AG$7,1))</f>
        <v>0</v>
      </c>
      <c r="AN78" s="21" t="n">
        <f aca="false">INDEX($F78:$AG78,1,MATCH(AN$7,$F$7:$AG$7,1))</f>
        <v>0</v>
      </c>
      <c r="AO78" s="21" t="n">
        <f aca="false">INDEX($F78:$AG78,1,MATCH(AO$7,$F$7:$AG$7,1))</f>
        <v>0</v>
      </c>
    </row>
    <row r="79" customFormat="false" ht="15" hidden="false" customHeight="false" outlineLevel="0" collapsed="false">
      <c r="A79" s="101" t="s">
        <v>1410</v>
      </c>
      <c r="B79" s="18" t="s">
        <v>400</v>
      </c>
      <c r="C79" s="18"/>
      <c r="D79" s="18" t="s">
        <v>1370</v>
      </c>
      <c r="F79" s="119" t="n">
        <f aca="false">F78*CHOOSE(MATCH($C$20,{"H";"B";"N"},0),GPUMW_H*ODc_H,GPUMW_B*ODc_B,GPUMW_N*ODc_N)*ResidUtil*Timeline!F$9*INDEX(Curve,1,MAX(1,MIN(8,INT((F$5-$H$20)/4)+1)))/1000000</f>
        <v>0</v>
      </c>
      <c r="G79" s="119" t="n">
        <f aca="false">G78*CHOOSE(MATCH($C$20,{"H";"B";"N"},0),GPUMW_H*ODc_H,GPUMW_B*ODc_B,GPUMW_N*ODc_N)*ResidUtil*Timeline!G$9*INDEX(Curve,1,MAX(1,MIN(8,INT((G$5-$H$20)/4)+1)))/1000000</f>
        <v>0</v>
      </c>
      <c r="H79" s="119" t="n">
        <f aca="false">H78*CHOOSE(MATCH($C$20,{"H";"B";"N"},0),GPUMW_H*ODc_H,GPUMW_B*ODc_B,GPUMW_N*ODc_N)*ResidUtil*Timeline!H$9*INDEX(Curve,1,MAX(1,MIN(8,INT((H$5-$H$20)/4)+1)))/1000000</f>
        <v>0</v>
      </c>
      <c r="I79" s="119" t="n">
        <f aca="false">I78*CHOOSE(MATCH($C$20,{"H";"B";"N"},0),GPUMW_H*ODc_H,GPUMW_B*ODc_B,GPUMW_N*ODc_N)*ResidUtil*Timeline!I$9*INDEX(Curve,1,MAX(1,MIN(8,INT((I$5-$H$20)/4)+1)))/1000000</f>
        <v>0</v>
      </c>
      <c r="J79" s="119" t="n">
        <f aca="false">J78*CHOOSE(MATCH($C$20,{"H";"B";"N"},0),GPUMW_H*ODc_H,GPUMW_B*ODc_B,GPUMW_N*ODc_N)*ResidUtil*Timeline!J$9*INDEX(Curve,1,MAX(1,MIN(8,INT((J$5-$H$20)/4)+1)))/1000000</f>
        <v>0</v>
      </c>
      <c r="K79" s="119" t="n">
        <f aca="false">K78*CHOOSE(MATCH($C$20,{"H";"B";"N"},0),GPUMW_H*ODc_H,GPUMW_B*ODc_B,GPUMW_N*ODc_N)*ResidUtil*Timeline!K$9*INDEX(Curve,1,MAX(1,MIN(8,INT((K$5-$H$20)/4)+1)))/1000000</f>
        <v>0</v>
      </c>
      <c r="L79" s="119" t="n">
        <f aca="false">L78*CHOOSE(MATCH($C$20,{"H";"B";"N"},0),GPUMW_H*ODc_H,GPUMW_B*ODc_B,GPUMW_N*ODc_N)*ResidUtil*Timeline!L$9*INDEX(Curve,1,MAX(1,MIN(8,INT((L$5-$H$20)/4)+1)))/1000000</f>
        <v>0</v>
      </c>
      <c r="M79" s="119" t="n">
        <f aca="false">M78*CHOOSE(MATCH($C$20,{"H";"B";"N"},0),GPUMW_H*ODc_H,GPUMW_B*ODc_B,GPUMW_N*ODc_N)*ResidUtil*Timeline!M$9*INDEX(Curve,1,MAX(1,MIN(8,INT((M$5-$H$20)/4)+1)))/1000000</f>
        <v>0</v>
      </c>
      <c r="N79" s="119" t="n">
        <f aca="false">N78*CHOOSE(MATCH($C$20,{"H";"B";"N"},0),GPUMW_H*ODc_H,GPUMW_B*ODc_B,GPUMW_N*ODc_N)*ResidUtil*Timeline!N$9*INDEX(Curve,1,MAX(1,MIN(8,INT((N$5-$H$20)/4)+1)))/1000000</f>
        <v>0</v>
      </c>
      <c r="O79" s="119" t="n">
        <f aca="false">O78*CHOOSE(MATCH($C$20,{"H";"B";"N"},0),GPUMW_H*ODc_H,GPUMW_B*ODc_B,GPUMW_N*ODc_N)*ResidUtil*Timeline!O$9*INDEX(Curve,1,MAX(1,MIN(8,INT((O$5-$H$20)/4)+1)))/1000000</f>
        <v>0</v>
      </c>
      <c r="P79" s="120" t="n">
        <f aca="false">P78*CHOOSE(MATCH($C$20,{"H";"B";"N"},0),GPUMW_H*ODc_H,GPUMW_B*ODc_B,GPUMW_N*ODc_N)*ResidUtil*Timeline!P$9*INDEX(Curve,1,MAX(1,MIN(8,INT((P$5-$H$20)/4)+1)))/1000000</f>
        <v>0</v>
      </c>
      <c r="Q79" s="120" t="n">
        <f aca="false">Q78*CHOOSE(MATCH($C$20,{"H";"B";"N"},0),GPUMW_H*ODc_H,GPUMW_B*ODc_B,GPUMW_N*ODc_N)*ResidUtil*Timeline!Q$9*INDEX(Curve,1,MAX(1,MIN(8,INT((Q$5-$H$20)/4)+1)))/1000000</f>
        <v>0</v>
      </c>
      <c r="R79" s="120" t="n">
        <f aca="false">R78*CHOOSE(MATCH($C$20,{"H";"B";"N"},0),GPUMW_H*ODc_H,GPUMW_B*ODc_B,GPUMW_N*ODc_N)*ResidUtil*Timeline!R$9*INDEX(Curve,1,MAX(1,MIN(8,INT((R$5-$H$20)/4)+1)))/1000000</f>
        <v>0</v>
      </c>
      <c r="S79" s="120" t="n">
        <f aca="false">S78*CHOOSE(MATCH($C$20,{"H";"B";"N"},0),GPUMW_H*ODc_H,GPUMW_B*ODc_B,GPUMW_N*ODc_N)*ResidUtil*Timeline!S$9*INDEX(Curve,1,MAX(1,MIN(8,INT((S$5-$H$20)/4)+1)))/1000000</f>
        <v>0</v>
      </c>
      <c r="T79" s="120" t="n">
        <f aca="false">T78*CHOOSE(MATCH($C$20,{"H";"B";"N"},0),GPUMW_H*ODc_H,GPUMW_B*ODc_B,GPUMW_N*ODc_N)*ResidUtil*Timeline!T$9*INDEX(Curve,1,MAX(1,MIN(8,INT((T$5-$H$20)/4)+1)))/1000000</f>
        <v>0</v>
      </c>
      <c r="U79" s="120" t="n">
        <f aca="false">U78*CHOOSE(MATCH($C$20,{"H";"B";"N"},0),GPUMW_H*ODc_H,GPUMW_B*ODc_B,GPUMW_N*ODc_N)*ResidUtil*Timeline!U$9*INDEX(Curve,1,MAX(1,MIN(8,INT((U$5-$H$20)/4)+1)))/1000000</f>
        <v>0</v>
      </c>
      <c r="V79" s="120" t="n">
        <f aca="false">V78*CHOOSE(MATCH($C$20,{"H";"B";"N"},0),GPUMW_H*ODc_H,GPUMW_B*ODc_B,GPUMW_N*ODc_N)*ResidUtil*Timeline!V$9*INDEX(Curve,1,MAX(1,MIN(8,INT((V$5-$H$20)/4)+1)))/1000000</f>
        <v>0</v>
      </c>
      <c r="W79" s="120" t="n">
        <f aca="false">W78*CHOOSE(MATCH($C$20,{"H";"B";"N"},0),GPUMW_H*ODc_H,GPUMW_B*ODc_B,GPUMW_N*ODc_N)*ResidUtil*Timeline!W$9*INDEX(Curve,1,MAX(1,MIN(8,INT((W$5-$H$20)/4)+1)))/1000000</f>
        <v>0</v>
      </c>
      <c r="X79" s="120" t="n">
        <f aca="false">X78*CHOOSE(MATCH($C$20,{"H";"B";"N"},0),GPUMW_H*ODc_H,GPUMW_B*ODc_B,GPUMW_N*ODc_N)*ResidUtil*Timeline!X$9*INDEX(Curve,1,MAX(1,MIN(8,INT((X$5-$H$20)/4)+1)))/1000000</f>
        <v>0</v>
      </c>
      <c r="Y79" s="120" t="n">
        <f aca="false">Y78*CHOOSE(MATCH($C$20,{"H";"B";"N"},0),GPUMW_H*ODc_H,GPUMW_B*ODc_B,GPUMW_N*ODc_N)*ResidUtil*Timeline!Y$9*INDEX(Curve,1,MAX(1,MIN(8,INT((Y$5-$H$20)/4)+1)))/1000000</f>
        <v>0</v>
      </c>
      <c r="Z79" s="120" t="n">
        <f aca="false">Z78*CHOOSE(MATCH($C$20,{"H";"B";"N"},0),GPUMW_H*ODc_H,GPUMW_B*ODc_B,GPUMW_N*ODc_N)*ResidUtil*Timeline!Z$9*INDEX(Curve,1,MAX(1,MIN(8,INT((Z$5-$H$20)/4)+1)))/1000000</f>
        <v>0</v>
      </c>
      <c r="AA79" s="120" t="n">
        <f aca="false">AA78*CHOOSE(MATCH($C$20,{"H";"B";"N"},0),GPUMW_H*ODc_H,GPUMW_B*ODc_B,GPUMW_N*ODc_N)*ResidUtil*Timeline!AA$9*INDEX(Curve,1,MAX(1,MIN(8,INT((AA$5-$H$20)/4)+1)))/1000000</f>
        <v>0</v>
      </c>
      <c r="AB79" s="120" t="n">
        <f aca="false">AB78*CHOOSE(MATCH($C$20,{"H";"B";"N"},0),GPUMW_H*ODc_H,GPUMW_B*ODc_B,GPUMW_N*ODc_N)*ResidUtil*Timeline!AB$9*INDEX(Curve,1,MAX(1,MIN(8,INT((AB$5-$H$20)/4)+1)))/1000000</f>
        <v>0</v>
      </c>
      <c r="AC79" s="120" t="n">
        <f aca="false">AC78*CHOOSE(MATCH($C$20,{"H";"B";"N"},0),GPUMW_H*ODc_H,GPUMW_B*ODc_B,GPUMW_N*ODc_N)*ResidUtil*Timeline!AC$9*INDEX(Curve,1,MAX(1,MIN(8,INT((AC$5-$H$20)/4)+1)))/1000000</f>
        <v>0</v>
      </c>
      <c r="AD79" s="120" t="n">
        <f aca="false">AD78*CHOOSE(MATCH($C$20,{"H";"B";"N"},0),GPUMW_H*ODc_H,GPUMW_B*ODc_B,GPUMW_N*ODc_N)*ResidUtil*Timeline!AD$9*INDEX(Curve,1,MAX(1,MIN(8,INT((AD$5-$H$20)/4)+1)))/1000000</f>
        <v>0</v>
      </c>
      <c r="AE79" s="120" t="n">
        <f aca="false">AE78*CHOOSE(MATCH($C$20,{"H";"B";"N"},0),GPUMW_H*ODc_H,GPUMW_B*ODc_B,GPUMW_N*ODc_N)*ResidUtil*Timeline!AE$9*INDEX(Curve,1,MAX(1,MIN(8,INT((AE$5-$H$20)/4)+1)))/1000000</f>
        <v>0</v>
      </c>
      <c r="AF79" s="120" t="n">
        <f aca="false">AF78*CHOOSE(MATCH($C$20,{"H";"B";"N"},0),GPUMW_H*ODc_H,GPUMW_B*ODc_B,GPUMW_N*ODc_N)*ResidUtil*Timeline!AF$9*INDEX(Curve,1,MAX(1,MIN(8,INT((AF$5-$H$20)/4)+1)))/1000000</f>
        <v>0</v>
      </c>
      <c r="AG79" s="120" t="n">
        <f aca="false">AG78*CHOOSE(MATCH($C$20,{"H";"B";"N"},0),GPUMW_H*ODc_H,GPUMW_B*ODc_B,GPUMW_N*ODc_N)*ResidUtil*Timeline!AG$9*INDEX(Curve,1,MAX(1,MIN(8,INT((AG$5-$H$20)/4)+1)))/1000000</f>
        <v>0</v>
      </c>
      <c r="AI79" s="120" t="n">
        <f aca="false">SUMIF($F$7:$AG$7,AI$7,$F79:$AG79)</f>
        <v>0</v>
      </c>
      <c r="AJ79" s="120" t="n">
        <f aca="false">SUMIF($F$7:$AG$7,AJ$7,$F79:$AG79)</f>
        <v>0</v>
      </c>
      <c r="AK79" s="120" t="n">
        <f aca="false">SUMIF($F$7:$AG$7,AK$7,$F79:$AG79)</f>
        <v>0</v>
      </c>
      <c r="AL79" s="120" t="n">
        <f aca="false">SUMIF($F$7:$AG$7,AL$7,$F79:$AG79)</f>
        <v>0</v>
      </c>
      <c r="AM79" s="120" t="n">
        <f aca="false">SUMIF($F$7:$AG$7,AM$7,$F79:$AG79)</f>
        <v>0</v>
      </c>
      <c r="AN79" s="120" t="n">
        <f aca="false">SUMIF($F$7:$AG$7,AN$7,$F79:$AG79)</f>
        <v>0</v>
      </c>
      <c r="AO79" s="120" t="n">
        <f aca="false">SUMIF($F$7:$AG$7,AO$7,$F79:$AG79)</f>
        <v>0</v>
      </c>
    </row>
    <row r="80" customFormat="false" ht="15" hidden="false" customHeight="false" outlineLevel="0" collapsed="false">
      <c r="A80" s="101" t="s">
        <v>1411</v>
      </c>
      <c r="B80" s="18" t="s">
        <v>400</v>
      </c>
      <c r="C80" s="18"/>
      <c r="D80" s="18"/>
      <c r="F80" s="119" t="n">
        <f aca="false">(1-$I$21)*(1-$J$21)*$D$21*$E$21/4*MIN(1,MAX(0,(F$5-$H$21+1)/$T$21))*IF(F$5=$H$21,DelivFactor,IF(AND(F$5&gt;$H$21,F$5&lt;$H$21+$F$21),1,IF(F$5=$H$21+$F$21,1-DelivFactor,0)))</f>
        <v>0</v>
      </c>
      <c r="G80" s="119" t="n">
        <f aca="false">(1-$I$21)*(1-$J$21)*$D$21*$E$21/4*MIN(1,MAX(0,(G$5-$H$21+1)/$T$21))*IF(G$5=$H$21,DelivFactor,IF(AND(G$5&gt;$H$21,G$5&lt;$H$21+$F$21),1,IF(G$5=$H$21+$F$21,1-DelivFactor,0)))</f>
        <v>0</v>
      </c>
      <c r="H80" s="119" t="n">
        <f aca="false">(1-$I$21)*(1-$J$21)*$D$21*$E$21/4*MIN(1,MAX(0,(H$5-$H$21+1)/$T$21))*IF(H$5=$H$21,DelivFactor,IF(AND(H$5&gt;$H$21,H$5&lt;$H$21+$F$21),1,IF(H$5=$H$21+$F$21,1-DelivFactor,0)))</f>
        <v>0</v>
      </c>
      <c r="I80" s="119" t="n">
        <f aca="false">(1-$I$21)*(1-$J$21)*$D$21*$E$21/4*MIN(1,MAX(0,(I$5-$H$21+1)/$T$21))*IF(I$5=$H$21,DelivFactor,IF(AND(I$5&gt;$H$21,I$5&lt;$H$21+$F$21),1,IF(I$5=$H$21+$F$21,1-DelivFactor,0)))</f>
        <v>0</v>
      </c>
      <c r="J80" s="119" t="n">
        <f aca="false">(1-$I$21)*(1-$J$21)*$D$21*$E$21/4*MIN(1,MAX(0,(J$5-$H$21+1)/$T$21))*IF(J$5=$H$21,DelivFactor,IF(AND(J$5&gt;$H$21,J$5&lt;$H$21+$F$21),1,IF(J$5=$H$21+$F$21,1-DelivFactor,0)))</f>
        <v>0</v>
      </c>
      <c r="K80" s="119" t="n">
        <f aca="false">(1-$I$21)*(1-$J$21)*$D$21*$E$21/4*MIN(1,MAX(0,(K$5-$H$21+1)/$T$21))*IF(K$5=$H$21,DelivFactor,IF(AND(K$5&gt;$H$21,K$5&lt;$H$21+$F$21),1,IF(K$5=$H$21+$F$21,1-DelivFactor,0)))</f>
        <v>0</v>
      </c>
      <c r="L80" s="119" t="n">
        <f aca="false">(1-$I$21)*(1-$J$21)*$D$21*$E$21/4*MIN(1,MAX(0,(L$5-$H$21+1)/$T$21))*IF(L$5=$H$21,DelivFactor,IF(AND(L$5&gt;$H$21,L$5&lt;$H$21+$F$21),1,IF(L$5=$H$21+$F$21,1-DelivFactor,0)))</f>
        <v>0</v>
      </c>
      <c r="M80" s="119" t="n">
        <f aca="false">(1-$I$21)*(1-$J$21)*$D$21*$E$21/4*MIN(1,MAX(0,(M$5-$H$21+1)/$T$21))*IF(M$5=$H$21,DelivFactor,IF(AND(M$5&gt;$H$21,M$5&lt;$H$21+$F$21),1,IF(M$5=$H$21+$F$21,1-DelivFactor,0)))</f>
        <v>0</v>
      </c>
      <c r="N80" s="119" t="n">
        <f aca="false">(1-$I$21)*(1-$J$21)*$D$21*$E$21/4*MIN(1,MAX(0,(N$5-$H$21+1)/$T$21))*IF(N$5=$H$21,DelivFactor,IF(AND(N$5&gt;$H$21,N$5&lt;$H$21+$F$21),1,IF(N$5=$H$21+$F$21,1-DelivFactor,0)))</f>
        <v>0</v>
      </c>
      <c r="O80" s="119" t="n">
        <f aca="false">(1-$I$21)*(1-$J$21)*$D$21*$E$21/4*MIN(1,MAX(0,(O$5-$H$21+1)/$T$21))*IF(O$5=$H$21,DelivFactor,IF(AND(O$5&gt;$H$21,O$5&lt;$H$21+$F$21),1,IF(O$5=$H$21+$F$21,1-DelivFactor,0)))</f>
        <v>0</v>
      </c>
      <c r="P80" s="120" t="n">
        <f aca="false">(1-$I$21)*(1-$J$21)*$D$21*$E$21/4*MIN(1,MAX(0,(P$5-$H$21+1)/$T$21))*IF(P$5=$H$21,DelivFactor,IF(AND(P$5&gt;$H$21,P$5&lt;$H$21+$F$21),1,IF(P$5=$H$21+$F$21,1-DelivFactor,0)))</f>
        <v>0</v>
      </c>
      <c r="Q80" s="120" t="n">
        <f aca="false">(1-$I$21)*(1-$J$21)*$D$21*$E$21/4*MIN(1,MAX(0,(Q$5-$H$21+1)/$T$21))*IF(Q$5=$H$21,DelivFactor,IF(AND(Q$5&gt;$H$21,Q$5&lt;$H$21+$F$21),1,IF(Q$5=$H$21+$F$21,1-DelivFactor,0)))</f>
        <v>0</v>
      </c>
      <c r="R80" s="120" t="n">
        <f aca="false">(1-$I$21)*(1-$J$21)*$D$21*$E$21/4*MIN(1,MAX(0,(R$5-$H$21+1)/$T$21))*IF(R$5=$H$21,DelivFactor,IF(AND(R$5&gt;$H$21,R$5&lt;$H$21+$F$21),1,IF(R$5=$H$21+$F$21,1-DelivFactor,0)))</f>
        <v>0</v>
      </c>
      <c r="S80" s="120" t="n">
        <f aca="false">(1-$I$21)*(1-$J$21)*$D$21*$E$21/4*MIN(1,MAX(0,(S$5-$H$21+1)/$T$21))*IF(S$5=$H$21,DelivFactor,IF(AND(S$5&gt;$H$21,S$5&lt;$H$21+$F$21),1,IF(S$5=$H$21+$F$21,1-DelivFactor,0)))</f>
        <v>0</v>
      </c>
      <c r="T80" s="120" t="n">
        <f aca="false">(1-$I$21)*(1-$J$21)*$D$21*$E$21/4*MIN(1,MAX(0,(T$5-$H$21+1)/$T$21))*IF(T$5=$H$21,DelivFactor,IF(AND(T$5&gt;$H$21,T$5&lt;$H$21+$F$21),1,IF(T$5=$H$21+$F$21,1-DelivFactor,0)))</f>
        <v>0</v>
      </c>
      <c r="U80" s="120" t="n">
        <f aca="false">(1-$I$21)*(1-$J$21)*$D$21*$E$21/4*MIN(1,MAX(0,(U$5-$H$21+1)/$T$21))*IF(U$5=$H$21,DelivFactor,IF(AND(U$5&gt;$H$21,U$5&lt;$H$21+$F$21),1,IF(U$5=$H$21+$F$21,1-DelivFactor,0)))</f>
        <v>0</v>
      </c>
      <c r="V80" s="120" t="n">
        <f aca="false">(1-$I$21)*(1-$J$21)*$D$21*$E$21/4*MIN(1,MAX(0,(V$5-$H$21+1)/$T$21))*IF(V$5=$H$21,DelivFactor,IF(AND(V$5&gt;$H$21,V$5&lt;$H$21+$F$21),1,IF(V$5=$H$21+$F$21,1-DelivFactor,0)))</f>
        <v>0</v>
      </c>
      <c r="W80" s="120" t="n">
        <f aca="false">(1-$I$21)*(1-$J$21)*$D$21*$E$21/4*MIN(1,MAX(0,(W$5-$H$21+1)/$T$21))*IF(W$5=$H$21,DelivFactor,IF(AND(W$5&gt;$H$21,W$5&lt;$H$21+$F$21),1,IF(W$5=$H$21+$F$21,1-DelivFactor,0)))</f>
        <v>0</v>
      </c>
      <c r="X80" s="120" t="n">
        <f aca="false">(1-$I$21)*(1-$J$21)*$D$21*$E$21/4*MIN(1,MAX(0,(X$5-$H$21+1)/$T$21))*IF(X$5=$H$21,DelivFactor,IF(AND(X$5&gt;$H$21,X$5&lt;$H$21+$F$21),1,IF(X$5=$H$21+$F$21,1-DelivFactor,0)))</f>
        <v>0</v>
      </c>
      <c r="Y80" s="120" t="n">
        <f aca="false">(1-$I$21)*(1-$J$21)*$D$21*$E$21/4*MIN(1,MAX(0,(Y$5-$H$21+1)/$T$21))*IF(Y$5=$H$21,DelivFactor,IF(AND(Y$5&gt;$H$21,Y$5&lt;$H$21+$F$21),1,IF(Y$5=$H$21+$F$21,1-DelivFactor,0)))</f>
        <v>0</v>
      </c>
      <c r="Z80" s="120" t="n">
        <f aca="false">(1-$I$21)*(1-$J$21)*$D$21*$E$21/4*MIN(1,MAX(0,(Z$5-$H$21+1)/$T$21))*IF(Z$5=$H$21,DelivFactor,IF(AND(Z$5&gt;$H$21,Z$5&lt;$H$21+$F$21),1,IF(Z$5=$H$21+$F$21,1-DelivFactor,0)))</f>
        <v>0</v>
      </c>
      <c r="AA80" s="120" t="n">
        <f aca="false">(1-$I$21)*(1-$J$21)*$D$21*$E$21/4*MIN(1,MAX(0,(AA$5-$H$21+1)/$T$21))*IF(AA$5=$H$21,DelivFactor,IF(AND(AA$5&gt;$H$21,AA$5&lt;$H$21+$F$21),1,IF(AA$5=$H$21+$F$21,1-DelivFactor,0)))</f>
        <v>0</v>
      </c>
      <c r="AB80" s="120" t="n">
        <f aca="false">(1-$I$21)*(1-$J$21)*$D$21*$E$21/4*MIN(1,MAX(0,(AB$5-$H$21+1)/$T$21))*IF(AB$5=$H$21,DelivFactor,IF(AND(AB$5&gt;$H$21,AB$5&lt;$H$21+$F$21),1,IF(AB$5=$H$21+$F$21,1-DelivFactor,0)))</f>
        <v>0</v>
      </c>
      <c r="AC80" s="120" t="n">
        <f aca="false">(1-$I$21)*(1-$J$21)*$D$21*$E$21/4*MIN(1,MAX(0,(AC$5-$H$21+1)/$T$21))*IF(AC$5=$H$21,DelivFactor,IF(AND(AC$5&gt;$H$21,AC$5&lt;$H$21+$F$21),1,IF(AC$5=$H$21+$F$21,1-DelivFactor,0)))</f>
        <v>0</v>
      </c>
      <c r="AD80" s="120" t="n">
        <f aca="false">(1-$I$21)*(1-$J$21)*$D$21*$E$21/4*MIN(1,MAX(0,(AD$5-$H$21+1)/$T$21))*IF(AD$5=$H$21,DelivFactor,IF(AND(AD$5&gt;$H$21,AD$5&lt;$H$21+$F$21),1,IF(AD$5=$H$21+$F$21,1-DelivFactor,0)))</f>
        <v>0</v>
      </c>
      <c r="AE80" s="120" t="n">
        <f aca="false">(1-$I$21)*(1-$J$21)*$D$21*$E$21/4*MIN(1,MAX(0,(AE$5-$H$21+1)/$T$21))*IF(AE$5=$H$21,DelivFactor,IF(AND(AE$5&gt;$H$21,AE$5&lt;$H$21+$F$21),1,IF(AE$5=$H$21+$F$21,1-DelivFactor,0)))</f>
        <v>0</v>
      </c>
      <c r="AF80" s="120" t="n">
        <f aca="false">(1-$I$21)*(1-$J$21)*$D$21*$E$21/4*MIN(1,MAX(0,(AF$5-$H$21+1)/$T$21))*IF(AF$5=$H$21,DelivFactor,IF(AND(AF$5&gt;$H$21,AF$5&lt;$H$21+$F$21),1,IF(AF$5=$H$21+$F$21,1-DelivFactor,0)))</f>
        <v>0</v>
      </c>
      <c r="AG80" s="120" t="n">
        <f aca="false">(1-$I$21)*(1-$J$21)*$D$21*$E$21/4*MIN(1,MAX(0,(AG$5-$H$21+1)/$T$21))*IF(AG$5=$H$21,DelivFactor,IF(AND(AG$5&gt;$H$21,AG$5&lt;$H$21+$F$21),1,IF(AG$5=$H$21+$F$21,1-DelivFactor,0)))</f>
        <v>0</v>
      </c>
      <c r="AI80" s="120" t="n">
        <f aca="false">SUMIF($F$7:$AG$7,AI$7,$F80:$AG80)</f>
        <v>0</v>
      </c>
      <c r="AJ80" s="120" t="n">
        <f aca="false">SUMIF($F$7:$AG$7,AJ$7,$F80:$AG80)</f>
        <v>0</v>
      </c>
      <c r="AK80" s="120" t="n">
        <f aca="false">SUMIF($F$7:$AG$7,AK$7,$F80:$AG80)</f>
        <v>0</v>
      </c>
      <c r="AL80" s="120" t="n">
        <f aca="false">SUMIF($F$7:$AG$7,AL$7,$F80:$AG80)</f>
        <v>0</v>
      </c>
      <c r="AM80" s="120" t="n">
        <f aca="false">SUMIF($F$7:$AG$7,AM$7,$F80:$AG80)</f>
        <v>0</v>
      </c>
      <c r="AN80" s="120" t="n">
        <f aca="false">SUMIF($F$7:$AG$7,AN$7,$F80:$AG80)</f>
        <v>0</v>
      </c>
      <c r="AO80" s="120" t="n">
        <f aca="false">SUMIF($F$7:$AG$7,AO$7,$F80:$AG80)</f>
        <v>0</v>
      </c>
    </row>
    <row r="81" customFormat="false" ht="15" hidden="false" customHeight="false" outlineLevel="0" collapsed="false">
      <c r="A81" s="101" t="s">
        <v>1412</v>
      </c>
      <c r="B81" s="18" t="s">
        <v>415</v>
      </c>
      <c r="C81" s="18"/>
      <c r="D81" s="18"/>
      <c r="F81" s="110" t="n">
        <f aca="false">(1-$I$21)*(1-$J$21)*$D$21*AND(F$5&gt;=$H$21,F$5&lt;$H$21+$F$21)</f>
        <v>0</v>
      </c>
      <c r="G81" s="110" t="n">
        <f aca="false">(1-$I$21)*(1-$J$21)*$D$21*AND(G$5&gt;=$H$21,G$5&lt;$H$21+$F$21)</f>
        <v>0</v>
      </c>
      <c r="H81" s="110" t="n">
        <f aca="false">(1-$I$21)*(1-$J$21)*$D$21*AND(H$5&gt;=$H$21,H$5&lt;$H$21+$F$21)</f>
        <v>0</v>
      </c>
      <c r="I81" s="110" t="n">
        <f aca="false">(1-$I$21)*(1-$J$21)*$D$21*AND(I$5&gt;=$H$21,I$5&lt;$H$21+$F$21)</f>
        <v>0</v>
      </c>
      <c r="J81" s="110" t="n">
        <f aca="false">(1-$I$21)*(1-$J$21)*$D$21*AND(J$5&gt;=$H$21,J$5&lt;$H$21+$F$21)</f>
        <v>0</v>
      </c>
      <c r="K81" s="110" t="n">
        <f aca="false">(1-$I$21)*(1-$J$21)*$D$21*AND(K$5&gt;=$H$21,K$5&lt;$H$21+$F$21)</f>
        <v>0</v>
      </c>
      <c r="L81" s="110" t="n">
        <f aca="false">(1-$I$21)*(1-$J$21)*$D$21*AND(L$5&gt;=$H$21,L$5&lt;$H$21+$F$21)</f>
        <v>0</v>
      </c>
      <c r="M81" s="110" t="n">
        <f aca="false">(1-$I$21)*(1-$J$21)*$D$21*AND(M$5&gt;=$H$21,M$5&lt;$H$21+$F$21)</f>
        <v>0</v>
      </c>
      <c r="N81" s="110" t="n">
        <f aca="false">(1-$I$21)*(1-$J$21)*$D$21*AND(N$5&gt;=$H$21,N$5&lt;$H$21+$F$21)</f>
        <v>0</v>
      </c>
      <c r="O81" s="110" t="n">
        <f aca="false">(1-$I$21)*(1-$J$21)*$D$21*AND(O$5&gt;=$H$21,O$5&lt;$H$21+$F$21)</f>
        <v>0</v>
      </c>
      <c r="P81" s="21" t="n">
        <f aca="false">(1-$I$21)*(1-$J$21)*$D$21*AND(P$5&gt;=$H$21,P$5&lt;$H$21+$F$21)</f>
        <v>0</v>
      </c>
      <c r="Q81" s="21" t="n">
        <f aca="false">(1-$I$21)*(1-$J$21)*$D$21*AND(Q$5&gt;=$H$21,Q$5&lt;$H$21+$F$21)</f>
        <v>0</v>
      </c>
      <c r="R81" s="21" t="n">
        <f aca="false">(1-$I$21)*(1-$J$21)*$D$21*AND(R$5&gt;=$H$21,R$5&lt;$H$21+$F$21)</f>
        <v>0</v>
      </c>
      <c r="S81" s="21" t="n">
        <f aca="false">(1-$I$21)*(1-$J$21)*$D$21*AND(S$5&gt;=$H$21,S$5&lt;$H$21+$F$21)</f>
        <v>0</v>
      </c>
      <c r="T81" s="21" t="n">
        <f aca="false">(1-$I$21)*(1-$J$21)*$D$21*AND(T$5&gt;=$H$21,T$5&lt;$H$21+$F$21)</f>
        <v>0</v>
      </c>
      <c r="U81" s="21" t="n">
        <f aca="false">(1-$I$21)*(1-$J$21)*$D$21*AND(U$5&gt;=$H$21,U$5&lt;$H$21+$F$21)</f>
        <v>0</v>
      </c>
      <c r="V81" s="21" t="n">
        <f aca="false">(1-$I$21)*(1-$J$21)*$D$21*AND(V$5&gt;=$H$21,V$5&lt;$H$21+$F$21)</f>
        <v>0</v>
      </c>
      <c r="W81" s="21" t="n">
        <f aca="false">(1-$I$21)*(1-$J$21)*$D$21*AND(W$5&gt;=$H$21,W$5&lt;$H$21+$F$21)</f>
        <v>0</v>
      </c>
      <c r="X81" s="21" t="n">
        <f aca="false">(1-$I$21)*(1-$J$21)*$D$21*AND(X$5&gt;=$H$21,X$5&lt;$H$21+$F$21)</f>
        <v>0</v>
      </c>
      <c r="Y81" s="21" t="n">
        <f aca="false">(1-$I$21)*(1-$J$21)*$D$21*AND(Y$5&gt;=$H$21,Y$5&lt;$H$21+$F$21)</f>
        <v>0</v>
      </c>
      <c r="Z81" s="21" t="n">
        <f aca="false">(1-$I$21)*(1-$J$21)*$D$21*AND(Z$5&gt;=$H$21,Z$5&lt;$H$21+$F$21)</f>
        <v>0</v>
      </c>
      <c r="AA81" s="21" t="n">
        <f aca="false">(1-$I$21)*(1-$J$21)*$D$21*AND(AA$5&gt;=$H$21,AA$5&lt;$H$21+$F$21)</f>
        <v>0</v>
      </c>
      <c r="AB81" s="21" t="n">
        <f aca="false">(1-$I$21)*(1-$J$21)*$D$21*AND(AB$5&gt;=$H$21,AB$5&lt;$H$21+$F$21)</f>
        <v>0</v>
      </c>
      <c r="AC81" s="21" t="n">
        <f aca="false">(1-$I$21)*(1-$J$21)*$D$21*AND(AC$5&gt;=$H$21,AC$5&lt;$H$21+$F$21)</f>
        <v>0</v>
      </c>
      <c r="AD81" s="21" t="n">
        <f aca="false">(1-$I$21)*(1-$J$21)*$D$21*AND(AD$5&gt;=$H$21,AD$5&lt;$H$21+$F$21)</f>
        <v>0</v>
      </c>
      <c r="AE81" s="21" t="n">
        <f aca="false">(1-$I$21)*(1-$J$21)*$D$21*AND(AE$5&gt;=$H$21,AE$5&lt;$H$21+$F$21)</f>
        <v>0</v>
      </c>
      <c r="AF81" s="21" t="n">
        <f aca="false">(1-$I$21)*(1-$J$21)*$D$21*AND(AF$5&gt;=$H$21,AF$5&lt;$H$21+$F$21)</f>
        <v>0</v>
      </c>
      <c r="AG81" s="21" t="n">
        <f aca="false">(1-$I$21)*(1-$J$21)*$D$21*AND(AG$5&gt;=$H$21,AG$5&lt;$H$21+$F$21)</f>
        <v>0</v>
      </c>
      <c r="AI81" s="21" t="n">
        <f aca="false">INDEX($F81:$AG81,1,MATCH(AI$7,$F$7:$AG$7,1))</f>
        <v>0</v>
      </c>
      <c r="AJ81" s="21" t="n">
        <f aca="false">INDEX($F81:$AG81,1,MATCH(AJ$7,$F$7:$AG$7,1))</f>
        <v>0</v>
      </c>
      <c r="AK81" s="21" t="n">
        <f aca="false">INDEX($F81:$AG81,1,MATCH(AK$7,$F$7:$AG$7,1))</f>
        <v>0</v>
      </c>
      <c r="AL81" s="21" t="n">
        <f aca="false">INDEX($F81:$AG81,1,MATCH(AL$7,$F$7:$AG$7,1))</f>
        <v>0</v>
      </c>
      <c r="AM81" s="21" t="n">
        <f aca="false">INDEX($F81:$AG81,1,MATCH(AM$7,$F$7:$AG$7,1))</f>
        <v>0</v>
      </c>
      <c r="AN81" s="21" t="n">
        <f aca="false">INDEX($F81:$AG81,1,MATCH(AN$7,$F$7:$AG$7,1))</f>
        <v>0</v>
      </c>
      <c r="AO81" s="21" t="n">
        <f aca="false">INDEX($F81:$AG81,1,MATCH(AO$7,$F$7:$AG$7,1))</f>
        <v>0</v>
      </c>
    </row>
    <row r="82" customFormat="false" ht="15" hidden="false" customHeight="false" outlineLevel="0" collapsed="false">
      <c r="A82" s="101" t="s">
        <v>1413</v>
      </c>
      <c r="B82" s="18" t="s">
        <v>400</v>
      </c>
      <c r="C82" s="18"/>
      <c r="D82" s="18"/>
      <c r="F82" s="119" t="n">
        <f aca="false">-(1-$I$21)*LD_Pct*$D$21*$E$21/4*AND(F$5&gt;=$G$21,F$5&lt;$H$21)</f>
        <v>-0</v>
      </c>
      <c r="G82" s="119" t="n">
        <f aca="false">-(1-$I$21)*LD_Pct*$D$21*$E$21/4*AND(G$5&gt;=$G$21,G$5&lt;$H$21)</f>
        <v>-0</v>
      </c>
      <c r="H82" s="119" t="n">
        <f aca="false">-(1-$I$21)*LD_Pct*$D$21*$E$21/4*AND(H$5&gt;=$G$21,H$5&lt;$H$21)</f>
        <v>-0</v>
      </c>
      <c r="I82" s="119" t="n">
        <f aca="false">-(1-$I$21)*LD_Pct*$D$21*$E$21/4*AND(I$5&gt;=$G$21,I$5&lt;$H$21)</f>
        <v>-0</v>
      </c>
      <c r="J82" s="119" t="n">
        <f aca="false">-(1-$I$21)*LD_Pct*$D$21*$E$21/4*AND(J$5&gt;=$G$21,J$5&lt;$H$21)</f>
        <v>-0</v>
      </c>
      <c r="K82" s="119" t="n">
        <f aca="false">-(1-$I$21)*LD_Pct*$D$21*$E$21/4*AND(K$5&gt;=$G$21,K$5&lt;$H$21)</f>
        <v>-0</v>
      </c>
      <c r="L82" s="119" t="n">
        <f aca="false">-(1-$I$21)*LD_Pct*$D$21*$E$21/4*AND(L$5&gt;=$G$21,L$5&lt;$H$21)</f>
        <v>-0</v>
      </c>
      <c r="M82" s="119" t="n">
        <f aca="false">-(1-$I$21)*LD_Pct*$D$21*$E$21/4*AND(M$5&gt;=$G$21,M$5&lt;$H$21)</f>
        <v>-0</v>
      </c>
      <c r="N82" s="119" t="n">
        <f aca="false">-(1-$I$21)*LD_Pct*$D$21*$E$21/4*AND(N$5&gt;=$G$21,N$5&lt;$H$21)</f>
        <v>-0</v>
      </c>
      <c r="O82" s="119" t="n">
        <f aca="false">-(1-$I$21)*LD_Pct*$D$21*$E$21/4*AND(O$5&gt;=$G$21,O$5&lt;$H$21)</f>
        <v>-0</v>
      </c>
      <c r="P82" s="120" t="n">
        <f aca="false">-(1-$I$21)*LD_Pct*$D$21*$E$21/4*AND(P$5&gt;=$G$21,P$5&lt;$H$21)</f>
        <v>-0</v>
      </c>
      <c r="Q82" s="120" t="n">
        <f aca="false">-(1-$I$21)*LD_Pct*$D$21*$E$21/4*AND(Q$5&gt;=$G$21,Q$5&lt;$H$21)</f>
        <v>-0</v>
      </c>
      <c r="R82" s="120" t="n">
        <f aca="false">-(1-$I$21)*LD_Pct*$D$21*$E$21/4*AND(R$5&gt;=$G$21,R$5&lt;$H$21)</f>
        <v>-0</v>
      </c>
      <c r="S82" s="120" t="n">
        <f aca="false">-(1-$I$21)*LD_Pct*$D$21*$E$21/4*AND(S$5&gt;=$G$21,S$5&lt;$H$21)</f>
        <v>-0</v>
      </c>
      <c r="T82" s="120" t="n">
        <f aca="false">-(1-$I$21)*LD_Pct*$D$21*$E$21/4*AND(T$5&gt;=$G$21,T$5&lt;$H$21)</f>
        <v>-0</v>
      </c>
      <c r="U82" s="120" t="n">
        <f aca="false">-(1-$I$21)*LD_Pct*$D$21*$E$21/4*AND(U$5&gt;=$G$21,U$5&lt;$H$21)</f>
        <v>-0</v>
      </c>
      <c r="V82" s="120" t="n">
        <f aca="false">-(1-$I$21)*LD_Pct*$D$21*$E$21/4*AND(V$5&gt;=$G$21,V$5&lt;$H$21)</f>
        <v>-0</v>
      </c>
      <c r="W82" s="120" t="n">
        <f aca="false">-(1-$I$21)*LD_Pct*$D$21*$E$21/4*AND(W$5&gt;=$G$21,W$5&lt;$H$21)</f>
        <v>-0</v>
      </c>
      <c r="X82" s="120" t="n">
        <f aca="false">-(1-$I$21)*LD_Pct*$D$21*$E$21/4*AND(X$5&gt;=$G$21,X$5&lt;$H$21)</f>
        <v>-0</v>
      </c>
      <c r="Y82" s="120" t="n">
        <f aca="false">-(1-$I$21)*LD_Pct*$D$21*$E$21/4*AND(Y$5&gt;=$G$21,Y$5&lt;$H$21)</f>
        <v>-0</v>
      </c>
      <c r="Z82" s="120" t="n">
        <f aca="false">-(1-$I$21)*LD_Pct*$D$21*$E$21/4*AND(Z$5&gt;=$G$21,Z$5&lt;$H$21)</f>
        <v>-0</v>
      </c>
      <c r="AA82" s="120" t="n">
        <f aca="false">-(1-$I$21)*LD_Pct*$D$21*$E$21/4*AND(AA$5&gt;=$G$21,AA$5&lt;$H$21)</f>
        <v>-0</v>
      </c>
      <c r="AB82" s="120" t="n">
        <f aca="false">-(1-$I$21)*LD_Pct*$D$21*$E$21/4*AND(AB$5&gt;=$G$21,AB$5&lt;$H$21)</f>
        <v>-0</v>
      </c>
      <c r="AC82" s="120" t="n">
        <f aca="false">-(1-$I$21)*LD_Pct*$D$21*$E$21/4*AND(AC$5&gt;=$G$21,AC$5&lt;$H$21)</f>
        <v>-0</v>
      </c>
      <c r="AD82" s="120" t="n">
        <f aca="false">-(1-$I$21)*LD_Pct*$D$21*$E$21/4*AND(AD$5&gt;=$G$21,AD$5&lt;$H$21)</f>
        <v>-0</v>
      </c>
      <c r="AE82" s="120" t="n">
        <f aca="false">-(1-$I$21)*LD_Pct*$D$21*$E$21/4*AND(AE$5&gt;=$G$21,AE$5&lt;$H$21)</f>
        <v>-0</v>
      </c>
      <c r="AF82" s="120" t="n">
        <f aca="false">-(1-$I$21)*LD_Pct*$D$21*$E$21/4*AND(AF$5&gt;=$G$21,AF$5&lt;$H$21)</f>
        <v>-0</v>
      </c>
      <c r="AG82" s="120" t="n">
        <f aca="false">-(1-$I$21)*LD_Pct*$D$21*$E$21/4*AND(AG$5&gt;=$G$21,AG$5&lt;$H$21)</f>
        <v>-0</v>
      </c>
      <c r="AI82" s="120" t="n">
        <f aca="false">SUMIF($F$7:$AG$7,AI$7,$F82:$AG82)</f>
        <v>0</v>
      </c>
      <c r="AJ82" s="120" t="n">
        <f aca="false">SUMIF($F$7:$AG$7,AJ$7,$F82:$AG82)</f>
        <v>0</v>
      </c>
      <c r="AK82" s="120" t="n">
        <f aca="false">SUMIF($F$7:$AG$7,AK$7,$F82:$AG82)</f>
        <v>0</v>
      </c>
      <c r="AL82" s="120" t="n">
        <f aca="false">SUMIF($F$7:$AG$7,AL$7,$F82:$AG82)</f>
        <v>0</v>
      </c>
      <c r="AM82" s="120" t="n">
        <f aca="false">SUMIF($F$7:$AG$7,AM$7,$F82:$AG82)</f>
        <v>0</v>
      </c>
      <c r="AN82" s="120" t="n">
        <f aca="false">SUMIF($F$7:$AG$7,AN$7,$F82:$AG82)</f>
        <v>0</v>
      </c>
      <c r="AO82" s="120" t="n">
        <f aca="false">SUMIF($F$7:$AG$7,AO$7,$F82:$AG82)</f>
        <v>0</v>
      </c>
    </row>
    <row r="83" customFormat="false" ht="15" hidden="false" customHeight="false" outlineLevel="0" collapsed="false">
      <c r="A83" s="101" t="s">
        <v>1414</v>
      </c>
      <c r="B83" s="18" t="s">
        <v>415</v>
      </c>
      <c r="C83" s="18"/>
      <c r="D83" s="18"/>
      <c r="F83" s="110" t="n">
        <f aca="false">(1-$I$21)*(1-$J$21)*$D$21*(F$5&gt;=$H$21+$F$21)</f>
        <v>0</v>
      </c>
      <c r="G83" s="110" t="n">
        <f aca="false">(1-$I$21)*(1-$J$21)*$D$21*(G$5&gt;=$H$21+$F$21)</f>
        <v>0</v>
      </c>
      <c r="H83" s="110" t="n">
        <f aca="false">(1-$I$21)*(1-$J$21)*$D$21*(H$5&gt;=$H$21+$F$21)</f>
        <v>0</v>
      </c>
      <c r="I83" s="110" t="n">
        <f aca="false">(1-$I$21)*(1-$J$21)*$D$21*(I$5&gt;=$H$21+$F$21)</f>
        <v>0</v>
      </c>
      <c r="J83" s="110" t="n">
        <f aca="false">(1-$I$21)*(1-$J$21)*$D$21*(J$5&gt;=$H$21+$F$21)</f>
        <v>0</v>
      </c>
      <c r="K83" s="110" t="n">
        <f aca="false">(1-$I$21)*(1-$J$21)*$D$21*(K$5&gt;=$H$21+$F$21)</f>
        <v>0</v>
      </c>
      <c r="L83" s="110" t="n">
        <f aca="false">(1-$I$21)*(1-$J$21)*$D$21*(L$5&gt;=$H$21+$F$21)</f>
        <v>0</v>
      </c>
      <c r="M83" s="110" t="n">
        <f aca="false">(1-$I$21)*(1-$J$21)*$D$21*(M$5&gt;=$H$21+$F$21)</f>
        <v>0</v>
      </c>
      <c r="N83" s="110" t="n">
        <f aca="false">(1-$I$21)*(1-$J$21)*$D$21*(N$5&gt;=$H$21+$F$21)</f>
        <v>0</v>
      </c>
      <c r="O83" s="110" t="n">
        <f aca="false">(1-$I$21)*(1-$J$21)*$D$21*(O$5&gt;=$H$21+$F$21)</f>
        <v>0</v>
      </c>
      <c r="P83" s="21" t="n">
        <f aca="false">(1-$I$21)*(1-$J$21)*$D$21*(P$5&gt;=$H$21+$F$21)</f>
        <v>0</v>
      </c>
      <c r="Q83" s="21" t="n">
        <f aca="false">(1-$I$21)*(1-$J$21)*$D$21*(Q$5&gt;=$H$21+$F$21)</f>
        <v>0</v>
      </c>
      <c r="R83" s="21" t="n">
        <f aca="false">(1-$I$21)*(1-$J$21)*$D$21*(R$5&gt;=$H$21+$F$21)</f>
        <v>0</v>
      </c>
      <c r="S83" s="21" t="n">
        <f aca="false">(1-$I$21)*(1-$J$21)*$D$21*(S$5&gt;=$H$21+$F$21)</f>
        <v>0</v>
      </c>
      <c r="T83" s="21" t="n">
        <f aca="false">(1-$I$21)*(1-$J$21)*$D$21*(T$5&gt;=$H$21+$F$21)</f>
        <v>0</v>
      </c>
      <c r="U83" s="21" t="n">
        <f aca="false">(1-$I$21)*(1-$J$21)*$D$21*(U$5&gt;=$H$21+$F$21)</f>
        <v>0</v>
      </c>
      <c r="V83" s="21" t="n">
        <f aca="false">(1-$I$21)*(1-$J$21)*$D$21*(V$5&gt;=$H$21+$F$21)</f>
        <v>0</v>
      </c>
      <c r="W83" s="21" t="n">
        <f aca="false">(1-$I$21)*(1-$J$21)*$D$21*(W$5&gt;=$H$21+$F$21)</f>
        <v>0</v>
      </c>
      <c r="X83" s="21" t="n">
        <f aca="false">(1-$I$21)*(1-$J$21)*$D$21*(X$5&gt;=$H$21+$F$21)</f>
        <v>0</v>
      </c>
      <c r="Y83" s="21" t="n">
        <f aca="false">(1-$I$21)*(1-$J$21)*$D$21*(Y$5&gt;=$H$21+$F$21)</f>
        <v>0</v>
      </c>
      <c r="Z83" s="21" t="n">
        <f aca="false">(1-$I$21)*(1-$J$21)*$D$21*(Z$5&gt;=$H$21+$F$21)</f>
        <v>0</v>
      </c>
      <c r="AA83" s="21" t="n">
        <f aca="false">(1-$I$21)*(1-$J$21)*$D$21*(AA$5&gt;=$H$21+$F$21)</f>
        <v>0</v>
      </c>
      <c r="AB83" s="21" t="n">
        <f aca="false">(1-$I$21)*(1-$J$21)*$D$21*(AB$5&gt;=$H$21+$F$21)</f>
        <v>0</v>
      </c>
      <c r="AC83" s="21" t="n">
        <f aca="false">(1-$I$21)*(1-$J$21)*$D$21*(AC$5&gt;=$H$21+$F$21)</f>
        <v>0</v>
      </c>
      <c r="AD83" s="21" t="n">
        <f aca="false">(1-$I$21)*(1-$J$21)*$D$21*(AD$5&gt;=$H$21+$F$21)</f>
        <v>0</v>
      </c>
      <c r="AE83" s="21" t="n">
        <f aca="false">(1-$I$21)*(1-$J$21)*$D$21*(AE$5&gt;=$H$21+$F$21)</f>
        <v>0</v>
      </c>
      <c r="AF83" s="21" t="n">
        <f aca="false">(1-$I$21)*(1-$J$21)*$D$21*(AF$5&gt;=$H$21+$F$21)</f>
        <v>0</v>
      </c>
      <c r="AG83" s="21" t="n">
        <f aca="false">(1-$I$21)*(1-$J$21)*$D$21*(AG$5&gt;=$H$21+$F$21)</f>
        <v>0</v>
      </c>
      <c r="AI83" s="21" t="n">
        <f aca="false">INDEX($F83:$AG83,1,MATCH(AI$7,$F$7:$AG$7,1))</f>
        <v>0</v>
      </c>
      <c r="AJ83" s="21" t="n">
        <f aca="false">INDEX($F83:$AG83,1,MATCH(AJ$7,$F$7:$AG$7,1))</f>
        <v>0</v>
      </c>
      <c r="AK83" s="21" t="n">
        <f aca="false">INDEX($F83:$AG83,1,MATCH(AK$7,$F$7:$AG$7,1))</f>
        <v>0</v>
      </c>
      <c r="AL83" s="21" t="n">
        <f aca="false">INDEX($F83:$AG83,1,MATCH(AL$7,$F$7:$AG$7,1))</f>
        <v>0</v>
      </c>
      <c r="AM83" s="21" t="n">
        <f aca="false">INDEX($F83:$AG83,1,MATCH(AM$7,$F$7:$AG$7,1))</f>
        <v>0</v>
      </c>
      <c r="AN83" s="21" t="n">
        <f aca="false">INDEX($F83:$AG83,1,MATCH(AN$7,$F$7:$AG$7,1))</f>
        <v>0</v>
      </c>
      <c r="AO83" s="21" t="n">
        <f aca="false">INDEX($F83:$AG83,1,MATCH(AO$7,$F$7:$AG$7,1))</f>
        <v>0</v>
      </c>
    </row>
    <row r="84" customFormat="false" ht="15" hidden="false" customHeight="false" outlineLevel="0" collapsed="false">
      <c r="A84" s="101" t="s">
        <v>1415</v>
      </c>
      <c r="B84" s="18" t="s">
        <v>400</v>
      </c>
      <c r="C84" s="18"/>
      <c r="D84" s="18" t="s">
        <v>1370</v>
      </c>
      <c r="F84" s="119" t="n">
        <f aca="false">F83*CHOOSE(MATCH($C$21,{"H";"B";"N"},0),GPUMW_H*ODc_H,GPUMW_B*ODc_B,GPUMW_N*ODc_N)*ResidUtil*Timeline!F$9*INDEX(Curve,1,MAX(1,MIN(8,INT((F$5-$H$21)/4)+1)))/1000000</f>
        <v>0</v>
      </c>
      <c r="G84" s="119" t="n">
        <f aca="false">G83*CHOOSE(MATCH($C$21,{"H";"B";"N"},0),GPUMW_H*ODc_H,GPUMW_B*ODc_B,GPUMW_N*ODc_N)*ResidUtil*Timeline!G$9*INDEX(Curve,1,MAX(1,MIN(8,INT((G$5-$H$21)/4)+1)))/1000000</f>
        <v>0</v>
      </c>
      <c r="H84" s="119" t="n">
        <f aca="false">H83*CHOOSE(MATCH($C$21,{"H";"B";"N"},0),GPUMW_H*ODc_H,GPUMW_B*ODc_B,GPUMW_N*ODc_N)*ResidUtil*Timeline!H$9*INDEX(Curve,1,MAX(1,MIN(8,INT((H$5-$H$21)/4)+1)))/1000000</f>
        <v>0</v>
      </c>
      <c r="I84" s="119" t="n">
        <f aca="false">I83*CHOOSE(MATCH($C$21,{"H";"B";"N"},0),GPUMW_H*ODc_H,GPUMW_B*ODc_B,GPUMW_N*ODc_N)*ResidUtil*Timeline!I$9*INDEX(Curve,1,MAX(1,MIN(8,INT((I$5-$H$21)/4)+1)))/1000000</f>
        <v>0</v>
      </c>
      <c r="J84" s="119" t="n">
        <f aca="false">J83*CHOOSE(MATCH($C$21,{"H";"B";"N"},0),GPUMW_H*ODc_H,GPUMW_B*ODc_B,GPUMW_N*ODc_N)*ResidUtil*Timeline!J$9*INDEX(Curve,1,MAX(1,MIN(8,INT((J$5-$H$21)/4)+1)))/1000000</f>
        <v>0</v>
      </c>
      <c r="K84" s="119" t="n">
        <f aca="false">K83*CHOOSE(MATCH($C$21,{"H";"B";"N"},0),GPUMW_H*ODc_H,GPUMW_B*ODc_B,GPUMW_N*ODc_N)*ResidUtil*Timeline!K$9*INDEX(Curve,1,MAX(1,MIN(8,INT((K$5-$H$21)/4)+1)))/1000000</f>
        <v>0</v>
      </c>
      <c r="L84" s="119" t="n">
        <f aca="false">L83*CHOOSE(MATCH($C$21,{"H";"B";"N"},0),GPUMW_H*ODc_H,GPUMW_B*ODc_B,GPUMW_N*ODc_N)*ResidUtil*Timeline!L$9*INDEX(Curve,1,MAX(1,MIN(8,INT((L$5-$H$21)/4)+1)))/1000000</f>
        <v>0</v>
      </c>
      <c r="M84" s="119" t="n">
        <f aca="false">M83*CHOOSE(MATCH($C$21,{"H";"B";"N"},0),GPUMW_H*ODc_H,GPUMW_B*ODc_B,GPUMW_N*ODc_N)*ResidUtil*Timeline!M$9*INDEX(Curve,1,MAX(1,MIN(8,INT((M$5-$H$21)/4)+1)))/1000000</f>
        <v>0</v>
      </c>
      <c r="N84" s="119" t="n">
        <f aca="false">N83*CHOOSE(MATCH($C$21,{"H";"B";"N"},0),GPUMW_H*ODc_H,GPUMW_B*ODc_B,GPUMW_N*ODc_N)*ResidUtil*Timeline!N$9*INDEX(Curve,1,MAX(1,MIN(8,INT((N$5-$H$21)/4)+1)))/1000000</f>
        <v>0</v>
      </c>
      <c r="O84" s="119" t="n">
        <f aca="false">O83*CHOOSE(MATCH($C$21,{"H";"B";"N"},0),GPUMW_H*ODc_H,GPUMW_B*ODc_B,GPUMW_N*ODc_N)*ResidUtil*Timeline!O$9*INDEX(Curve,1,MAX(1,MIN(8,INT((O$5-$H$21)/4)+1)))/1000000</f>
        <v>0</v>
      </c>
      <c r="P84" s="120" t="n">
        <f aca="false">P83*CHOOSE(MATCH($C$21,{"H";"B";"N"},0),GPUMW_H*ODc_H,GPUMW_B*ODc_B,GPUMW_N*ODc_N)*ResidUtil*Timeline!P$9*INDEX(Curve,1,MAX(1,MIN(8,INT((P$5-$H$21)/4)+1)))/1000000</f>
        <v>0</v>
      </c>
      <c r="Q84" s="120" t="n">
        <f aca="false">Q83*CHOOSE(MATCH($C$21,{"H";"B";"N"},0),GPUMW_H*ODc_H,GPUMW_B*ODc_B,GPUMW_N*ODc_N)*ResidUtil*Timeline!Q$9*INDEX(Curve,1,MAX(1,MIN(8,INT((Q$5-$H$21)/4)+1)))/1000000</f>
        <v>0</v>
      </c>
      <c r="R84" s="120" t="n">
        <f aca="false">R83*CHOOSE(MATCH($C$21,{"H";"B";"N"},0),GPUMW_H*ODc_H,GPUMW_B*ODc_B,GPUMW_N*ODc_N)*ResidUtil*Timeline!R$9*INDEX(Curve,1,MAX(1,MIN(8,INT((R$5-$H$21)/4)+1)))/1000000</f>
        <v>0</v>
      </c>
      <c r="S84" s="120" t="n">
        <f aca="false">S83*CHOOSE(MATCH($C$21,{"H";"B";"N"},0),GPUMW_H*ODc_H,GPUMW_B*ODc_B,GPUMW_N*ODc_N)*ResidUtil*Timeline!S$9*INDEX(Curve,1,MAX(1,MIN(8,INT((S$5-$H$21)/4)+1)))/1000000</f>
        <v>0</v>
      </c>
      <c r="T84" s="120" t="n">
        <f aca="false">T83*CHOOSE(MATCH($C$21,{"H";"B";"N"},0),GPUMW_H*ODc_H,GPUMW_B*ODc_B,GPUMW_N*ODc_N)*ResidUtil*Timeline!T$9*INDEX(Curve,1,MAX(1,MIN(8,INT((T$5-$H$21)/4)+1)))/1000000</f>
        <v>0</v>
      </c>
      <c r="U84" s="120" t="n">
        <f aca="false">U83*CHOOSE(MATCH($C$21,{"H";"B";"N"},0),GPUMW_H*ODc_H,GPUMW_B*ODc_B,GPUMW_N*ODc_N)*ResidUtil*Timeline!U$9*INDEX(Curve,1,MAX(1,MIN(8,INT((U$5-$H$21)/4)+1)))/1000000</f>
        <v>0</v>
      </c>
      <c r="V84" s="120" t="n">
        <f aca="false">V83*CHOOSE(MATCH($C$21,{"H";"B";"N"},0),GPUMW_H*ODc_H,GPUMW_B*ODc_B,GPUMW_N*ODc_N)*ResidUtil*Timeline!V$9*INDEX(Curve,1,MAX(1,MIN(8,INT((V$5-$H$21)/4)+1)))/1000000</f>
        <v>0</v>
      </c>
      <c r="W84" s="120" t="n">
        <f aca="false">W83*CHOOSE(MATCH($C$21,{"H";"B";"N"},0),GPUMW_H*ODc_H,GPUMW_B*ODc_B,GPUMW_N*ODc_N)*ResidUtil*Timeline!W$9*INDEX(Curve,1,MAX(1,MIN(8,INT((W$5-$H$21)/4)+1)))/1000000</f>
        <v>0</v>
      </c>
      <c r="X84" s="120" t="n">
        <f aca="false">X83*CHOOSE(MATCH($C$21,{"H";"B";"N"},0),GPUMW_H*ODc_H,GPUMW_B*ODc_B,GPUMW_N*ODc_N)*ResidUtil*Timeline!X$9*INDEX(Curve,1,MAX(1,MIN(8,INT((X$5-$H$21)/4)+1)))/1000000</f>
        <v>0</v>
      </c>
      <c r="Y84" s="120" t="n">
        <f aca="false">Y83*CHOOSE(MATCH($C$21,{"H";"B";"N"},0),GPUMW_H*ODc_H,GPUMW_B*ODc_B,GPUMW_N*ODc_N)*ResidUtil*Timeline!Y$9*INDEX(Curve,1,MAX(1,MIN(8,INT((Y$5-$H$21)/4)+1)))/1000000</f>
        <v>0</v>
      </c>
      <c r="Z84" s="120" t="n">
        <f aca="false">Z83*CHOOSE(MATCH($C$21,{"H";"B";"N"},0),GPUMW_H*ODc_H,GPUMW_B*ODc_B,GPUMW_N*ODc_N)*ResidUtil*Timeline!Z$9*INDEX(Curve,1,MAX(1,MIN(8,INT((Z$5-$H$21)/4)+1)))/1000000</f>
        <v>0</v>
      </c>
      <c r="AA84" s="120" t="n">
        <f aca="false">AA83*CHOOSE(MATCH($C$21,{"H";"B";"N"},0),GPUMW_H*ODc_H,GPUMW_B*ODc_B,GPUMW_N*ODc_N)*ResidUtil*Timeline!AA$9*INDEX(Curve,1,MAX(1,MIN(8,INT((AA$5-$H$21)/4)+1)))/1000000</f>
        <v>0</v>
      </c>
      <c r="AB84" s="120" t="n">
        <f aca="false">AB83*CHOOSE(MATCH($C$21,{"H";"B";"N"},0),GPUMW_H*ODc_H,GPUMW_B*ODc_B,GPUMW_N*ODc_N)*ResidUtil*Timeline!AB$9*INDEX(Curve,1,MAX(1,MIN(8,INT((AB$5-$H$21)/4)+1)))/1000000</f>
        <v>0</v>
      </c>
      <c r="AC84" s="120" t="n">
        <f aca="false">AC83*CHOOSE(MATCH($C$21,{"H";"B";"N"},0),GPUMW_H*ODc_H,GPUMW_B*ODc_B,GPUMW_N*ODc_N)*ResidUtil*Timeline!AC$9*INDEX(Curve,1,MAX(1,MIN(8,INT((AC$5-$H$21)/4)+1)))/1000000</f>
        <v>0</v>
      </c>
      <c r="AD84" s="120" t="n">
        <f aca="false">AD83*CHOOSE(MATCH($C$21,{"H";"B";"N"},0),GPUMW_H*ODc_H,GPUMW_B*ODc_B,GPUMW_N*ODc_N)*ResidUtil*Timeline!AD$9*INDEX(Curve,1,MAX(1,MIN(8,INT((AD$5-$H$21)/4)+1)))/1000000</f>
        <v>0</v>
      </c>
      <c r="AE84" s="120" t="n">
        <f aca="false">AE83*CHOOSE(MATCH($C$21,{"H";"B";"N"},0),GPUMW_H*ODc_H,GPUMW_B*ODc_B,GPUMW_N*ODc_N)*ResidUtil*Timeline!AE$9*INDEX(Curve,1,MAX(1,MIN(8,INT((AE$5-$H$21)/4)+1)))/1000000</f>
        <v>0</v>
      </c>
      <c r="AF84" s="120" t="n">
        <f aca="false">AF83*CHOOSE(MATCH($C$21,{"H";"B";"N"},0),GPUMW_H*ODc_H,GPUMW_B*ODc_B,GPUMW_N*ODc_N)*ResidUtil*Timeline!AF$9*INDEX(Curve,1,MAX(1,MIN(8,INT((AF$5-$H$21)/4)+1)))/1000000</f>
        <v>0</v>
      </c>
      <c r="AG84" s="120" t="n">
        <f aca="false">AG83*CHOOSE(MATCH($C$21,{"H";"B";"N"},0),GPUMW_H*ODc_H,GPUMW_B*ODc_B,GPUMW_N*ODc_N)*ResidUtil*Timeline!AG$9*INDEX(Curve,1,MAX(1,MIN(8,INT((AG$5-$H$21)/4)+1)))/1000000</f>
        <v>0</v>
      </c>
      <c r="AI84" s="120" t="n">
        <f aca="false">SUMIF($F$7:$AG$7,AI$7,$F84:$AG84)</f>
        <v>0</v>
      </c>
      <c r="AJ84" s="120" t="n">
        <f aca="false">SUMIF($F$7:$AG$7,AJ$7,$F84:$AG84)</f>
        <v>0</v>
      </c>
      <c r="AK84" s="120" t="n">
        <f aca="false">SUMIF($F$7:$AG$7,AK$7,$F84:$AG84)</f>
        <v>0</v>
      </c>
      <c r="AL84" s="120" t="n">
        <f aca="false">SUMIF($F$7:$AG$7,AL$7,$F84:$AG84)</f>
        <v>0</v>
      </c>
      <c r="AM84" s="120" t="n">
        <f aca="false">SUMIF($F$7:$AG$7,AM$7,$F84:$AG84)</f>
        <v>0</v>
      </c>
      <c r="AN84" s="120" t="n">
        <f aca="false">SUMIF($F$7:$AG$7,AN$7,$F84:$AG84)</f>
        <v>0</v>
      </c>
      <c r="AO84" s="120" t="n">
        <f aca="false">SUMIF($F$7:$AG$7,AO$7,$F84:$AG84)</f>
        <v>0</v>
      </c>
    </row>
    <row r="85" customFormat="false" ht="15" hidden="false" customHeight="false" outlineLevel="0" collapsed="false">
      <c r="A85" s="101" t="s">
        <v>1416</v>
      </c>
      <c r="B85" s="18" t="s">
        <v>400</v>
      </c>
      <c r="C85" s="18"/>
      <c r="D85" s="18"/>
      <c r="F85" s="119" t="n">
        <f aca="false">(1-$I$22)*(1-$J$22)*$D$22*$E$22/4*MIN(1,MAX(0,(F$5-$H$22+1)/$T$22))*IF(F$5=$H$22,DelivFactor,IF(AND(F$5&gt;$H$22,F$5&lt;$H$22+$F$22),1,IF(F$5=$H$22+$F$22,1-DelivFactor,0)))</f>
        <v>0</v>
      </c>
      <c r="G85" s="119" t="n">
        <f aca="false">(1-$I$22)*(1-$J$22)*$D$22*$E$22/4*MIN(1,MAX(0,(G$5-$H$22+1)/$T$22))*IF(G$5=$H$22,DelivFactor,IF(AND(G$5&gt;$H$22,G$5&lt;$H$22+$F$22),1,IF(G$5=$H$22+$F$22,1-DelivFactor,0)))</f>
        <v>0</v>
      </c>
      <c r="H85" s="119" t="n">
        <f aca="false">(1-$I$22)*(1-$J$22)*$D$22*$E$22/4*MIN(1,MAX(0,(H$5-$H$22+1)/$T$22))*IF(H$5=$H$22,DelivFactor,IF(AND(H$5&gt;$H$22,H$5&lt;$H$22+$F$22),1,IF(H$5=$H$22+$F$22,1-DelivFactor,0)))</f>
        <v>0</v>
      </c>
      <c r="I85" s="119" t="n">
        <f aca="false">(1-$I$22)*(1-$J$22)*$D$22*$E$22/4*MIN(1,MAX(0,(I$5-$H$22+1)/$T$22))*IF(I$5=$H$22,DelivFactor,IF(AND(I$5&gt;$H$22,I$5&lt;$H$22+$F$22),1,IF(I$5=$H$22+$F$22,1-DelivFactor,0)))</f>
        <v>0</v>
      </c>
      <c r="J85" s="119" t="n">
        <f aca="false">(1-$I$22)*(1-$J$22)*$D$22*$E$22/4*MIN(1,MAX(0,(J$5-$H$22+1)/$T$22))*IF(J$5=$H$22,DelivFactor,IF(AND(J$5&gt;$H$22,J$5&lt;$H$22+$F$22),1,IF(J$5=$H$22+$F$22,1-DelivFactor,0)))</f>
        <v>0</v>
      </c>
      <c r="K85" s="119" t="n">
        <f aca="false">(1-$I$22)*(1-$J$22)*$D$22*$E$22/4*MIN(1,MAX(0,(K$5-$H$22+1)/$T$22))*IF(K$5=$H$22,DelivFactor,IF(AND(K$5&gt;$H$22,K$5&lt;$H$22+$F$22),1,IF(K$5=$H$22+$F$22,1-DelivFactor,0)))</f>
        <v>0</v>
      </c>
      <c r="L85" s="119" t="n">
        <f aca="false">(1-$I$22)*(1-$J$22)*$D$22*$E$22/4*MIN(1,MAX(0,(L$5-$H$22+1)/$T$22))*IF(L$5=$H$22,DelivFactor,IF(AND(L$5&gt;$H$22,L$5&lt;$H$22+$F$22),1,IF(L$5=$H$22+$F$22,1-DelivFactor,0)))</f>
        <v>0</v>
      </c>
      <c r="M85" s="119" t="n">
        <f aca="false">(1-$I$22)*(1-$J$22)*$D$22*$E$22/4*MIN(1,MAX(0,(M$5-$H$22+1)/$T$22))*IF(M$5=$H$22,DelivFactor,IF(AND(M$5&gt;$H$22,M$5&lt;$H$22+$F$22),1,IF(M$5=$H$22+$F$22,1-DelivFactor,0)))</f>
        <v>0</v>
      </c>
      <c r="N85" s="119" t="n">
        <f aca="false">(1-$I$22)*(1-$J$22)*$D$22*$E$22/4*MIN(1,MAX(0,(N$5-$H$22+1)/$T$22))*IF(N$5=$H$22,DelivFactor,IF(AND(N$5&gt;$H$22,N$5&lt;$H$22+$F$22),1,IF(N$5=$H$22+$F$22,1-DelivFactor,0)))</f>
        <v>0</v>
      </c>
      <c r="O85" s="119" t="n">
        <f aca="false">(1-$I$22)*(1-$J$22)*$D$22*$E$22/4*MIN(1,MAX(0,(O$5-$H$22+1)/$T$22))*IF(O$5=$H$22,DelivFactor,IF(AND(O$5&gt;$H$22,O$5&lt;$H$22+$F$22),1,IF(O$5=$H$22+$F$22,1-DelivFactor,0)))</f>
        <v>0</v>
      </c>
      <c r="P85" s="120" t="n">
        <f aca="false">(1-$I$22)*(1-$J$22)*$D$22*$E$22/4*MIN(1,MAX(0,(P$5-$H$22+1)/$T$22))*IF(P$5=$H$22,DelivFactor,IF(AND(P$5&gt;$H$22,P$5&lt;$H$22+$F$22),1,IF(P$5=$H$22+$F$22,1-DelivFactor,0)))</f>
        <v>0</v>
      </c>
      <c r="Q85" s="120" t="n">
        <f aca="false">(1-$I$22)*(1-$J$22)*$D$22*$E$22/4*MIN(1,MAX(0,(Q$5-$H$22+1)/$T$22))*IF(Q$5=$H$22,DelivFactor,IF(AND(Q$5&gt;$H$22,Q$5&lt;$H$22+$F$22),1,IF(Q$5=$H$22+$F$22,1-DelivFactor,0)))</f>
        <v>0</v>
      </c>
      <c r="R85" s="120" t="n">
        <f aca="false">(1-$I$22)*(1-$J$22)*$D$22*$E$22/4*MIN(1,MAX(0,(R$5-$H$22+1)/$T$22))*IF(R$5=$H$22,DelivFactor,IF(AND(R$5&gt;$H$22,R$5&lt;$H$22+$F$22),1,IF(R$5=$H$22+$F$22,1-DelivFactor,0)))</f>
        <v>0</v>
      </c>
      <c r="S85" s="120" t="n">
        <f aca="false">(1-$I$22)*(1-$J$22)*$D$22*$E$22/4*MIN(1,MAX(0,(S$5-$H$22+1)/$T$22))*IF(S$5=$H$22,DelivFactor,IF(AND(S$5&gt;$H$22,S$5&lt;$H$22+$F$22),1,IF(S$5=$H$22+$F$22,1-DelivFactor,0)))</f>
        <v>0</v>
      </c>
      <c r="T85" s="120" t="n">
        <f aca="false">(1-$I$22)*(1-$J$22)*$D$22*$E$22/4*MIN(1,MAX(0,(T$5-$H$22+1)/$T$22))*IF(T$5=$H$22,DelivFactor,IF(AND(T$5&gt;$H$22,T$5&lt;$H$22+$F$22),1,IF(T$5=$H$22+$F$22,1-DelivFactor,0)))</f>
        <v>0</v>
      </c>
      <c r="U85" s="120" t="n">
        <f aca="false">(1-$I$22)*(1-$J$22)*$D$22*$E$22/4*MIN(1,MAX(0,(U$5-$H$22+1)/$T$22))*IF(U$5=$H$22,DelivFactor,IF(AND(U$5&gt;$H$22,U$5&lt;$H$22+$F$22),1,IF(U$5=$H$22+$F$22,1-DelivFactor,0)))</f>
        <v>0</v>
      </c>
      <c r="V85" s="120" t="n">
        <f aca="false">(1-$I$22)*(1-$J$22)*$D$22*$E$22/4*MIN(1,MAX(0,(V$5-$H$22+1)/$T$22))*IF(V$5=$H$22,DelivFactor,IF(AND(V$5&gt;$H$22,V$5&lt;$H$22+$F$22),1,IF(V$5=$H$22+$F$22,1-DelivFactor,0)))</f>
        <v>0</v>
      </c>
      <c r="W85" s="120" t="n">
        <f aca="false">(1-$I$22)*(1-$J$22)*$D$22*$E$22/4*MIN(1,MAX(0,(W$5-$H$22+1)/$T$22))*IF(W$5=$H$22,DelivFactor,IF(AND(W$5&gt;$H$22,W$5&lt;$H$22+$F$22),1,IF(W$5=$H$22+$F$22,1-DelivFactor,0)))</f>
        <v>0</v>
      </c>
      <c r="X85" s="120" t="n">
        <f aca="false">(1-$I$22)*(1-$J$22)*$D$22*$E$22/4*MIN(1,MAX(0,(X$5-$H$22+1)/$T$22))*IF(X$5=$H$22,DelivFactor,IF(AND(X$5&gt;$H$22,X$5&lt;$H$22+$F$22),1,IF(X$5=$H$22+$F$22,1-DelivFactor,0)))</f>
        <v>0</v>
      </c>
      <c r="Y85" s="120" t="n">
        <f aca="false">(1-$I$22)*(1-$J$22)*$D$22*$E$22/4*MIN(1,MAX(0,(Y$5-$H$22+1)/$T$22))*IF(Y$5=$H$22,DelivFactor,IF(AND(Y$5&gt;$H$22,Y$5&lt;$H$22+$F$22),1,IF(Y$5=$H$22+$F$22,1-DelivFactor,0)))</f>
        <v>0</v>
      </c>
      <c r="Z85" s="120" t="n">
        <f aca="false">(1-$I$22)*(1-$J$22)*$D$22*$E$22/4*MIN(1,MAX(0,(Z$5-$H$22+1)/$T$22))*IF(Z$5=$H$22,DelivFactor,IF(AND(Z$5&gt;$H$22,Z$5&lt;$H$22+$F$22),1,IF(Z$5=$H$22+$F$22,1-DelivFactor,0)))</f>
        <v>0</v>
      </c>
      <c r="AA85" s="120" t="n">
        <f aca="false">(1-$I$22)*(1-$J$22)*$D$22*$E$22/4*MIN(1,MAX(0,(AA$5-$H$22+1)/$T$22))*IF(AA$5=$H$22,DelivFactor,IF(AND(AA$5&gt;$H$22,AA$5&lt;$H$22+$F$22),1,IF(AA$5=$H$22+$F$22,1-DelivFactor,0)))</f>
        <v>0</v>
      </c>
      <c r="AB85" s="120" t="n">
        <f aca="false">(1-$I$22)*(1-$J$22)*$D$22*$E$22/4*MIN(1,MAX(0,(AB$5-$H$22+1)/$T$22))*IF(AB$5=$H$22,DelivFactor,IF(AND(AB$5&gt;$H$22,AB$5&lt;$H$22+$F$22),1,IF(AB$5=$H$22+$F$22,1-DelivFactor,0)))</f>
        <v>0</v>
      </c>
      <c r="AC85" s="120" t="n">
        <f aca="false">(1-$I$22)*(1-$J$22)*$D$22*$E$22/4*MIN(1,MAX(0,(AC$5-$H$22+1)/$T$22))*IF(AC$5=$H$22,DelivFactor,IF(AND(AC$5&gt;$H$22,AC$5&lt;$H$22+$F$22),1,IF(AC$5=$H$22+$F$22,1-DelivFactor,0)))</f>
        <v>0</v>
      </c>
      <c r="AD85" s="120" t="n">
        <f aca="false">(1-$I$22)*(1-$J$22)*$D$22*$E$22/4*MIN(1,MAX(0,(AD$5-$H$22+1)/$T$22))*IF(AD$5=$H$22,DelivFactor,IF(AND(AD$5&gt;$H$22,AD$5&lt;$H$22+$F$22),1,IF(AD$5=$H$22+$F$22,1-DelivFactor,0)))</f>
        <v>0</v>
      </c>
      <c r="AE85" s="120" t="n">
        <f aca="false">(1-$I$22)*(1-$J$22)*$D$22*$E$22/4*MIN(1,MAX(0,(AE$5-$H$22+1)/$T$22))*IF(AE$5=$H$22,DelivFactor,IF(AND(AE$5&gt;$H$22,AE$5&lt;$H$22+$F$22),1,IF(AE$5=$H$22+$F$22,1-DelivFactor,0)))</f>
        <v>0</v>
      </c>
      <c r="AF85" s="120" t="n">
        <f aca="false">(1-$I$22)*(1-$J$22)*$D$22*$E$22/4*MIN(1,MAX(0,(AF$5-$H$22+1)/$T$22))*IF(AF$5=$H$22,DelivFactor,IF(AND(AF$5&gt;$H$22,AF$5&lt;$H$22+$F$22),1,IF(AF$5=$H$22+$F$22,1-DelivFactor,0)))</f>
        <v>0</v>
      </c>
      <c r="AG85" s="120" t="n">
        <f aca="false">(1-$I$22)*(1-$J$22)*$D$22*$E$22/4*MIN(1,MAX(0,(AG$5-$H$22+1)/$T$22))*IF(AG$5=$H$22,DelivFactor,IF(AND(AG$5&gt;$H$22,AG$5&lt;$H$22+$F$22),1,IF(AG$5=$H$22+$F$22,1-DelivFactor,0)))</f>
        <v>0</v>
      </c>
      <c r="AI85" s="120" t="n">
        <f aca="false">SUMIF($F$7:$AG$7,AI$7,$F85:$AG85)</f>
        <v>0</v>
      </c>
      <c r="AJ85" s="120" t="n">
        <f aca="false">SUMIF($F$7:$AG$7,AJ$7,$F85:$AG85)</f>
        <v>0</v>
      </c>
      <c r="AK85" s="120" t="n">
        <f aca="false">SUMIF($F$7:$AG$7,AK$7,$F85:$AG85)</f>
        <v>0</v>
      </c>
      <c r="AL85" s="120" t="n">
        <f aca="false">SUMIF($F$7:$AG$7,AL$7,$F85:$AG85)</f>
        <v>0</v>
      </c>
      <c r="AM85" s="120" t="n">
        <f aca="false">SUMIF($F$7:$AG$7,AM$7,$F85:$AG85)</f>
        <v>0</v>
      </c>
      <c r="AN85" s="120" t="n">
        <f aca="false">SUMIF($F$7:$AG$7,AN$7,$F85:$AG85)</f>
        <v>0</v>
      </c>
      <c r="AO85" s="120" t="n">
        <f aca="false">SUMIF($F$7:$AG$7,AO$7,$F85:$AG85)</f>
        <v>0</v>
      </c>
    </row>
    <row r="86" customFormat="false" ht="15" hidden="false" customHeight="false" outlineLevel="0" collapsed="false">
      <c r="A86" s="101" t="s">
        <v>1417</v>
      </c>
      <c r="B86" s="18" t="s">
        <v>415</v>
      </c>
      <c r="C86" s="18"/>
      <c r="D86" s="18"/>
      <c r="F86" s="110" t="n">
        <f aca="false">(1-$I$22)*(1-$J$22)*$D$22*AND(F$5&gt;=$H$22,F$5&lt;$H$22+$F$22)</f>
        <v>0</v>
      </c>
      <c r="G86" s="110" t="n">
        <f aca="false">(1-$I$22)*(1-$J$22)*$D$22*AND(G$5&gt;=$H$22,G$5&lt;$H$22+$F$22)</f>
        <v>0</v>
      </c>
      <c r="H86" s="110" t="n">
        <f aca="false">(1-$I$22)*(1-$J$22)*$D$22*AND(H$5&gt;=$H$22,H$5&lt;$H$22+$F$22)</f>
        <v>0</v>
      </c>
      <c r="I86" s="110" t="n">
        <f aca="false">(1-$I$22)*(1-$J$22)*$D$22*AND(I$5&gt;=$H$22,I$5&lt;$H$22+$F$22)</f>
        <v>0</v>
      </c>
      <c r="J86" s="110" t="n">
        <f aca="false">(1-$I$22)*(1-$J$22)*$D$22*AND(J$5&gt;=$H$22,J$5&lt;$H$22+$F$22)</f>
        <v>0</v>
      </c>
      <c r="K86" s="110" t="n">
        <f aca="false">(1-$I$22)*(1-$J$22)*$D$22*AND(K$5&gt;=$H$22,K$5&lt;$H$22+$F$22)</f>
        <v>0</v>
      </c>
      <c r="L86" s="110" t="n">
        <f aca="false">(1-$I$22)*(1-$J$22)*$D$22*AND(L$5&gt;=$H$22,L$5&lt;$H$22+$F$22)</f>
        <v>0</v>
      </c>
      <c r="M86" s="110" t="n">
        <f aca="false">(1-$I$22)*(1-$J$22)*$D$22*AND(M$5&gt;=$H$22,M$5&lt;$H$22+$F$22)</f>
        <v>0</v>
      </c>
      <c r="N86" s="110" t="n">
        <f aca="false">(1-$I$22)*(1-$J$22)*$D$22*AND(N$5&gt;=$H$22,N$5&lt;$H$22+$F$22)</f>
        <v>0</v>
      </c>
      <c r="O86" s="110" t="n">
        <f aca="false">(1-$I$22)*(1-$J$22)*$D$22*AND(O$5&gt;=$H$22,O$5&lt;$H$22+$F$22)</f>
        <v>0</v>
      </c>
      <c r="P86" s="21" t="n">
        <f aca="false">(1-$I$22)*(1-$J$22)*$D$22*AND(P$5&gt;=$H$22,P$5&lt;$H$22+$F$22)</f>
        <v>0</v>
      </c>
      <c r="Q86" s="21" t="n">
        <f aca="false">(1-$I$22)*(1-$J$22)*$D$22*AND(Q$5&gt;=$H$22,Q$5&lt;$H$22+$F$22)</f>
        <v>0</v>
      </c>
      <c r="R86" s="21" t="n">
        <f aca="false">(1-$I$22)*(1-$J$22)*$D$22*AND(R$5&gt;=$H$22,R$5&lt;$H$22+$F$22)</f>
        <v>0</v>
      </c>
      <c r="S86" s="21" t="n">
        <f aca="false">(1-$I$22)*(1-$J$22)*$D$22*AND(S$5&gt;=$H$22,S$5&lt;$H$22+$F$22)</f>
        <v>0</v>
      </c>
      <c r="T86" s="21" t="n">
        <f aca="false">(1-$I$22)*(1-$J$22)*$D$22*AND(T$5&gt;=$H$22,T$5&lt;$H$22+$F$22)</f>
        <v>0</v>
      </c>
      <c r="U86" s="21" t="n">
        <f aca="false">(1-$I$22)*(1-$J$22)*$D$22*AND(U$5&gt;=$H$22,U$5&lt;$H$22+$F$22)</f>
        <v>0</v>
      </c>
      <c r="V86" s="21" t="n">
        <f aca="false">(1-$I$22)*(1-$J$22)*$D$22*AND(V$5&gt;=$H$22,V$5&lt;$H$22+$F$22)</f>
        <v>0</v>
      </c>
      <c r="W86" s="21" t="n">
        <f aca="false">(1-$I$22)*(1-$J$22)*$D$22*AND(W$5&gt;=$H$22,W$5&lt;$H$22+$F$22)</f>
        <v>0</v>
      </c>
      <c r="X86" s="21" t="n">
        <f aca="false">(1-$I$22)*(1-$J$22)*$D$22*AND(X$5&gt;=$H$22,X$5&lt;$H$22+$F$22)</f>
        <v>0</v>
      </c>
      <c r="Y86" s="21" t="n">
        <f aca="false">(1-$I$22)*(1-$J$22)*$D$22*AND(Y$5&gt;=$H$22,Y$5&lt;$H$22+$F$22)</f>
        <v>0</v>
      </c>
      <c r="Z86" s="21" t="n">
        <f aca="false">(1-$I$22)*(1-$J$22)*$D$22*AND(Z$5&gt;=$H$22,Z$5&lt;$H$22+$F$22)</f>
        <v>0</v>
      </c>
      <c r="AA86" s="21" t="n">
        <f aca="false">(1-$I$22)*(1-$J$22)*$D$22*AND(AA$5&gt;=$H$22,AA$5&lt;$H$22+$F$22)</f>
        <v>0</v>
      </c>
      <c r="AB86" s="21" t="n">
        <f aca="false">(1-$I$22)*(1-$J$22)*$D$22*AND(AB$5&gt;=$H$22,AB$5&lt;$H$22+$F$22)</f>
        <v>0</v>
      </c>
      <c r="AC86" s="21" t="n">
        <f aca="false">(1-$I$22)*(1-$J$22)*$D$22*AND(AC$5&gt;=$H$22,AC$5&lt;$H$22+$F$22)</f>
        <v>0</v>
      </c>
      <c r="AD86" s="21" t="n">
        <f aca="false">(1-$I$22)*(1-$J$22)*$D$22*AND(AD$5&gt;=$H$22,AD$5&lt;$H$22+$F$22)</f>
        <v>0</v>
      </c>
      <c r="AE86" s="21" t="n">
        <f aca="false">(1-$I$22)*(1-$J$22)*$D$22*AND(AE$5&gt;=$H$22,AE$5&lt;$H$22+$F$22)</f>
        <v>0</v>
      </c>
      <c r="AF86" s="21" t="n">
        <f aca="false">(1-$I$22)*(1-$J$22)*$D$22*AND(AF$5&gt;=$H$22,AF$5&lt;$H$22+$F$22)</f>
        <v>0</v>
      </c>
      <c r="AG86" s="21" t="n">
        <f aca="false">(1-$I$22)*(1-$J$22)*$D$22*AND(AG$5&gt;=$H$22,AG$5&lt;$H$22+$F$22)</f>
        <v>0</v>
      </c>
      <c r="AI86" s="21" t="n">
        <f aca="false">INDEX($F86:$AG86,1,MATCH(AI$7,$F$7:$AG$7,1))</f>
        <v>0</v>
      </c>
      <c r="AJ86" s="21" t="n">
        <f aca="false">INDEX($F86:$AG86,1,MATCH(AJ$7,$F$7:$AG$7,1))</f>
        <v>0</v>
      </c>
      <c r="AK86" s="21" t="n">
        <f aca="false">INDEX($F86:$AG86,1,MATCH(AK$7,$F$7:$AG$7,1))</f>
        <v>0</v>
      </c>
      <c r="AL86" s="21" t="n">
        <f aca="false">INDEX($F86:$AG86,1,MATCH(AL$7,$F$7:$AG$7,1))</f>
        <v>0</v>
      </c>
      <c r="AM86" s="21" t="n">
        <f aca="false">INDEX($F86:$AG86,1,MATCH(AM$7,$F$7:$AG$7,1))</f>
        <v>0</v>
      </c>
      <c r="AN86" s="21" t="n">
        <f aca="false">INDEX($F86:$AG86,1,MATCH(AN$7,$F$7:$AG$7,1))</f>
        <v>0</v>
      </c>
      <c r="AO86" s="21" t="n">
        <f aca="false">INDEX($F86:$AG86,1,MATCH(AO$7,$F$7:$AG$7,1))</f>
        <v>0</v>
      </c>
    </row>
    <row r="87" customFormat="false" ht="15" hidden="false" customHeight="false" outlineLevel="0" collapsed="false">
      <c r="A87" s="101" t="s">
        <v>1418</v>
      </c>
      <c r="B87" s="18" t="s">
        <v>400</v>
      </c>
      <c r="C87" s="18"/>
      <c r="D87" s="18"/>
      <c r="F87" s="119" t="n">
        <f aca="false">-(1-$I$22)*LD_Pct*$D$22*$E$22/4*AND(F$5&gt;=$G$22,F$5&lt;$H$22)</f>
        <v>-0</v>
      </c>
      <c r="G87" s="119" t="n">
        <f aca="false">-(1-$I$22)*LD_Pct*$D$22*$E$22/4*AND(G$5&gt;=$G$22,G$5&lt;$H$22)</f>
        <v>-0</v>
      </c>
      <c r="H87" s="119" t="n">
        <f aca="false">-(1-$I$22)*LD_Pct*$D$22*$E$22/4*AND(H$5&gt;=$G$22,H$5&lt;$H$22)</f>
        <v>-0</v>
      </c>
      <c r="I87" s="119" t="n">
        <f aca="false">-(1-$I$22)*LD_Pct*$D$22*$E$22/4*AND(I$5&gt;=$G$22,I$5&lt;$H$22)</f>
        <v>-0</v>
      </c>
      <c r="J87" s="119" t="n">
        <f aca="false">-(1-$I$22)*LD_Pct*$D$22*$E$22/4*AND(J$5&gt;=$G$22,J$5&lt;$H$22)</f>
        <v>-0</v>
      </c>
      <c r="K87" s="119" t="n">
        <f aca="false">-(1-$I$22)*LD_Pct*$D$22*$E$22/4*AND(K$5&gt;=$G$22,K$5&lt;$H$22)</f>
        <v>-0</v>
      </c>
      <c r="L87" s="119" t="n">
        <f aca="false">-(1-$I$22)*LD_Pct*$D$22*$E$22/4*AND(L$5&gt;=$G$22,L$5&lt;$H$22)</f>
        <v>-0</v>
      </c>
      <c r="M87" s="119" t="n">
        <f aca="false">-(1-$I$22)*LD_Pct*$D$22*$E$22/4*AND(M$5&gt;=$G$22,M$5&lt;$H$22)</f>
        <v>-0</v>
      </c>
      <c r="N87" s="119" t="n">
        <f aca="false">-(1-$I$22)*LD_Pct*$D$22*$E$22/4*AND(N$5&gt;=$G$22,N$5&lt;$H$22)</f>
        <v>-0</v>
      </c>
      <c r="O87" s="119" t="n">
        <f aca="false">-(1-$I$22)*LD_Pct*$D$22*$E$22/4*AND(O$5&gt;=$G$22,O$5&lt;$H$22)</f>
        <v>-0</v>
      </c>
      <c r="P87" s="120" t="n">
        <f aca="false">-(1-$I$22)*LD_Pct*$D$22*$E$22/4*AND(P$5&gt;=$G$22,P$5&lt;$H$22)</f>
        <v>-0</v>
      </c>
      <c r="Q87" s="120" t="n">
        <f aca="false">-(1-$I$22)*LD_Pct*$D$22*$E$22/4*AND(Q$5&gt;=$G$22,Q$5&lt;$H$22)</f>
        <v>-0</v>
      </c>
      <c r="R87" s="120" t="n">
        <f aca="false">-(1-$I$22)*LD_Pct*$D$22*$E$22/4*AND(R$5&gt;=$G$22,R$5&lt;$H$22)</f>
        <v>-0</v>
      </c>
      <c r="S87" s="120" t="n">
        <f aca="false">-(1-$I$22)*LD_Pct*$D$22*$E$22/4*AND(S$5&gt;=$G$22,S$5&lt;$H$22)</f>
        <v>-0</v>
      </c>
      <c r="T87" s="120" t="n">
        <f aca="false">-(1-$I$22)*LD_Pct*$D$22*$E$22/4*AND(T$5&gt;=$G$22,T$5&lt;$H$22)</f>
        <v>-0</v>
      </c>
      <c r="U87" s="120" t="n">
        <f aca="false">-(1-$I$22)*LD_Pct*$D$22*$E$22/4*AND(U$5&gt;=$G$22,U$5&lt;$H$22)</f>
        <v>-0</v>
      </c>
      <c r="V87" s="120" t="n">
        <f aca="false">-(1-$I$22)*LD_Pct*$D$22*$E$22/4*AND(V$5&gt;=$G$22,V$5&lt;$H$22)</f>
        <v>-0</v>
      </c>
      <c r="W87" s="120" t="n">
        <f aca="false">-(1-$I$22)*LD_Pct*$D$22*$E$22/4*AND(W$5&gt;=$G$22,W$5&lt;$H$22)</f>
        <v>-0</v>
      </c>
      <c r="X87" s="120" t="n">
        <f aca="false">-(1-$I$22)*LD_Pct*$D$22*$E$22/4*AND(X$5&gt;=$G$22,X$5&lt;$H$22)</f>
        <v>-0</v>
      </c>
      <c r="Y87" s="120" t="n">
        <f aca="false">-(1-$I$22)*LD_Pct*$D$22*$E$22/4*AND(Y$5&gt;=$G$22,Y$5&lt;$H$22)</f>
        <v>-0</v>
      </c>
      <c r="Z87" s="120" t="n">
        <f aca="false">-(1-$I$22)*LD_Pct*$D$22*$E$22/4*AND(Z$5&gt;=$G$22,Z$5&lt;$H$22)</f>
        <v>-0</v>
      </c>
      <c r="AA87" s="120" t="n">
        <f aca="false">-(1-$I$22)*LD_Pct*$D$22*$E$22/4*AND(AA$5&gt;=$G$22,AA$5&lt;$H$22)</f>
        <v>-0</v>
      </c>
      <c r="AB87" s="120" t="n">
        <f aca="false">-(1-$I$22)*LD_Pct*$D$22*$E$22/4*AND(AB$5&gt;=$G$22,AB$5&lt;$H$22)</f>
        <v>-0</v>
      </c>
      <c r="AC87" s="120" t="n">
        <f aca="false">-(1-$I$22)*LD_Pct*$D$22*$E$22/4*AND(AC$5&gt;=$G$22,AC$5&lt;$H$22)</f>
        <v>-0</v>
      </c>
      <c r="AD87" s="120" t="n">
        <f aca="false">-(1-$I$22)*LD_Pct*$D$22*$E$22/4*AND(AD$5&gt;=$G$22,AD$5&lt;$H$22)</f>
        <v>-0</v>
      </c>
      <c r="AE87" s="120" t="n">
        <f aca="false">-(1-$I$22)*LD_Pct*$D$22*$E$22/4*AND(AE$5&gt;=$G$22,AE$5&lt;$H$22)</f>
        <v>-0</v>
      </c>
      <c r="AF87" s="120" t="n">
        <f aca="false">-(1-$I$22)*LD_Pct*$D$22*$E$22/4*AND(AF$5&gt;=$G$22,AF$5&lt;$H$22)</f>
        <v>-0</v>
      </c>
      <c r="AG87" s="120" t="n">
        <f aca="false">-(1-$I$22)*LD_Pct*$D$22*$E$22/4*AND(AG$5&gt;=$G$22,AG$5&lt;$H$22)</f>
        <v>-0</v>
      </c>
      <c r="AI87" s="120" t="n">
        <f aca="false">SUMIF($F$7:$AG$7,AI$7,$F87:$AG87)</f>
        <v>0</v>
      </c>
      <c r="AJ87" s="120" t="n">
        <f aca="false">SUMIF($F$7:$AG$7,AJ$7,$F87:$AG87)</f>
        <v>0</v>
      </c>
      <c r="AK87" s="120" t="n">
        <f aca="false">SUMIF($F$7:$AG$7,AK$7,$F87:$AG87)</f>
        <v>0</v>
      </c>
      <c r="AL87" s="120" t="n">
        <f aca="false">SUMIF($F$7:$AG$7,AL$7,$F87:$AG87)</f>
        <v>0</v>
      </c>
      <c r="AM87" s="120" t="n">
        <f aca="false">SUMIF($F$7:$AG$7,AM$7,$F87:$AG87)</f>
        <v>0</v>
      </c>
      <c r="AN87" s="120" t="n">
        <f aca="false">SUMIF($F$7:$AG$7,AN$7,$F87:$AG87)</f>
        <v>0</v>
      </c>
      <c r="AO87" s="120" t="n">
        <f aca="false">SUMIF($F$7:$AG$7,AO$7,$F87:$AG87)</f>
        <v>0</v>
      </c>
    </row>
    <row r="88" customFormat="false" ht="15" hidden="false" customHeight="false" outlineLevel="0" collapsed="false">
      <c r="A88" s="101" t="s">
        <v>1419</v>
      </c>
      <c r="B88" s="18" t="s">
        <v>415</v>
      </c>
      <c r="C88" s="18"/>
      <c r="D88" s="18"/>
      <c r="F88" s="110" t="n">
        <f aca="false">(1-$I$22)*(1-$J$22)*$D$22*(F$5&gt;=$H$22+$F$22)</f>
        <v>0</v>
      </c>
      <c r="G88" s="110" t="n">
        <f aca="false">(1-$I$22)*(1-$J$22)*$D$22*(G$5&gt;=$H$22+$F$22)</f>
        <v>0</v>
      </c>
      <c r="H88" s="110" t="n">
        <f aca="false">(1-$I$22)*(1-$J$22)*$D$22*(H$5&gt;=$H$22+$F$22)</f>
        <v>0</v>
      </c>
      <c r="I88" s="110" t="n">
        <f aca="false">(1-$I$22)*(1-$J$22)*$D$22*(I$5&gt;=$H$22+$F$22)</f>
        <v>0</v>
      </c>
      <c r="J88" s="110" t="n">
        <f aca="false">(1-$I$22)*(1-$J$22)*$D$22*(J$5&gt;=$H$22+$F$22)</f>
        <v>0</v>
      </c>
      <c r="K88" s="110" t="n">
        <f aca="false">(1-$I$22)*(1-$J$22)*$D$22*(K$5&gt;=$H$22+$F$22)</f>
        <v>0</v>
      </c>
      <c r="L88" s="110" t="n">
        <f aca="false">(1-$I$22)*(1-$J$22)*$D$22*(L$5&gt;=$H$22+$F$22)</f>
        <v>0</v>
      </c>
      <c r="M88" s="110" t="n">
        <f aca="false">(1-$I$22)*(1-$J$22)*$D$22*(M$5&gt;=$H$22+$F$22)</f>
        <v>0</v>
      </c>
      <c r="N88" s="110" t="n">
        <f aca="false">(1-$I$22)*(1-$J$22)*$D$22*(N$5&gt;=$H$22+$F$22)</f>
        <v>0</v>
      </c>
      <c r="O88" s="110" t="n">
        <f aca="false">(1-$I$22)*(1-$J$22)*$D$22*(O$5&gt;=$H$22+$F$22)</f>
        <v>0</v>
      </c>
      <c r="P88" s="21" t="n">
        <f aca="false">(1-$I$22)*(1-$J$22)*$D$22*(P$5&gt;=$H$22+$F$22)</f>
        <v>0</v>
      </c>
      <c r="Q88" s="21" t="n">
        <f aca="false">(1-$I$22)*(1-$J$22)*$D$22*(Q$5&gt;=$H$22+$F$22)</f>
        <v>0</v>
      </c>
      <c r="R88" s="21" t="n">
        <f aca="false">(1-$I$22)*(1-$J$22)*$D$22*(R$5&gt;=$H$22+$F$22)</f>
        <v>0</v>
      </c>
      <c r="S88" s="21" t="n">
        <f aca="false">(1-$I$22)*(1-$J$22)*$D$22*(S$5&gt;=$H$22+$F$22)</f>
        <v>0</v>
      </c>
      <c r="T88" s="21" t="n">
        <f aca="false">(1-$I$22)*(1-$J$22)*$D$22*(T$5&gt;=$H$22+$F$22)</f>
        <v>0</v>
      </c>
      <c r="U88" s="21" t="n">
        <f aca="false">(1-$I$22)*(1-$J$22)*$D$22*(U$5&gt;=$H$22+$F$22)</f>
        <v>0</v>
      </c>
      <c r="V88" s="21" t="n">
        <f aca="false">(1-$I$22)*(1-$J$22)*$D$22*(V$5&gt;=$H$22+$F$22)</f>
        <v>0</v>
      </c>
      <c r="W88" s="21" t="n">
        <f aca="false">(1-$I$22)*(1-$J$22)*$D$22*(W$5&gt;=$H$22+$F$22)</f>
        <v>0</v>
      </c>
      <c r="X88" s="21" t="n">
        <f aca="false">(1-$I$22)*(1-$J$22)*$D$22*(X$5&gt;=$H$22+$F$22)</f>
        <v>0</v>
      </c>
      <c r="Y88" s="21" t="n">
        <f aca="false">(1-$I$22)*(1-$J$22)*$D$22*(Y$5&gt;=$H$22+$F$22)</f>
        <v>0</v>
      </c>
      <c r="Z88" s="21" t="n">
        <f aca="false">(1-$I$22)*(1-$J$22)*$D$22*(Z$5&gt;=$H$22+$F$22)</f>
        <v>0</v>
      </c>
      <c r="AA88" s="21" t="n">
        <f aca="false">(1-$I$22)*(1-$J$22)*$D$22*(AA$5&gt;=$H$22+$F$22)</f>
        <v>0</v>
      </c>
      <c r="AB88" s="21" t="n">
        <f aca="false">(1-$I$22)*(1-$J$22)*$D$22*(AB$5&gt;=$H$22+$F$22)</f>
        <v>0</v>
      </c>
      <c r="AC88" s="21" t="n">
        <f aca="false">(1-$I$22)*(1-$J$22)*$D$22*(AC$5&gt;=$H$22+$F$22)</f>
        <v>0</v>
      </c>
      <c r="AD88" s="21" t="n">
        <f aca="false">(1-$I$22)*(1-$J$22)*$D$22*(AD$5&gt;=$H$22+$F$22)</f>
        <v>0</v>
      </c>
      <c r="AE88" s="21" t="n">
        <f aca="false">(1-$I$22)*(1-$J$22)*$D$22*(AE$5&gt;=$H$22+$F$22)</f>
        <v>0</v>
      </c>
      <c r="AF88" s="21" t="n">
        <f aca="false">(1-$I$22)*(1-$J$22)*$D$22*(AF$5&gt;=$H$22+$F$22)</f>
        <v>0</v>
      </c>
      <c r="AG88" s="21" t="n">
        <f aca="false">(1-$I$22)*(1-$J$22)*$D$22*(AG$5&gt;=$H$22+$F$22)</f>
        <v>0</v>
      </c>
      <c r="AI88" s="21" t="n">
        <f aca="false">INDEX($F88:$AG88,1,MATCH(AI$7,$F$7:$AG$7,1))</f>
        <v>0</v>
      </c>
      <c r="AJ88" s="21" t="n">
        <f aca="false">INDEX($F88:$AG88,1,MATCH(AJ$7,$F$7:$AG$7,1))</f>
        <v>0</v>
      </c>
      <c r="AK88" s="21" t="n">
        <f aca="false">INDEX($F88:$AG88,1,MATCH(AK$7,$F$7:$AG$7,1))</f>
        <v>0</v>
      </c>
      <c r="AL88" s="21" t="n">
        <f aca="false">INDEX($F88:$AG88,1,MATCH(AL$7,$F$7:$AG$7,1))</f>
        <v>0</v>
      </c>
      <c r="AM88" s="21" t="n">
        <f aca="false">INDEX($F88:$AG88,1,MATCH(AM$7,$F$7:$AG$7,1))</f>
        <v>0</v>
      </c>
      <c r="AN88" s="21" t="n">
        <f aca="false">INDEX($F88:$AG88,1,MATCH(AN$7,$F$7:$AG$7,1))</f>
        <v>0</v>
      </c>
      <c r="AO88" s="21" t="n">
        <f aca="false">INDEX($F88:$AG88,1,MATCH(AO$7,$F$7:$AG$7,1))</f>
        <v>0</v>
      </c>
    </row>
    <row r="89" customFormat="false" ht="15" hidden="false" customHeight="false" outlineLevel="0" collapsed="false">
      <c r="A89" s="101" t="s">
        <v>1420</v>
      </c>
      <c r="B89" s="18" t="s">
        <v>400</v>
      </c>
      <c r="C89" s="18"/>
      <c r="D89" s="18" t="s">
        <v>1370</v>
      </c>
      <c r="F89" s="119" t="n">
        <f aca="false">F88*CHOOSE(MATCH($C$22,{"H";"B";"N"},0),GPUMW_H*ODc_H,GPUMW_B*ODc_B,GPUMW_N*ODc_N)*ResidUtil*Timeline!F$9*INDEX(Curve,1,MAX(1,MIN(8,INT((F$5-$H$22)/4)+1)))/1000000</f>
        <v>0</v>
      </c>
      <c r="G89" s="119" t="n">
        <f aca="false">G88*CHOOSE(MATCH($C$22,{"H";"B";"N"},0),GPUMW_H*ODc_H,GPUMW_B*ODc_B,GPUMW_N*ODc_N)*ResidUtil*Timeline!G$9*INDEX(Curve,1,MAX(1,MIN(8,INT((G$5-$H$22)/4)+1)))/1000000</f>
        <v>0</v>
      </c>
      <c r="H89" s="119" t="n">
        <f aca="false">H88*CHOOSE(MATCH($C$22,{"H";"B";"N"},0),GPUMW_H*ODc_H,GPUMW_B*ODc_B,GPUMW_N*ODc_N)*ResidUtil*Timeline!H$9*INDEX(Curve,1,MAX(1,MIN(8,INT((H$5-$H$22)/4)+1)))/1000000</f>
        <v>0</v>
      </c>
      <c r="I89" s="119" t="n">
        <f aca="false">I88*CHOOSE(MATCH($C$22,{"H";"B";"N"},0),GPUMW_H*ODc_H,GPUMW_B*ODc_B,GPUMW_N*ODc_N)*ResidUtil*Timeline!I$9*INDEX(Curve,1,MAX(1,MIN(8,INT((I$5-$H$22)/4)+1)))/1000000</f>
        <v>0</v>
      </c>
      <c r="J89" s="119" t="n">
        <f aca="false">J88*CHOOSE(MATCH($C$22,{"H";"B";"N"},0),GPUMW_H*ODc_H,GPUMW_B*ODc_B,GPUMW_N*ODc_N)*ResidUtil*Timeline!J$9*INDEX(Curve,1,MAX(1,MIN(8,INT((J$5-$H$22)/4)+1)))/1000000</f>
        <v>0</v>
      </c>
      <c r="K89" s="119" t="n">
        <f aca="false">K88*CHOOSE(MATCH($C$22,{"H";"B";"N"},0),GPUMW_H*ODc_H,GPUMW_B*ODc_B,GPUMW_N*ODc_N)*ResidUtil*Timeline!K$9*INDEX(Curve,1,MAX(1,MIN(8,INT((K$5-$H$22)/4)+1)))/1000000</f>
        <v>0</v>
      </c>
      <c r="L89" s="119" t="n">
        <f aca="false">L88*CHOOSE(MATCH($C$22,{"H";"B";"N"},0),GPUMW_H*ODc_H,GPUMW_B*ODc_B,GPUMW_N*ODc_N)*ResidUtil*Timeline!L$9*INDEX(Curve,1,MAX(1,MIN(8,INT((L$5-$H$22)/4)+1)))/1000000</f>
        <v>0</v>
      </c>
      <c r="M89" s="119" t="n">
        <f aca="false">M88*CHOOSE(MATCH($C$22,{"H";"B";"N"},0),GPUMW_H*ODc_H,GPUMW_B*ODc_B,GPUMW_N*ODc_N)*ResidUtil*Timeline!M$9*INDEX(Curve,1,MAX(1,MIN(8,INT((M$5-$H$22)/4)+1)))/1000000</f>
        <v>0</v>
      </c>
      <c r="N89" s="119" t="n">
        <f aca="false">N88*CHOOSE(MATCH($C$22,{"H";"B";"N"},0),GPUMW_H*ODc_H,GPUMW_B*ODc_B,GPUMW_N*ODc_N)*ResidUtil*Timeline!N$9*INDEX(Curve,1,MAX(1,MIN(8,INT((N$5-$H$22)/4)+1)))/1000000</f>
        <v>0</v>
      </c>
      <c r="O89" s="119" t="n">
        <f aca="false">O88*CHOOSE(MATCH($C$22,{"H";"B";"N"},0),GPUMW_H*ODc_H,GPUMW_B*ODc_B,GPUMW_N*ODc_N)*ResidUtil*Timeline!O$9*INDEX(Curve,1,MAX(1,MIN(8,INT((O$5-$H$22)/4)+1)))/1000000</f>
        <v>0</v>
      </c>
      <c r="P89" s="120" t="n">
        <f aca="false">P88*CHOOSE(MATCH($C$22,{"H";"B";"N"},0),GPUMW_H*ODc_H,GPUMW_B*ODc_B,GPUMW_N*ODc_N)*ResidUtil*Timeline!P$9*INDEX(Curve,1,MAX(1,MIN(8,INT((P$5-$H$22)/4)+1)))/1000000</f>
        <v>0</v>
      </c>
      <c r="Q89" s="120" t="n">
        <f aca="false">Q88*CHOOSE(MATCH($C$22,{"H";"B";"N"},0),GPUMW_H*ODc_H,GPUMW_B*ODc_B,GPUMW_N*ODc_N)*ResidUtil*Timeline!Q$9*INDEX(Curve,1,MAX(1,MIN(8,INT((Q$5-$H$22)/4)+1)))/1000000</f>
        <v>0</v>
      </c>
      <c r="R89" s="120" t="n">
        <f aca="false">R88*CHOOSE(MATCH($C$22,{"H";"B";"N"},0),GPUMW_H*ODc_H,GPUMW_B*ODc_B,GPUMW_N*ODc_N)*ResidUtil*Timeline!R$9*INDEX(Curve,1,MAX(1,MIN(8,INT((R$5-$H$22)/4)+1)))/1000000</f>
        <v>0</v>
      </c>
      <c r="S89" s="120" t="n">
        <f aca="false">S88*CHOOSE(MATCH($C$22,{"H";"B";"N"},0),GPUMW_H*ODc_H,GPUMW_B*ODc_B,GPUMW_N*ODc_N)*ResidUtil*Timeline!S$9*INDEX(Curve,1,MAX(1,MIN(8,INT((S$5-$H$22)/4)+1)))/1000000</f>
        <v>0</v>
      </c>
      <c r="T89" s="120" t="n">
        <f aca="false">T88*CHOOSE(MATCH($C$22,{"H";"B";"N"},0),GPUMW_H*ODc_H,GPUMW_B*ODc_B,GPUMW_N*ODc_N)*ResidUtil*Timeline!T$9*INDEX(Curve,1,MAX(1,MIN(8,INT((T$5-$H$22)/4)+1)))/1000000</f>
        <v>0</v>
      </c>
      <c r="U89" s="120" t="n">
        <f aca="false">U88*CHOOSE(MATCH($C$22,{"H";"B";"N"},0),GPUMW_H*ODc_H,GPUMW_B*ODc_B,GPUMW_N*ODc_N)*ResidUtil*Timeline!U$9*INDEX(Curve,1,MAX(1,MIN(8,INT((U$5-$H$22)/4)+1)))/1000000</f>
        <v>0</v>
      </c>
      <c r="V89" s="120" t="n">
        <f aca="false">V88*CHOOSE(MATCH($C$22,{"H";"B";"N"},0),GPUMW_H*ODc_H,GPUMW_B*ODc_B,GPUMW_N*ODc_N)*ResidUtil*Timeline!V$9*INDEX(Curve,1,MAX(1,MIN(8,INT((V$5-$H$22)/4)+1)))/1000000</f>
        <v>0</v>
      </c>
      <c r="W89" s="120" t="n">
        <f aca="false">W88*CHOOSE(MATCH($C$22,{"H";"B";"N"},0),GPUMW_H*ODc_H,GPUMW_B*ODc_B,GPUMW_N*ODc_N)*ResidUtil*Timeline!W$9*INDEX(Curve,1,MAX(1,MIN(8,INT((W$5-$H$22)/4)+1)))/1000000</f>
        <v>0</v>
      </c>
      <c r="X89" s="120" t="n">
        <f aca="false">X88*CHOOSE(MATCH($C$22,{"H";"B";"N"},0),GPUMW_H*ODc_H,GPUMW_B*ODc_B,GPUMW_N*ODc_N)*ResidUtil*Timeline!X$9*INDEX(Curve,1,MAX(1,MIN(8,INT((X$5-$H$22)/4)+1)))/1000000</f>
        <v>0</v>
      </c>
      <c r="Y89" s="120" t="n">
        <f aca="false">Y88*CHOOSE(MATCH($C$22,{"H";"B";"N"},0),GPUMW_H*ODc_H,GPUMW_B*ODc_B,GPUMW_N*ODc_N)*ResidUtil*Timeline!Y$9*INDEX(Curve,1,MAX(1,MIN(8,INT((Y$5-$H$22)/4)+1)))/1000000</f>
        <v>0</v>
      </c>
      <c r="Z89" s="120" t="n">
        <f aca="false">Z88*CHOOSE(MATCH($C$22,{"H";"B";"N"},0),GPUMW_H*ODc_H,GPUMW_B*ODc_B,GPUMW_N*ODc_N)*ResidUtil*Timeline!Z$9*INDEX(Curve,1,MAX(1,MIN(8,INT((Z$5-$H$22)/4)+1)))/1000000</f>
        <v>0</v>
      </c>
      <c r="AA89" s="120" t="n">
        <f aca="false">AA88*CHOOSE(MATCH($C$22,{"H";"B";"N"},0),GPUMW_H*ODc_H,GPUMW_B*ODc_B,GPUMW_N*ODc_N)*ResidUtil*Timeline!AA$9*INDEX(Curve,1,MAX(1,MIN(8,INT((AA$5-$H$22)/4)+1)))/1000000</f>
        <v>0</v>
      </c>
      <c r="AB89" s="120" t="n">
        <f aca="false">AB88*CHOOSE(MATCH($C$22,{"H";"B";"N"},0),GPUMW_H*ODc_H,GPUMW_B*ODc_B,GPUMW_N*ODc_N)*ResidUtil*Timeline!AB$9*INDEX(Curve,1,MAX(1,MIN(8,INT((AB$5-$H$22)/4)+1)))/1000000</f>
        <v>0</v>
      </c>
      <c r="AC89" s="120" t="n">
        <f aca="false">AC88*CHOOSE(MATCH($C$22,{"H";"B";"N"},0),GPUMW_H*ODc_H,GPUMW_B*ODc_B,GPUMW_N*ODc_N)*ResidUtil*Timeline!AC$9*INDEX(Curve,1,MAX(1,MIN(8,INT((AC$5-$H$22)/4)+1)))/1000000</f>
        <v>0</v>
      </c>
      <c r="AD89" s="120" t="n">
        <f aca="false">AD88*CHOOSE(MATCH($C$22,{"H";"B";"N"},0),GPUMW_H*ODc_H,GPUMW_B*ODc_B,GPUMW_N*ODc_N)*ResidUtil*Timeline!AD$9*INDEX(Curve,1,MAX(1,MIN(8,INT((AD$5-$H$22)/4)+1)))/1000000</f>
        <v>0</v>
      </c>
      <c r="AE89" s="120" t="n">
        <f aca="false">AE88*CHOOSE(MATCH($C$22,{"H";"B";"N"},0),GPUMW_H*ODc_H,GPUMW_B*ODc_B,GPUMW_N*ODc_N)*ResidUtil*Timeline!AE$9*INDEX(Curve,1,MAX(1,MIN(8,INT((AE$5-$H$22)/4)+1)))/1000000</f>
        <v>0</v>
      </c>
      <c r="AF89" s="120" t="n">
        <f aca="false">AF88*CHOOSE(MATCH($C$22,{"H";"B";"N"},0),GPUMW_H*ODc_H,GPUMW_B*ODc_B,GPUMW_N*ODc_N)*ResidUtil*Timeline!AF$9*INDEX(Curve,1,MAX(1,MIN(8,INT((AF$5-$H$22)/4)+1)))/1000000</f>
        <v>0</v>
      </c>
      <c r="AG89" s="120" t="n">
        <f aca="false">AG88*CHOOSE(MATCH($C$22,{"H";"B";"N"},0),GPUMW_H*ODc_H,GPUMW_B*ODc_B,GPUMW_N*ODc_N)*ResidUtil*Timeline!AG$9*INDEX(Curve,1,MAX(1,MIN(8,INT((AG$5-$H$22)/4)+1)))/1000000</f>
        <v>0</v>
      </c>
      <c r="AI89" s="120" t="n">
        <f aca="false">SUMIF($F$7:$AG$7,AI$7,$F89:$AG89)</f>
        <v>0</v>
      </c>
      <c r="AJ89" s="120" t="n">
        <f aca="false">SUMIF($F$7:$AG$7,AJ$7,$F89:$AG89)</f>
        <v>0</v>
      </c>
      <c r="AK89" s="120" t="n">
        <f aca="false">SUMIF($F$7:$AG$7,AK$7,$F89:$AG89)</f>
        <v>0</v>
      </c>
      <c r="AL89" s="120" t="n">
        <f aca="false">SUMIF($F$7:$AG$7,AL$7,$F89:$AG89)</f>
        <v>0</v>
      </c>
      <c r="AM89" s="120" t="n">
        <f aca="false">SUMIF($F$7:$AG$7,AM$7,$F89:$AG89)</f>
        <v>0</v>
      </c>
      <c r="AN89" s="120" t="n">
        <f aca="false">SUMIF($F$7:$AG$7,AN$7,$F89:$AG89)</f>
        <v>0</v>
      </c>
      <c r="AO89" s="120" t="n">
        <f aca="false">SUMIF($F$7:$AG$7,AO$7,$F89:$AG89)</f>
        <v>0</v>
      </c>
    </row>
    <row r="90" customFormat="false" ht="15" hidden="false" customHeight="false" outlineLevel="0" collapsed="false">
      <c r="A90" s="101" t="s">
        <v>1421</v>
      </c>
      <c r="B90" s="18" t="s">
        <v>400</v>
      </c>
      <c r="C90" s="18"/>
      <c r="D90" s="18"/>
      <c r="F90" s="119" t="n">
        <f aca="false">(1-$I$23)*(1-$J$23)*$D$23*$E$23/4*MIN(1,MAX(0,(F$5-$H$23+1)/$T$23))*IF(F$5=$H$23,DelivFactor,IF(AND(F$5&gt;$H$23,F$5&lt;$H$23+$F$23),1,IF(F$5=$H$23+$F$23,1-DelivFactor,0)))</f>
        <v>0</v>
      </c>
      <c r="G90" s="119" t="n">
        <f aca="false">(1-$I$23)*(1-$J$23)*$D$23*$E$23/4*MIN(1,MAX(0,(G$5-$H$23+1)/$T$23))*IF(G$5=$H$23,DelivFactor,IF(AND(G$5&gt;$H$23,G$5&lt;$H$23+$F$23),1,IF(G$5=$H$23+$F$23,1-DelivFactor,0)))</f>
        <v>0</v>
      </c>
      <c r="H90" s="119" t="n">
        <f aca="false">(1-$I$23)*(1-$J$23)*$D$23*$E$23/4*MIN(1,MAX(0,(H$5-$H$23+1)/$T$23))*IF(H$5=$H$23,DelivFactor,IF(AND(H$5&gt;$H$23,H$5&lt;$H$23+$F$23),1,IF(H$5=$H$23+$F$23,1-DelivFactor,0)))</f>
        <v>0</v>
      </c>
      <c r="I90" s="119" t="n">
        <f aca="false">(1-$I$23)*(1-$J$23)*$D$23*$E$23/4*MIN(1,MAX(0,(I$5-$H$23+1)/$T$23))*IF(I$5=$H$23,DelivFactor,IF(AND(I$5&gt;$H$23,I$5&lt;$H$23+$F$23),1,IF(I$5=$H$23+$F$23,1-DelivFactor,0)))</f>
        <v>0</v>
      </c>
      <c r="J90" s="119" t="n">
        <f aca="false">(1-$I$23)*(1-$J$23)*$D$23*$E$23/4*MIN(1,MAX(0,(J$5-$H$23+1)/$T$23))*IF(J$5=$H$23,DelivFactor,IF(AND(J$5&gt;$H$23,J$5&lt;$H$23+$F$23),1,IF(J$5=$H$23+$F$23,1-DelivFactor,0)))</f>
        <v>0</v>
      </c>
      <c r="K90" s="119" t="n">
        <f aca="false">(1-$I$23)*(1-$J$23)*$D$23*$E$23/4*MIN(1,MAX(0,(K$5-$H$23+1)/$T$23))*IF(K$5=$H$23,DelivFactor,IF(AND(K$5&gt;$H$23,K$5&lt;$H$23+$F$23),1,IF(K$5=$H$23+$F$23,1-DelivFactor,0)))</f>
        <v>0</v>
      </c>
      <c r="L90" s="119" t="n">
        <f aca="false">(1-$I$23)*(1-$J$23)*$D$23*$E$23/4*MIN(1,MAX(0,(L$5-$H$23+1)/$T$23))*IF(L$5=$H$23,DelivFactor,IF(AND(L$5&gt;$H$23,L$5&lt;$H$23+$F$23),1,IF(L$5=$H$23+$F$23,1-DelivFactor,0)))</f>
        <v>0</v>
      </c>
      <c r="M90" s="119" t="n">
        <f aca="false">(1-$I$23)*(1-$J$23)*$D$23*$E$23/4*MIN(1,MAX(0,(M$5-$H$23+1)/$T$23))*IF(M$5=$H$23,DelivFactor,IF(AND(M$5&gt;$H$23,M$5&lt;$H$23+$F$23),1,IF(M$5=$H$23+$F$23,1-DelivFactor,0)))</f>
        <v>36.00875</v>
      </c>
      <c r="N90" s="119" t="n">
        <f aca="false">(1-$I$23)*(1-$J$23)*$D$23*$E$23/4*MIN(1,MAX(0,(N$5-$H$23+1)/$T$23))*IF(N$5=$H$23,DelivFactor,IF(AND(N$5&gt;$H$23,N$5&lt;$H$23+$F$23),1,IF(N$5=$H$23+$F$23,1-DelivFactor,0)))</f>
        <v>72.0175</v>
      </c>
      <c r="O90" s="119" t="n">
        <f aca="false">(1-$I$23)*(1-$J$23)*$D$23*$E$23/4*MIN(1,MAX(0,(O$5-$H$23+1)/$T$23))*IF(O$5=$H$23,DelivFactor,IF(AND(O$5&gt;$H$23,O$5&lt;$H$23+$F$23),1,IF(O$5=$H$23+$F$23,1-DelivFactor,0)))</f>
        <v>72.0175</v>
      </c>
      <c r="P90" s="120" t="n">
        <f aca="false">(1-$I$23)*(1-$J$23)*$D$23*$E$23/4*MIN(1,MAX(0,(P$5-$H$23+1)/$T$23))*IF(P$5=$H$23,DelivFactor,IF(AND(P$5&gt;$H$23,P$5&lt;$H$23+$F$23),1,IF(P$5=$H$23+$F$23,1-DelivFactor,0)))</f>
        <v>72.0175</v>
      </c>
      <c r="Q90" s="120" t="n">
        <f aca="false">(1-$I$23)*(1-$J$23)*$D$23*$E$23/4*MIN(1,MAX(0,(Q$5-$H$23+1)/$T$23))*IF(Q$5=$H$23,DelivFactor,IF(AND(Q$5&gt;$H$23,Q$5&lt;$H$23+$F$23),1,IF(Q$5=$H$23+$F$23,1-DelivFactor,0)))</f>
        <v>72.0175</v>
      </c>
      <c r="R90" s="120" t="n">
        <f aca="false">(1-$I$23)*(1-$J$23)*$D$23*$E$23/4*MIN(1,MAX(0,(R$5-$H$23+1)/$T$23))*IF(R$5=$H$23,DelivFactor,IF(AND(R$5&gt;$H$23,R$5&lt;$H$23+$F$23),1,IF(R$5=$H$23+$F$23,1-DelivFactor,0)))</f>
        <v>72.0175</v>
      </c>
      <c r="S90" s="120" t="n">
        <f aca="false">(1-$I$23)*(1-$J$23)*$D$23*$E$23/4*MIN(1,MAX(0,(S$5-$H$23+1)/$T$23))*IF(S$5=$H$23,DelivFactor,IF(AND(S$5&gt;$H$23,S$5&lt;$H$23+$F$23),1,IF(S$5=$H$23+$F$23,1-DelivFactor,0)))</f>
        <v>72.0175</v>
      </c>
      <c r="T90" s="120" t="n">
        <f aca="false">(1-$I$23)*(1-$J$23)*$D$23*$E$23/4*MIN(1,MAX(0,(T$5-$H$23+1)/$T$23))*IF(T$5=$H$23,DelivFactor,IF(AND(T$5&gt;$H$23,T$5&lt;$H$23+$F$23),1,IF(T$5=$H$23+$F$23,1-DelivFactor,0)))</f>
        <v>72.0175</v>
      </c>
      <c r="U90" s="120" t="n">
        <f aca="false">(1-$I$23)*(1-$J$23)*$D$23*$E$23/4*MIN(1,MAX(0,(U$5-$H$23+1)/$T$23))*IF(U$5=$H$23,DelivFactor,IF(AND(U$5&gt;$H$23,U$5&lt;$H$23+$F$23),1,IF(U$5=$H$23+$F$23,1-DelivFactor,0)))</f>
        <v>72.0175</v>
      </c>
      <c r="V90" s="120" t="n">
        <f aca="false">(1-$I$23)*(1-$J$23)*$D$23*$E$23/4*MIN(1,MAX(0,(V$5-$H$23+1)/$T$23))*IF(V$5=$H$23,DelivFactor,IF(AND(V$5&gt;$H$23,V$5&lt;$H$23+$F$23),1,IF(V$5=$H$23+$F$23,1-DelivFactor,0)))</f>
        <v>72.0175</v>
      </c>
      <c r="W90" s="120" t="n">
        <f aca="false">(1-$I$23)*(1-$J$23)*$D$23*$E$23/4*MIN(1,MAX(0,(W$5-$H$23+1)/$T$23))*IF(W$5=$H$23,DelivFactor,IF(AND(W$5&gt;$H$23,W$5&lt;$H$23+$F$23),1,IF(W$5=$H$23+$F$23,1-DelivFactor,0)))</f>
        <v>72.0175</v>
      </c>
      <c r="X90" s="120" t="n">
        <f aca="false">(1-$I$23)*(1-$J$23)*$D$23*$E$23/4*MIN(1,MAX(0,(X$5-$H$23+1)/$T$23))*IF(X$5=$H$23,DelivFactor,IF(AND(X$5&gt;$H$23,X$5&lt;$H$23+$F$23),1,IF(X$5=$H$23+$F$23,1-DelivFactor,0)))</f>
        <v>72.0175</v>
      </c>
      <c r="Y90" s="120" t="n">
        <f aca="false">(1-$I$23)*(1-$J$23)*$D$23*$E$23/4*MIN(1,MAX(0,(Y$5-$H$23+1)/$T$23))*IF(Y$5=$H$23,DelivFactor,IF(AND(Y$5&gt;$H$23,Y$5&lt;$H$23+$F$23),1,IF(Y$5=$H$23+$F$23,1-DelivFactor,0)))</f>
        <v>72.0175</v>
      </c>
      <c r="Z90" s="120" t="n">
        <f aca="false">(1-$I$23)*(1-$J$23)*$D$23*$E$23/4*MIN(1,MAX(0,(Z$5-$H$23+1)/$T$23))*IF(Z$5=$H$23,DelivFactor,IF(AND(Z$5&gt;$H$23,Z$5&lt;$H$23+$F$23),1,IF(Z$5=$H$23+$F$23,1-DelivFactor,0)))</f>
        <v>72.0175</v>
      </c>
      <c r="AA90" s="120" t="n">
        <f aca="false">(1-$I$23)*(1-$J$23)*$D$23*$E$23/4*MIN(1,MAX(0,(AA$5-$H$23+1)/$T$23))*IF(AA$5=$H$23,DelivFactor,IF(AND(AA$5&gt;$H$23,AA$5&lt;$H$23+$F$23),1,IF(AA$5=$H$23+$F$23,1-DelivFactor,0)))</f>
        <v>72.0175</v>
      </c>
      <c r="AB90" s="120" t="n">
        <f aca="false">(1-$I$23)*(1-$J$23)*$D$23*$E$23/4*MIN(1,MAX(0,(AB$5-$H$23+1)/$T$23))*IF(AB$5=$H$23,DelivFactor,IF(AND(AB$5&gt;$H$23,AB$5&lt;$H$23+$F$23),1,IF(AB$5=$H$23+$F$23,1-DelivFactor,0)))</f>
        <v>72.0175</v>
      </c>
      <c r="AC90" s="120" t="n">
        <f aca="false">(1-$I$23)*(1-$J$23)*$D$23*$E$23/4*MIN(1,MAX(0,(AC$5-$H$23+1)/$T$23))*IF(AC$5=$H$23,DelivFactor,IF(AND(AC$5&gt;$H$23,AC$5&lt;$H$23+$F$23),1,IF(AC$5=$H$23+$F$23,1-DelivFactor,0)))</f>
        <v>72.0175</v>
      </c>
      <c r="AD90" s="120" t="n">
        <f aca="false">(1-$I$23)*(1-$J$23)*$D$23*$E$23/4*MIN(1,MAX(0,(AD$5-$H$23+1)/$T$23))*IF(AD$5=$H$23,DelivFactor,IF(AND(AD$5&gt;$H$23,AD$5&lt;$H$23+$F$23),1,IF(AD$5=$H$23+$F$23,1-DelivFactor,0)))</f>
        <v>72.0175</v>
      </c>
      <c r="AE90" s="120" t="n">
        <f aca="false">(1-$I$23)*(1-$J$23)*$D$23*$E$23/4*MIN(1,MAX(0,(AE$5-$H$23+1)/$T$23))*IF(AE$5=$H$23,DelivFactor,IF(AND(AE$5&gt;$H$23,AE$5&lt;$H$23+$F$23),1,IF(AE$5=$H$23+$F$23,1-DelivFactor,0)))</f>
        <v>72.0175</v>
      </c>
      <c r="AF90" s="120" t="n">
        <f aca="false">(1-$I$23)*(1-$J$23)*$D$23*$E$23/4*MIN(1,MAX(0,(AF$5-$H$23+1)/$T$23))*IF(AF$5=$H$23,DelivFactor,IF(AND(AF$5&gt;$H$23,AF$5&lt;$H$23+$F$23),1,IF(AF$5=$H$23+$F$23,1-DelivFactor,0)))</f>
        <v>72.0175</v>
      </c>
      <c r="AG90" s="120" t="n">
        <f aca="false">(1-$I$23)*(1-$J$23)*$D$23*$E$23/4*MIN(1,MAX(0,(AG$5-$H$23+1)/$T$23))*IF(AG$5=$H$23,DelivFactor,IF(AND(AG$5&gt;$H$23,AG$5&lt;$H$23+$F$23),1,IF(AG$5=$H$23+$F$23,1-DelivFactor,0)))</f>
        <v>36.00875</v>
      </c>
      <c r="AI90" s="120" t="n">
        <f aca="false">SUMIF($F$7:$AG$7,AI$7,$F90:$AG90)</f>
        <v>0</v>
      </c>
      <c r="AJ90" s="120" t="n">
        <f aca="false">SUMIF($F$7:$AG$7,AJ$7,$F90:$AG90)</f>
        <v>36.00875</v>
      </c>
      <c r="AK90" s="120" t="n">
        <f aca="false">SUMIF($F$7:$AG$7,AK$7,$F90:$AG90)</f>
        <v>288.07</v>
      </c>
      <c r="AL90" s="120" t="n">
        <f aca="false">SUMIF($F$7:$AG$7,AL$7,$F90:$AG90)</f>
        <v>288.07</v>
      </c>
      <c r="AM90" s="120" t="n">
        <f aca="false">SUMIF($F$7:$AG$7,AM$7,$F90:$AG90)</f>
        <v>288.07</v>
      </c>
      <c r="AN90" s="120" t="n">
        <f aca="false">SUMIF($F$7:$AG$7,AN$7,$F90:$AG90)</f>
        <v>288.07</v>
      </c>
      <c r="AO90" s="120" t="n">
        <f aca="false">SUMIF($F$7:$AG$7,AO$7,$F90:$AG90)</f>
        <v>252.06125</v>
      </c>
    </row>
    <row r="91" customFormat="false" ht="15" hidden="false" customHeight="false" outlineLevel="0" collapsed="false">
      <c r="A91" s="101" t="s">
        <v>1422</v>
      </c>
      <c r="B91" s="18" t="s">
        <v>415</v>
      </c>
      <c r="C91" s="18"/>
      <c r="D91" s="18"/>
      <c r="F91" s="110" t="n">
        <f aca="false">(1-$I$23)*(1-$J$23)*$D$23*AND(F$5&gt;=$H$23,F$5&lt;$H$23+$F$23)</f>
        <v>0</v>
      </c>
      <c r="G91" s="110" t="n">
        <f aca="false">(1-$I$23)*(1-$J$23)*$D$23*AND(G$5&gt;=$H$23,G$5&lt;$H$23+$F$23)</f>
        <v>0</v>
      </c>
      <c r="H91" s="110" t="n">
        <f aca="false">(1-$I$23)*(1-$J$23)*$D$23*AND(H$5&gt;=$H$23,H$5&lt;$H$23+$F$23)</f>
        <v>0</v>
      </c>
      <c r="I91" s="110" t="n">
        <f aca="false">(1-$I$23)*(1-$J$23)*$D$23*AND(I$5&gt;=$H$23,I$5&lt;$H$23+$F$23)</f>
        <v>0</v>
      </c>
      <c r="J91" s="110" t="n">
        <f aca="false">(1-$I$23)*(1-$J$23)*$D$23*AND(J$5&gt;=$H$23,J$5&lt;$H$23+$F$23)</f>
        <v>0</v>
      </c>
      <c r="K91" s="110" t="n">
        <f aca="false">(1-$I$23)*(1-$J$23)*$D$23*AND(K$5&gt;=$H$23,K$5&lt;$H$23+$F$23)</f>
        <v>0</v>
      </c>
      <c r="L91" s="110" t="n">
        <f aca="false">(1-$I$23)*(1-$J$23)*$D$23*AND(L$5&gt;=$H$23,L$5&lt;$H$23+$F$23)</f>
        <v>0</v>
      </c>
      <c r="M91" s="110" t="n">
        <f aca="false">(1-$I$23)*(1-$J$23)*$D$23*AND(M$5&gt;=$H$23,M$5&lt;$H$23+$F$23)</f>
        <v>24.0058333333333</v>
      </c>
      <c r="N91" s="110" t="n">
        <f aca="false">(1-$I$23)*(1-$J$23)*$D$23*AND(N$5&gt;=$H$23,N$5&lt;$H$23+$F$23)</f>
        <v>24.0058333333333</v>
      </c>
      <c r="O91" s="110" t="n">
        <f aca="false">(1-$I$23)*(1-$J$23)*$D$23*AND(O$5&gt;=$H$23,O$5&lt;$H$23+$F$23)</f>
        <v>24.0058333333333</v>
      </c>
      <c r="P91" s="21" t="n">
        <f aca="false">(1-$I$23)*(1-$J$23)*$D$23*AND(P$5&gt;=$H$23,P$5&lt;$H$23+$F$23)</f>
        <v>24.0058333333333</v>
      </c>
      <c r="Q91" s="21" t="n">
        <f aca="false">(1-$I$23)*(1-$J$23)*$D$23*AND(Q$5&gt;=$H$23,Q$5&lt;$H$23+$F$23)</f>
        <v>24.0058333333333</v>
      </c>
      <c r="R91" s="21" t="n">
        <f aca="false">(1-$I$23)*(1-$J$23)*$D$23*AND(R$5&gt;=$H$23,R$5&lt;$H$23+$F$23)</f>
        <v>24.0058333333333</v>
      </c>
      <c r="S91" s="21" t="n">
        <f aca="false">(1-$I$23)*(1-$J$23)*$D$23*AND(S$5&gt;=$H$23,S$5&lt;$H$23+$F$23)</f>
        <v>24.0058333333333</v>
      </c>
      <c r="T91" s="21" t="n">
        <f aca="false">(1-$I$23)*(1-$J$23)*$D$23*AND(T$5&gt;=$H$23,T$5&lt;$H$23+$F$23)</f>
        <v>24.0058333333333</v>
      </c>
      <c r="U91" s="21" t="n">
        <f aca="false">(1-$I$23)*(1-$J$23)*$D$23*AND(U$5&gt;=$H$23,U$5&lt;$H$23+$F$23)</f>
        <v>24.0058333333333</v>
      </c>
      <c r="V91" s="21" t="n">
        <f aca="false">(1-$I$23)*(1-$J$23)*$D$23*AND(V$5&gt;=$H$23,V$5&lt;$H$23+$F$23)</f>
        <v>24.0058333333333</v>
      </c>
      <c r="W91" s="21" t="n">
        <f aca="false">(1-$I$23)*(1-$J$23)*$D$23*AND(W$5&gt;=$H$23,W$5&lt;$H$23+$F$23)</f>
        <v>24.0058333333333</v>
      </c>
      <c r="X91" s="21" t="n">
        <f aca="false">(1-$I$23)*(1-$J$23)*$D$23*AND(X$5&gt;=$H$23,X$5&lt;$H$23+$F$23)</f>
        <v>24.0058333333333</v>
      </c>
      <c r="Y91" s="21" t="n">
        <f aca="false">(1-$I$23)*(1-$J$23)*$D$23*AND(Y$5&gt;=$H$23,Y$5&lt;$H$23+$F$23)</f>
        <v>24.0058333333333</v>
      </c>
      <c r="Z91" s="21" t="n">
        <f aca="false">(1-$I$23)*(1-$J$23)*$D$23*AND(Z$5&gt;=$H$23,Z$5&lt;$H$23+$F$23)</f>
        <v>24.0058333333333</v>
      </c>
      <c r="AA91" s="21" t="n">
        <f aca="false">(1-$I$23)*(1-$J$23)*$D$23*AND(AA$5&gt;=$H$23,AA$5&lt;$H$23+$F$23)</f>
        <v>24.0058333333333</v>
      </c>
      <c r="AB91" s="21" t="n">
        <f aca="false">(1-$I$23)*(1-$J$23)*$D$23*AND(AB$5&gt;=$H$23,AB$5&lt;$H$23+$F$23)</f>
        <v>24.0058333333333</v>
      </c>
      <c r="AC91" s="21" t="n">
        <f aca="false">(1-$I$23)*(1-$J$23)*$D$23*AND(AC$5&gt;=$H$23,AC$5&lt;$H$23+$F$23)</f>
        <v>24.0058333333333</v>
      </c>
      <c r="AD91" s="21" t="n">
        <f aca="false">(1-$I$23)*(1-$J$23)*$D$23*AND(AD$5&gt;=$H$23,AD$5&lt;$H$23+$F$23)</f>
        <v>24.0058333333333</v>
      </c>
      <c r="AE91" s="21" t="n">
        <f aca="false">(1-$I$23)*(1-$J$23)*$D$23*AND(AE$5&gt;=$H$23,AE$5&lt;$H$23+$F$23)</f>
        <v>24.0058333333333</v>
      </c>
      <c r="AF91" s="21" t="n">
        <f aca="false">(1-$I$23)*(1-$J$23)*$D$23*AND(AF$5&gt;=$H$23,AF$5&lt;$H$23+$F$23)</f>
        <v>24.0058333333333</v>
      </c>
      <c r="AG91" s="21" t="n">
        <f aca="false">(1-$I$23)*(1-$J$23)*$D$23*AND(AG$5&gt;=$H$23,AG$5&lt;$H$23+$F$23)</f>
        <v>0</v>
      </c>
      <c r="AI91" s="21" t="n">
        <f aca="false">INDEX($F91:$AG91,1,MATCH(AI$7,$F$7:$AG$7,1))</f>
        <v>0</v>
      </c>
      <c r="AJ91" s="21" t="n">
        <f aca="false">INDEX($F91:$AG91,1,MATCH(AJ$7,$F$7:$AG$7,1))</f>
        <v>24.0058333333333</v>
      </c>
      <c r="AK91" s="21" t="n">
        <f aca="false">INDEX($F91:$AG91,1,MATCH(AK$7,$F$7:$AG$7,1))</f>
        <v>24.0058333333333</v>
      </c>
      <c r="AL91" s="21" t="n">
        <f aca="false">INDEX($F91:$AG91,1,MATCH(AL$7,$F$7:$AG$7,1))</f>
        <v>24.0058333333333</v>
      </c>
      <c r="AM91" s="21" t="n">
        <f aca="false">INDEX($F91:$AG91,1,MATCH(AM$7,$F$7:$AG$7,1))</f>
        <v>24.0058333333333</v>
      </c>
      <c r="AN91" s="21" t="n">
        <f aca="false">INDEX($F91:$AG91,1,MATCH(AN$7,$F$7:$AG$7,1))</f>
        <v>24.0058333333333</v>
      </c>
      <c r="AO91" s="21" t="n">
        <f aca="false">INDEX($F91:$AG91,1,MATCH(AO$7,$F$7:$AG$7,1))</f>
        <v>0</v>
      </c>
    </row>
    <row r="92" customFormat="false" ht="15" hidden="false" customHeight="false" outlineLevel="0" collapsed="false">
      <c r="A92" s="101" t="s">
        <v>1423</v>
      </c>
      <c r="B92" s="18" t="s">
        <v>400</v>
      </c>
      <c r="C92" s="18"/>
      <c r="D92" s="18"/>
      <c r="F92" s="119" t="n">
        <f aca="false">-(1-$I$23)*LD_Pct*$D$23*$E$23/4*AND(F$5&gt;=$G$23,F$5&lt;$H$23)</f>
        <v>-0</v>
      </c>
      <c r="G92" s="119" t="n">
        <f aca="false">-(1-$I$23)*LD_Pct*$D$23*$E$23/4*AND(G$5&gt;=$G$23,G$5&lt;$H$23)</f>
        <v>-0</v>
      </c>
      <c r="H92" s="119" t="n">
        <f aca="false">-(1-$I$23)*LD_Pct*$D$23*$E$23/4*AND(H$5&gt;=$G$23,H$5&lt;$H$23)</f>
        <v>-0</v>
      </c>
      <c r="I92" s="119" t="n">
        <f aca="false">-(1-$I$23)*LD_Pct*$D$23*$E$23/4*AND(I$5&gt;=$G$23,I$5&lt;$H$23)</f>
        <v>-0</v>
      </c>
      <c r="J92" s="119" t="n">
        <f aca="false">-(1-$I$23)*LD_Pct*$D$23*$E$23/4*AND(J$5&gt;=$G$23,J$5&lt;$H$23)</f>
        <v>-0</v>
      </c>
      <c r="K92" s="119" t="n">
        <f aca="false">-(1-$I$23)*LD_Pct*$D$23*$E$23/4*AND(K$5&gt;=$G$23,K$5&lt;$H$23)</f>
        <v>-0</v>
      </c>
      <c r="L92" s="119" t="n">
        <f aca="false">-(1-$I$23)*LD_Pct*$D$23*$E$23/4*AND(L$5&gt;=$G$23,L$5&lt;$H$23)</f>
        <v>-0</v>
      </c>
      <c r="M92" s="119" t="n">
        <f aca="false">-(1-$I$23)*LD_Pct*$D$23*$E$23/4*AND(M$5&gt;=$G$23,M$5&lt;$H$23)</f>
        <v>-0</v>
      </c>
      <c r="N92" s="119" t="n">
        <f aca="false">-(1-$I$23)*LD_Pct*$D$23*$E$23/4*AND(N$5&gt;=$G$23,N$5&lt;$H$23)</f>
        <v>-0</v>
      </c>
      <c r="O92" s="119" t="n">
        <f aca="false">-(1-$I$23)*LD_Pct*$D$23*$E$23/4*AND(O$5&gt;=$G$23,O$5&lt;$H$23)</f>
        <v>-0</v>
      </c>
      <c r="P92" s="120" t="n">
        <f aca="false">-(1-$I$23)*LD_Pct*$D$23*$E$23/4*AND(P$5&gt;=$G$23,P$5&lt;$H$23)</f>
        <v>-0</v>
      </c>
      <c r="Q92" s="120" t="n">
        <f aca="false">-(1-$I$23)*LD_Pct*$D$23*$E$23/4*AND(Q$5&gt;=$G$23,Q$5&lt;$H$23)</f>
        <v>-0</v>
      </c>
      <c r="R92" s="120" t="n">
        <f aca="false">-(1-$I$23)*LD_Pct*$D$23*$E$23/4*AND(R$5&gt;=$G$23,R$5&lt;$H$23)</f>
        <v>-0</v>
      </c>
      <c r="S92" s="120" t="n">
        <f aca="false">-(1-$I$23)*LD_Pct*$D$23*$E$23/4*AND(S$5&gt;=$G$23,S$5&lt;$H$23)</f>
        <v>-0</v>
      </c>
      <c r="T92" s="120" t="n">
        <f aca="false">-(1-$I$23)*LD_Pct*$D$23*$E$23/4*AND(T$5&gt;=$G$23,T$5&lt;$H$23)</f>
        <v>-0</v>
      </c>
      <c r="U92" s="120" t="n">
        <f aca="false">-(1-$I$23)*LD_Pct*$D$23*$E$23/4*AND(U$5&gt;=$G$23,U$5&lt;$H$23)</f>
        <v>-0</v>
      </c>
      <c r="V92" s="120" t="n">
        <f aca="false">-(1-$I$23)*LD_Pct*$D$23*$E$23/4*AND(V$5&gt;=$G$23,V$5&lt;$H$23)</f>
        <v>-0</v>
      </c>
      <c r="W92" s="120" t="n">
        <f aca="false">-(1-$I$23)*LD_Pct*$D$23*$E$23/4*AND(W$5&gt;=$G$23,W$5&lt;$H$23)</f>
        <v>-0</v>
      </c>
      <c r="X92" s="120" t="n">
        <f aca="false">-(1-$I$23)*LD_Pct*$D$23*$E$23/4*AND(X$5&gt;=$G$23,X$5&lt;$H$23)</f>
        <v>-0</v>
      </c>
      <c r="Y92" s="120" t="n">
        <f aca="false">-(1-$I$23)*LD_Pct*$D$23*$E$23/4*AND(Y$5&gt;=$G$23,Y$5&lt;$H$23)</f>
        <v>-0</v>
      </c>
      <c r="Z92" s="120" t="n">
        <f aca="false">-(1-$I$23)*LD_Pct*$D$23*$E$23/4*AND(Z$5&gt;=$G$23,Z$5&lt;$H$23)</f>
        <v>-0</v>
      </c>
      <c r="AA92" s="120" t="n">
        <f aca="false">-(1-$I$23)*LD_Pct*$D$23*$E$23/4*AND(AA$5&gt;=$G$23,AA$5&lt;$H$23)</f>
        <v>-0</v>
      </c>
      <c r="AB92" s="120" t="n">
        <f aca="false">-(1-$I$23)*LD_Pct*$D$23*$E$23/4*AND(AB$5&gt;=$G$23,AB$5&lt;$H$23)</f>
        <v>-0</v>
      </c>
      <c r="AC92" s="120" t="n">
        <f aca="false">-(1-$I$23)*LD_Pct*$D$23*$E$23/4*AND(AC$5&gt;=$G$23,AC$5&lt;$H$23)</f>
        <v>-0</v>
      </c>
      <c r="AD92" s="120" t="n">
        <f aca="false">-(1-$I$23)*LD_Pct*$D$23*$E$23/4*AND(AD$5&gt;=$G$23,AD$5&lt;$H$23)</f>
        <v>-0</v>
      </c>
      <c r="AE92" s="120" t="n">
        <f aca="false">-(1-$I$23)*LD_Pct*$D$23*$E$23/4*AND(AE$5&gt;=$G$23,AE$5&lt;$H$23)</f>
        <v>-0</v>
      </c>
      <c r="AF92" s="120" t="n">
        <f aca="false">-(1-$I$23)*LD_Pct*$D$23*$E$23/4*AND(AF$5&gt;=$G$23,AF$5&lt;$H$23)</f>
        <v>-0</v>
      </c>
      <c r="AG92" s="120" t="n">
        <f aca="false">-(1-$I$23)*LD_Pct*$D$23*$E$23/4*AND(AG$5&gt;=$G$23,AG$5&lt;$H$23)</f>
        <v>-0</v>
      </c>
      <c r="AI92" s="120" t="n">
        <f aca="false">SUMIF($F$7:$AG$7,AI$7,$F92:$AG92)</f>
        <v>0</v>
      </c>
      <c r="AJ92" s="120" t="n">
        <f aca="false">SUMIF($F$7:$AG$7,AJ$7,$F92:$AG92)</f>
        <v>0</v>
      </c>
      <c r="AK92" s="120" t="n">
        <f aca="false">SUMIF($F$7:$AG$7,AK$7,$F92:$AG92)</f>
        <v>0</v>
      </c>
      <c r="AL92" s="120" t="n">
        <f aca="false">SUMIF($F$7:$AG$7,AL$7,$F92:$AG92)</f>
        <v>0</v>
      </c>
      <c r="AM92" s="120" t="n">
        <f aca="false">SUMIF($F$7:$AG$7,AM$7,$F92:$AG92)</f>
        <v>0</v>
      </c>
      <c r="AN92" s="120" t="n">
        <f aca="false">SUMIF($F$7:$AG$7,AN$7,$F92:$AG92)</f>
        <v>0</v>
      </c>
      <c r="AO92" s="120" t="n">
        <f aca="false">SUMIF($F$7:$AG$7,AO$7,$F92:$AG92)</f>
        <v>0</v>
      </c>
    </row>
    <row r="93" customFormat="false" ht="15" hidden="false" customHeight="false" outlineLevel="0" collapsed="false">
      <c r="A93" s="101" t="s">
        <v>1424</v>
      </c>
      <c r="B93" s="18" t="s">
        <v>415</v>
      </c>
      <c r="C93" s="18"/>
      <c r="D93" s="18"/>
      <c r="F93" s="110" t="n">
        <f aca="false">(1-$I$23)*(1-$J$23)*$D$23*(F$5&gt;=$H$23+$F$23)</f>
        <v>0</v>
      </c>
      <c r="G93" s="110" t="n">
        <f aca="false">(1-$I$23)*(1-$J$23)*$D$23*(G$5&gt;=$H$23+$F$23)</f>
        <v>0</v>
      </c>
      <c r="H93" s="110" t="n">
        <f aca="false">(1-$I$23)*(1-$J$23)*$D$23*(H$5&gt;=$H$23+$F$23)</f>
        <v>0</v>
      </c>
      <c r="I93" s="110" t="n">
        <f aca="false">(1-$I$23)*(1-$J$23)*$D$23*(I$5&gt;=$H$23+$F$23)</f>
        <v>0</v>
      </c>
      <c r="J93" s="110" t="n">
        <f aca="false">(1-$I$23)*(1-$J$23)*$D$23*(J$5&gt;=$H$23+$F$23)</f>
        <v>0</v>
      </c>
      <c r="K93" s="110" t="n">
        <f aca="false">(1-$I$23)*(1-$J$23)*$D$23*(K$5&gt;=$H$23+$F$23)</f>
        <v>0</v>
      </c>
      <c r="L93" s="110" t="n">
        <f aca="false">(1-$I$23)*(1-$J$23)*$D$23*(L$5&gt;=$H$23+$F$23)</f>
        <v>0</v>
      </c>
      <c r="M93" s="110" t="n">
        <f aca="false">(1-$I$23)*(1-$J$23)*$D$23*(M$5&gt;=$H$23+$F$23)</f>
        <v>0</v>
      </c>
      <c r="N93" s="110" t="n">
        <f aca="false">(1-$I$23)*(1-$J$23)*$D$23*(N$5&gt;=$H$23+$F$23)</f>
        <v>0</v>
      </c>
      <c r="O93" s="110" t="n">
        <f aca="false">(1-$I$23)*(1-$J$23)*$D$23*(O$5&gt;=$H$23+$F$23)</f>
        <v>0</v>
      </c>
      <c r="P93" s="21" t="n">
        <f aca="false">(1-$I$23)*(1-$J$23)*$D$23*(P$5&gt;=$H$23+$F$23)</f>
        <v>0</v>
      </c>
      <c r="Q93" s="21" t="n">
        <f aca="false">(1-$I$23)*(1-$J$23)*$D$23*(Q$5&gt;=$H$23+$F$23)</f>
        <v>0</v>
      </c>
      <c r="R93" s="21" t="n">
        <f aca="false">(1-$I$23)*(1-$J$23)*$D$23*(R$5&gt;=$H$23+$F$23)</f>
        <v>0</v>
      </c>
      <c r="S93" s="21" t="n">
        <f aca="false">(1-$I$23)*(1-$J$23)*$D$23*(S$5&gt;=$H$23+$F$23)</f>
        <v>0</v>
      </c>
      <c r="T93" s="21" t="n">
        <f aca="false">(1-$I$23)*(1-$J$23)*$D$23*(T$5&gt;=$H$23+$F$23)</f>
        <v>0</v>
      </c>
      <c r="U93" s="21" t="n">
        <f aca="false">(1-$I$23)*(1-$J$23)*$D$23*(U$5&gt;=$H$23+$F$23)</f>
        <v>0</v>
      </c>
      <c r="V93" s="21" t="n">
        <f aca="false">(1-$I$23)*(1-$J$23)*$D$23*(V$5&gt;=$H$23+$F$23)</f>
        <v>0</v>
      </c>
      <c r="W93" s="21" t="n">
        <f aca="false">(1-$I$23)*(1-$J$23)*$D$23*(W$5&gt;=$H$23+$F$23)</f>
        <v>0</v>
      </c>
      <c r="X93" s="21" t="n">
        <f aca="false">(1-$I$23)*(1-$J$23)*$D$23*(X$5&gt;=$H$23+$F$23)</f>
        <v>0</v>
      </c>
      <c r="Y93" s="21" t="n">
        <f aca="false">(1-$I$23)*(1-$J$23)*$D$23*(Y$5&gt;=$H$23+$F$23)</f>
        <v>0</v>
      </c>
      <c r="Z93" s="21" t="n">
        <f aca="false">(1-$I$23)*(1-$J$23)*$D$23*(Z$5&gt;=$H$23+$F$23)</f>
        <v>0</v>
      </c>
      <c r="AA93" s="21" t="n">
        <f aca="false">(1-$I$23)*(1-$J$23)*$D$23*(AA$5&gt;=$H$23+$F$23)</f>
        <v>0</v>
      </c>
      <c r="AB93" s="21" t="n">
        <f aca="false">(1-$I$23)*(1-$J$23)*$D$23*(AB$5&gt;=$H$23+$F$23)</f>
        <v>0</v>
      </c>
      <c r="AC93" s="21" t="n">
        <f aca="false">(1-$I$23)*(1-$J$23)*$D$23*(AC$5&gt;=$H$23+$F$23)</f>
        <v>0</v>
      </c>
      <c r="AD93" s="21" t="n">
        <f aca="false">(1-$I$23)*(1-$J$23)*$D$23*(AD$5&gt;=$H$23+$F$23)</f>
        <v>0</v>
      </c>
      <c r="AE93" s="21" t="n">
        <f aca="false">(1-$I$23)*(1-$J$23)*$D$23*(AE$5&gt;=$H$23+$F$23)</f>
        <v>0</v>
      </c>
      <c r="AF93" s="21" t="n">
        <f aca="false">(1-$I$23)*(1-$J$23)*$D$23*(AF$5&gt;=$H$23+$F$23)</f>
        <v>0</v>
      </c>
      <c r="AG93" s="21" t="n">
        <f aca="false">(1-$I$23)*(1-$J$23)*$D$23*(AG$5&gt;=$H$23+$F$23)</f>
        <v>24.0058333333333</v>
      </c>
      <c r="AI93" s="21" t="n">
        <f aca="false">INDEX($F93:$AG93,1,MATCH(AI$7,$F$7:$AG$7,1))</f>
        <v>0</v>
      </c>
      <c r="AJ93" s="21" t="n">
        <f aca="false">INDEX($F93:$AG93,1,MATCH(AJ$7,$F$7:$AG$7,1))</f>
        <v>0</v>
      </c>
      <c r="AK93" s="21" t="n">
        <f aca="false">INDEX($F93:$AG93,1,MATCH(AK$7,$F$7:$AG$7,1))</f>
        <v>0</v>
      </c>
      <c r="AL93" s="21" t="n">
        <f aca="false">INDEX($F93:$AG93,1,MATCH(AL$7,$F$7:$AG$7,1))</f>
        <v>0</v>
      </c>
      <c r="AM93" s="21" t="n">
        <f aca="false">INDEX($F93:$AG93,1,MATCH(AM$7,$F$7:$AG$7,1))</f>
        <v>0</v>
      </c>
      <c r="AN93" s="21" t="n">
        <f aca="false">INDEX($F93:$AG93,1,MATCH(AN$7,$F$7:$AG$7,1))</f>
        <v>0</v>
      </c>
      <c r="AO93" s="21" t="n">
        <f aca="false">INDEX($F93:$AG93,1,MATCH(AO$7,$F$7:$AG$7,1))</f>
        <v>24.0058333333333</v>
      </c>
    </row>
    <row r="94" customFormat="false" ht="15" hidden="false" customHeight="false" outlineLevel="0" collapsed="false">
      <c r="A94" s="101" t="s">
        <v>1425</v>
      </c>
      <c r="B94" s="18" t="s">
        <v>400</v>
      </c>
      <c r="C94" s="18"/>
      <c r="D94" s="18" t="s">
        <v>1370</v>
      </c>
      <c r="F94" s="119" t="n">
        <f aca="false">F93*CHOOSE(MATCH($C$23,{"H";"B";"N"},0),GPUMW_H*ODc_H,GPUMW_B*ODc_B,GPUMW_N*ODc_N)*ResidUtil*Timeline!F$9*INDEX(Curve,1,MAX(1,MIN(8,INT((F$5-$H$23)/4)+1)))/1000000</f>
        <v>0</v>
      </c>
      <c r="G94" s="119" t="n">
        <f aca="false">G93*CHOOSE(MATCH($C$23,{"H";"B";"N"},0),GPUMW_H*ODc_H,GPUMW_B*ODc_B,GPUMW_N*ODc_N)*ResidUtil*Timeline!G$9*INDEX(Curve,1,MAX(1,MIN(8,INT((G$5-$H$23)/4)+1)))/1000000</f>
        <v>0</v>
      </c>
      <c r="H94" s="119" t="n">
        <f aca="false">H93*CHOOSE(MATCH($C$23,{"H";"B";"N"},0),GPUMW_H*ODc_H,GPUMW_B*ODc_B,GPUMW_N*ODc_N)*ResidUtil*Timeline!H$9*INDEX(Curve,1,MAX(1,MIN(8,INT((H$5-$H$23)/4)+1)))/1000000</f>
        <v>0</v>
      </c>
      <c r="I94" s="119" t="n">
        <f aca="false">I93*CHOOSE(MATCH($C$23,{"H";"B";"N"},0),GPUMW_H*ODc_H,GPUMW_B*ODc_B,GPUMW_N*ODc_N)*ResidUtil*Timeline!I$9*INDEX(Curve,1,MAX(1,MIN(8,INT((I$5-$H$23)/4)+1)))/1000000</f>
        <v>0</v>
      </c>
      <c r="J94" s="119" t="n">
        <f aca="false">J93*CHOOSE(MATCH($C$23,{"H";"B";"N"},0),GPUMW_H*ODc_H,GPUMW_B*ODc_B,GPUMW_N*ODc_N)*ResidUtil*Timeline!J$9*INDEX(Curve,1,MAX(1,MIN(8,INT((J$5-$H$23)/4)+1)))/1000000</f>
        <v>0</v>
      </c>
      <c r="K94" s="119" t="n">
        <f aca="false">K93*CHOOSE(MATCH($C$23,{"H";"B";"N"},0),GPUMW_H*ODc_H,GPUMW_B*ODc_B,GPUMW_N*ODc_N)*ResidUtil*Timeline!K$9*INDEX(Curve,1,MAX(1,MIN(8,INT((K$5-$H$23)/4)+1)))/1000000</f>
        <v>0</v>
      </c>
      <c r="L94" s="119" t="n">
        <f aca="false">L93*CHOOSE(MATCH($C$23,{"H";"B";"N"},0),GPUMW_H*ODc_H,GPUMW_B*ODc_B,GPUMW_N*ODc_N)*ResidUtil*Timeline!L$9*INDEX(Curve,1,MAX(1,MIN(8,INT((L$5-$H$23)/4)+1)))/1000000</f>
        <v>0</v>
      </c>
      <c r="M94" s="119" t="n">
        <f aca="false">M93*CHOOSE(MATCH($C$23,{"H";"B";"N"},0),GPUMW_H*ODc_H,GPUMW_B*ODc_B,GPUMW_N*ODc_N)*ResidUtil*Timeline!M$9*INDEX(Curve,1,MAX(1,MIN(8,INT((M$5-$H$23)/4)+1)))/1000000</f>
        <v>0</v>
      </c>
      <c r="N94" s="119" t="n">
        <f aca="false">N93*CHOOSE(MATCH($C$23,{"H";"B";"N"},0),GPUMW_H*ODc_H,GPUMW_B*ODc_B,GPUMW_N*ODc_N)*ResidUtil*Timeline!N$9*INDEX(Curve,1,MAX(1,MIN(8,INT((N$5-$H$23)/4)+1)))/1000000</f>
        <v>0</v>
      </c>
      <c r="O94" s="119" t="n">
        <f aca="false">O93*CHOOSE(MATCH($C$23,{"H";"B";"N"},0),GPUMW_H*ODc_H,GPUMW_B*ODc_B,GPUMW_N*ODc_N)*ResidUtil*Timeline!O$9*INDEX(Curve,1,MAX(1,MIN(8,INT((O$5-$H$23)/4)+1)))/1000000</f>
        <v>0</v>
      </c>
      <c r="P94" s="120" t="n">
        <f aca="false">P93*CHOOSE(MATCH($C$23,{"H";"B";"N"},0),GPUMW_H*ODc_H,GPUMW_B*ODc_B,GPUMW_N*ODc_N)*ResidUtil*Timeline!P$9*INDEX(Curve,1,MAX(1,MIN(8,INT((P$5-$H$23)/4)+1)))/1000000</f>
        <v>0</v>
      </c>
      <c r="Q94" s="120" t="n">
        <f aca="false">Q93*CHOOSE(MATCH($C$23,{"H";"B";"N"},0),GPUMW_H*ODc_H,GPUMW_B*ODc_B,GPUMW_N*ODc_N)*ResidUtil*Timeline!Q$9*INDEX(Curve,1,MAX(1,MIN(8,INT((Q$5-$H$23)/4)+1)))/1000000</f>
        <v>0</v>
      </c>
      <c r="R94" s="120" t="n">
        <f aca="false">R93*CHOOSE(MATCH($C$23,{"H";"B";"N"},0),GPUMW_H*ODc_H,GPUMW_B*ODc_B,GPUMW_N*ODc_N)*ResidUtil*Timeline!R$9*INDEX(Curve,1,MAX(1,MIN(8,INT((R$5-$H$23)/4)+1)))/1000000</f>
        <v>0</v>
      </c>
      <c r="S94" s="120" t="n">
        <f aca="false">S93*CHOOSE(MATCH($C$23,{"H";"B";"N"},0),GPUMW_H*ODc_H,GPUMW_B*ODc_B,GPUMW_N*ODc_N)*ResidUtil*Timeline!S$9*INDEX(Curve,1,MAX(1,MIN(8,INT((S$5-$H$23)/4)+1)))/1000000</f>
        <v>0</v>
      </c>
      <c r="T94" s="120" t="n">
        <f aca="false">T93*CHOOSE(MATCH($C$23,{"H";"B";"N"},0),GPUMW_H*ODc_H,GPUMW_B*ODc_B,GPUMW_N*ODc_N)*ResidUtil*Timeline!T$9*INDEX(Curve,1,MAX(1,MIN(8,INT((T$5-$H$23)/4)+1)))/1000000</f>
        <v>0</v>
      </c>
      <c r="U94" s="120" t="n">
        <f aca="false">U93*CHOOSE(MATCH($C$23,{"H";"B";"N"},0),GPUMW_H*ODc_H,GPUMW_B*ODc_B,GPUMW_N*ODc_N)*ResidUtil*Timeline!U$9*INDEX(Curve,1,MAX(1,MIN(8,INT((U$5-$H$23)/4)+1)))/1000000</f>
        <v>0</v>
      </c>
      <c r="V94" s="120" t="n">
        <f aca="false">V93*CHOOSE(MATCH($C$23,{"H";"B";"N"},0),GPUMW_H*ODc_H,GPUMW_B*ODc_B,GPUMW_N*ODc_N)*ResidUtil*Timeline!V$9*INDEX(Curve,1,MAX(1,MIN(8,INT((V$5-$H$23)/4)+1)))/1000000</f>
        <v>0</v>
      </c>
      <c r="W94" s="120" t="n">
        <f aca="false">W93*CHOOSE(MATCH($C$23,{"H";"B";"N"},0),GPUMW_H*ODc_H,GPUMW_B*ODc_B,GPUMW_N*ODc_N)*ResidUtil*Timeline!W$9*INDEX(Curve,1,MAX(1,MIN(8,INT((W$5-$H$23)/4)+1)))/1000000</f>
        <v>0</v>
      </c>
      <c r="X94" s="120" t="n">
        <f aca="false">X93*CHOOSE(MATCH($C$23,{"H";"B";"N"},0),GPUMW_H*ODc_H,GPUMW_B*ODc_B,GPUMW_N*ODc_N)*ResidUtil*Timeline!X$9*INDEX(Curve,1,MAX(1,MIN(8,INT((X$5-$H$23)/4)+1)))/1000000</f>
        <v>0</v>
      </c>
      <c r="Y94" s="120" t="n">
        <f aca="false">Y93*CHOOSE(MATCH($C$23,{"H";"B";"N"},0),GPUMW_H*ODc_H,GPUMW_B*ODc_B,GPUMW_N*ODc_N)*ResidUtil*Timeline!Y$9*INDEX(Curve,1,MAX(1,MIN(8,INT((Y$5-$H$23)/4)+1)))/1000000</f>
        <v>0</v>
      </c>
      <c r="Z94" s="120" t="n">
        <f aca="false">Z93*CHOOSE(MATCH($C$23,{"H";"B";"N"},0),GPUMW_H*ODc_H,GPUMW_B*ODc_B,GPUMW_N*ODc_N)*ResidUtil*Timeline!Z$9*INDEX(Curve,1,MAX(1,MIN(8,INT((Z$5-$H$23)/4)+1)))/1000000</f>
        <v>0</v>
      </c>
      <c r="AA94" s="120" t="n">
        <f aca="false">AA93*CHOOSE(MATCH($C$23,{"H";"B";"N"},0),GPUMW_H*ODc_H,GPUMW_B*ODc_B,GPUMW_N*ODc_N)*ResidUtil*Timeline!AA$9*INDEX(Curve,1,MAX(1,MIN(8,INT((AA$5-$H$23)/4)+1)))/1000000</f>
        <v>0</v>
      </c>
      <c r="AB94" s="120" t="n">
        <f aca="false">AB93*CHOOSE(MATCH($C$23,{"H";"B";"N"},0),GPUMW_H*ODc_H,GPUMW_B*ODc_B,GPUMW_N*ODc_N)*ResidUtil*Timeline!AB$9*INDEX(Curve,1,MAX(1,MIN(8,INT((AB$5-$H$23)/4)+1)))/1000000</f>
        <v>0</v>
      </c>
      <c r="AC94" s="120" t="n">
        <f aca="false">AC93*CHOOSE(MATCH($C$23,{"H";"B";"N"},0),GPUMW_H*ODc_H,GPUMW_B*ODc_B,GPUMW_N*ODc_N)*ResidUtil*Timeline!AC$9*INDEX(Curve,1,MAX(1,MIN(8,INT((AC$5-$H$23)/4)+1)))/1000000</f>
        <v>0</v>
      </c>
      <c r="AD94" s="120" t="n">
        <f aca="false">AD93*CHOOSE(MATCH($C$23,{"H";"B";"N"},0),GPUMW_H*ODc_H,GPUMW_B*ODc_B,GPUMW_N*ODc_N)*ResidUtil*Timeline!AD$9*INDEX(Curve,1,MAX(1,MIN(8,INT((AD$5-$H$23)/4)+1)))/1000000</f>
        <v>0</v>
      </c>
      <c r="AE94" s="120" t="n">
        <f aca="false">AE93*CHOOSE(MATCH($C$23,{"H";"B";"N"},0),GPUMW_H*ODc_H,GPUMW_B*ODc_B,GPUMW_N*ODc_N)*ResidUtil*Timeline!AE$9*INDEX(Curve,1,MAX(1,MIN(8,INT((AE$5-$H$23)/4)+1)))/1000000</f>
        <v>0</v>
      </c>
      <c r="AF94" s="120" t="n">
        <f aca="false">AF93*CHOOSE(MATCH($C$23,{"H";"B";"N"},0),GPUMW_H*ODc_H,GPUMW_B*ODc_B,GPUMW_N*ODc_N)*ResidUtil*Timeline!AF$9*INDEX(Curve,1,MAX(1,MIN(8,INT((AF$5-$H$23)/4)+1)))/1000000</f>
        <v>0</v>
      </c>
      <c r="AG94" s="120" t="n">
        <f aca="false">AG93*CHOOSE(MATCH($C$23,{"H";"B";"N"},0),GPUMW_H*ODc_H,GPUMW_B*ODc_B,GPUMW_N*ODc_N)*ResidUtil*Timeline!AG$9*INDEX(Curve,1,MAX(1,MIN(8,INT((AG$5-$H$23)/4)+1)))/1000000</f>
        <v>97.5412365785</v>
      </c>
      <c r="AI94" s="120" t="n">
        <f aca="false">SUMIF($F$7:$AG$7,AI$7,$F94:$AG94)</f>
        <v>0</v>
      </c>
      <c r="AJ94" s="120" t="n">
        <f aca="false">SUMIF($F$7:$AG$7,AJ$7,$F94:$AG94)</f>
        <v>0</v>
      </c>
      <c r="AK94" s="120" t="n">
        <f aca="false">SUMIF($F$7:$AG$7,AK$7,$F94:$AG94)</f>
        <v>0</v>
      </c>
      <c r="AL94" s="120" t="n">
        <f aca="false">SUMIF($F$7:$AG$7,AL$7,$F94:$AG94)</f>
        <v>0</v>
      </c>
      <c r="AM94" s="120" t="n">
        <f aca="false">SUMIF($F$7:$AG$7,AM$7,$F94:$AG94)</f>
        <v>0</v>
      </c>
      <c r="AN94" s="120" t="n">
        <f aca="false">SUMIF($F$7:$AG$7,AN$7,$F94:$AG94)</f>
        <v>0</v>
      </c>
      <c r="AO94" s="120" t="n">
        <f aca="false">SUMIF($F$7:$AG$7,AO$7,$F94:$AG94)</f>
        <v>97.5412365785</v>
      </c>
    </row>
    <row r="95" customFormat="false" ht="15" hidden="false" customHeight="false" outlineLevel="0" collapsed="false">
      <c r="A95" s="101" t="s">
        <v>1426</v>
      </c>
      <c r="B95" s="18" t="s">
        <v>400</v>
      </c>
      <c r="C95" s="18"/>
      <c r="D95" s="18"/>
      <c r="F95" s="119" t="n">
        <f aca="false">(1-$I$24)*(1-$J$24)*$D$24*$E$24/4*MIN(1,MAX(0,(F$5-$H$24+1)/$T$24))*IF(F$5=$H$24,DelivFactor,IF(AND(F$5&gt;$H$24,F$5&lt;$H$24+$F$24),1,IF(F$5=$H$24+$F$24,1-DelivFactor,0)))</f>
        <v>0</v>
      </c>
      <c r="G95" s="119" t="n">
        <f aca="false">(1-$I$24)*(1-$J$24)*$D$24*$E$24/4*MIN(1,MAX(0,(G$5-$H$24+1)/$T$24))*IF(G$5=$H$24,DelivFactor,IF(AND(G$5&gt;$H$24,G$5&lt;$H$24+$F$24),1,IF(G$5=$H$24+$F$24,1-DelivFactor,0)))</f>
        <v>0</v>
      </c>
      <c r="H95" s="119" t="n">
        <f aca="false">(1-$I$24)*(1-$J$24)*$D$24*$E$24/4*MIN(1,MAX(0,(H$5-$H$24+1)/$T$24))*IF(H$5=$H$24,DelivFactor,IF(AND(H$5&gt;$H$24,H$5&lt;$H$24+$F$24),1,IF(H$5=$H$24+$F$24,1-DelivFactor,0)))</f>
        <v>0</v>
      </c>
      <c r="I95" s="119" t="n">
        <f aca="false">(1-$I$24)*(1-$J$24)*$D$24*$E$24/4*MIN(1,MAX(0,(I$5-$H$24+1)/$T$24))*IF(I$5=$H$24,DelivFactor,IF(AND(I$5&gt;$H$24,I$5&lt;$H$24+$F$24),1,IF(I$5=$H$24+$F$24,1-DelivFactor,0)))</f>
        <v>0</v>
      </c>
      <c r="J95" s="119" t="n">
        <f aca="false">(1-$I$24)*(1-$J$24)*$D$24*$E$24/4*MIN(1,MAX(0,(J$5-$H$24+1)/$T$24))*IF(J$5=$H$24,DelivFactor,IF(AND(J$5&gt;$H$24,J$5&lt;$H$24+$F$24),1,IF(J$5=$H$24+$F$24,1-DelivFactor,0)))</f>
        <v>0</v>
      </c>
      <c r="K95" s="119" t="n">
        <f aca="false">(1-$I$24)*(1-$J$24)*$D$24*$E$24/4*MIN(1,MAX(0,(K$5-$H$24+1)/$T$24))*IF(K$5=$H$24,DelivFactor,IF(AND(K$5&gt;$H$24,K$5&lt;$H$24+$F$24),1,IF(K$5=$H$24+$F$24,1-DelivFactor,0)))</f>
        <v>0</v>
      </c>
      <c r="L95" s="119" t="n">
        <f aca="false">(1-$I$24)*(1-$J$24)*$D$24*$E$24/4*MIN(1,MAX(0,(L$5-$H$24+1)/$T$24))*IF(L$5=$H$24,DelivFactor,IF(AND(L$5&gt;$H$24,L$5&lt;$H$24+$F$24),1,IF(L$5=$H$24+$F$24,1-DelivFactor,0)))</f>
        <v>0</v>
      </c>
      <c r="M95" s="119" t="n">
        <f aca="false">(1-$I$24)*(1-$J$24)*$D$24*$E$24/4*MIN(1,MAX(0,(M$5-$H$24+1)/$T$24))*IF(M$5=$H$24,DelivFactor,IF(AND(M$5&gt;$H$24,M$5&lt;$H$24+$F$24),1,IF(M$5=$H$24+$F$24,1-DelivFactor,0)))</f>
        <v>0</v>
      </c>
      <c r="N95" s="119" t="n">
        <f aca="false">(1-$I$24)*(1-$J$24)*$D$24*$E$24/4*MIN(1,MAX(0,(N$5-$H$24+1)/$T$24))*IF(N$5=$H$24,DelivFactor,IF(AND(N$5&gt;$H$24,N$5&lt;$H$24+$F$24),1,IF(N$5=$H$24+$F$24,1-DelivFactor,0)))</f>
        <v>36.00875</v>
      </c>
      <c r="O95" s="119" t="n">
        <f aca="false">(1-$I$24)*(1-$J$24)*$D$24*$E$24/4*MIN(1,MAX(0,(O$5-$H$24+1)/$T$24))*IF(O$5=$H$24,DelivFactor,IF(AND(O$5&gt;$H$24,O$5&lt;$H$24+$F$24),1,IF(O$5=$H$24+$F$24,1-DelivFactor,0)))</f>
        <v>72.0175</v>
      </c>
      <c r="P95" s="120" t="n">
        <f aca="false">(1-$I$24)*(1-$J$24)*$D$24*$E$24/4*MIN(1,MAX(0,(P$5-$H$24+1)/$T$24))*IF(P$5=$H$24,DelivFactor,IF(AND(P$5&gt;$H$24,P$5&lt;$H$24+$F$24),1,IF(P$5=$H$24+$F$24,1-DelivFactor,0)))</f>
        <v>72.0175</v>
      </c>
      <c r="Q95" s="120" t="n">
        <f aca="false">(1-$I$24)*(1-$J$24)*$D$24*$E$24/4*MIN(1,MAX(0,(Q$5-$H$24+1)/$T$24))*IF(Q$5=$H$24,DelivFactor,IF(AND(Q$5&gt;$H$24,Q$5&lt;$H$24+$F$24),1,IF(Q$5=$H$24+$F$24,1-DelivFactor,0)))</f>
        <v>72.0175</v>
      </c>
      <c r="R95" s="120" t="n">
        <f aca="false">(1-$I$24)*(1-$J$24)*$D$24*$E$24/4*MIN(1,MAX(0,(R$5-$H$24+1)/$T$24))*IF(R$5=$H$24,DelivFactor,IF(AND(R$5&gt;$H$24,R$5&lt;$H$24+$F$24),1,IF(R$5=$H$24+$F$24,1-DelivFactor,0)))</f>
        <v>72.0175</v>
      </c>
      <c r="S95" s="120" t="n">
        <f aca="false">(1-$I$24)*(1-$J$24)*$D$24*$E$24/4*MIN(1,MAX(0,(S$5-$H$24+1)/$T$24))*IF(S$5=$H$24,DelivFactor,IF(AND(S$5&gt;$H$24,S$5&lt;$H$24+$F$24),1,IF(S$5=$H$24+$F$24,1-DelivFactor,0)))</f>
        <v>72.0175</v>
      </c>
      <c r="T95" s="120" t="n">
        <f aca="false">(1-$I$24)*(1-$J$24)*$D$24*$E$24/4*MIN(1,MAX(0,(T$5-$H$24+1)/$T$24))*IF(T$5=$H$24,DelivFactor,IF(AND(T$5&gt;$H$24,T$5&lt;$H$24+$F$24),1,IF(T$5=$H$24+$F$24,1-DelivFactor,0)))</f>
        <v>72.0175</v>
      </c>
      <c r="U95" s="120" t="n">
        <f aca="false">(1-$I$24)*(1-$J$24)*$D$24*$E$24/4*MIN(1,MAX(0,(U$5-$H$24+1)/$T$24))*IF(U$5=$H$24,DelivFactor,IF(AND(U$5&gt;$H$24,U$5&lt;$H$24+$F$24),1,IF(U$5=$H$24+$F$24,1-DelivFactor,0)))</f>
        <v>72.0175</v>
      </c>
      <c r="V95" s="120" t="n">
        <f aca="false">(1-$I$24)*(1-$J$24)*$D$24*$E$24/4*MIN(1,MAX(0,(V$5-$H$24+1)/$T$24))*IF(V$5=$H$24,DelivFactor,IF(AND(V$5&gt;$H$24,V$5&lt;$H$24+$F$24),1,IF(V$5=$H$24+$F$24,1-DelivFactor,0)))</f>
        <v>72.0175</v>
      </c>
      <c r="W95" s="120" t="n">
        <f aca="false">(1-$I$24)*(1-$J$24)*$D$24*$E$24/4*MIN(1,MAX(0,(W$5-$H$24+1)/$T$24))*IF(W$5=$H$24,DelivFactor,IF(AND(W$5&gt;$H$24,W$5&lt;$H$24+$F$24),1,IF(W$5=$H$24+$F$24,1-DelivFactor,0)))</f>
        <v>72.0175</v>
      </c>
      <c r="X95" s="120" t="n">
        <f aca="false">(1-$I$24)*(1-$J$24)*$D$24*$E$24/4*MIN(1,MAX(0,(X$5-$H$24+1)/$T$24))*IF(X$5=$H$24,DelivFactor,IF(AND(X$5&gt;$H$24,X$5&lt;$H$24+$F$24),1,IF(X$5=$H$24+$F$24,1-DelivFactor,0)))</f>
        <v>72.0175</v>
      </c>
      <c r="Y95" s="120" t="n">
        <f aca="false">(1-$I$24)*(1-$J$24)*$D$24*$E$24/4*MIN(1,MAX(0,(Y$5-$H$24+1)/$T$24))*IF(Y$5=$H$24,DelivFactor,IF(AND(Y$5&gt;$H$24,Y$5&lt;$H$24+$F$24),1,IF(Y$5=$H$24+$F$24,1-DelivFactor,0)))</f>
        <v>72.0175</v>
      </c>
      <c r="Z95" s="120" t="n">
        <f aca="false">(1-$I$24)*(1-$J$24)*$D$24*$E$24/4*MIN(1,MAX(0,(Z$5-$H$24+1)/$T$24))*IF(Z$5=$H$24,DelivFactor,IF(AND(Z$5&gt;$H$24,Z$5&lt;$H$24+$F$24),1,IF(Z$5=$H$24+$F$24,1-DelivFactor,0)))</f>
        <v>72.0175</v>
      </c>
      <c r="AA95" s="120" t="n">
        <f aca="false">(1-$I$24)*(1-$J$24)*$D$24*$E$24/4*MIN(1,MAX(0,(AA$5-$H$24+1)/$T$24))*IF(AA$5=$H$24,DelivFactor,IF(AND(AA$5&gt;$H$24,AA$5&lt;$H$24+$F$24),1,IF(AA$5=$H$24+$F$24,1-DelivFactor,0)))</f>
        <v>72.0175</v>
      </c>
      <c r="AB95" s="120" t="n">
        <f aca="false">(1-$I$24)*(1-$J$24)*$D$24*$E$24/4*MIN(1,MAX(0,(AB$5-$H$24+1)/$T$24))*IF(AB$5=$H$24,DelivFactor,IF(AND(AB$5&gt;$H$24,AB$5&lt;$H$24+$F$24),1,IF(AB$5=$H$24+$F$24,1-DelivFactor,0)))</f>
        <v>72.0175</v>
      </c>
      <c r="AC95" s="120" t="n">
        <f aca="false">(1-$I$24)*(1-$J$24)*$D$24*$E$24/4*MIN(1,MAX(0,(AC$5-$H$24+1)/$T$24))*IF(AC$5=$H$24,DelivFactor,IF(AND(AC$5&gt;$H$24,AC$5&lt;$H$24+$F$24),1,IF(AC$5=$H$24+$F$24,1-DelivFactor,0)))</f>
        <v>72.0175</v>
      </c>
      <c r="AD95" s="120" t="n">
        <f aca="false">(1-$I$24)*(1-$J$24)*$D$24*$E$24/4*MIN(1,MAX(0,(AD$5-$H$24+1)/$T$24))*IF(AD$5=$H$24,DelivFactor,IF(AND(AD$5&gt;$H$24,AD$5&lt;$H$24+$F$24),1,IF(AD$5=$H$24+$F$24,1-DelivFactor,0)))</f>
        <v>72.0175</v>
      </c>
      <c r="AE95" s="120" t="n">
        <f aca="false">(1-$I$24)*(1-$J$24)*$D$24*$E$24/4*MIN(1,MAX(0,(AE$5-$H$24+1)/$T$24))*IF(AE$5=$H$24,DelivFactor,IF(AND(AE$5&gt;$H$24,AE$5&lt;$H$24+$F$24),1,IF(AE$5=$H$24+$F$24,1-DelivFactor,0)))</f>
        <v>72.0175</v>
      </c>
      <c r="AF95" s="120" t="n">
        <f aca="false">(1-$I$24)*(1-$J$24)*$D$24*$E$24/4*MIN(1,MAX(0,(AF$5-$H$24+1)/$T$24))*IF(AF$5=$H$24,DelivFactor,IF(AND(AF$5&gt;$H$24,AF$5&lt;$H$24+$F$24),1,IF(AF$5=$H$24+$F$24,1-DelivFactor,0)))</f>
        <v>72.0175</v>
      </c>
      <c r="AG95" s="120" t="n">
        <f aca="false">(1-$I$24)*(1-$J$24)*$D$24*$E$24/4*MIN(1,MAX(0,(AG$5-$H$24+1)/$T$24))*IF(AG$5=$H$24,DelivFactor,IF(AND(AG$5&gt;$H$24,AG$5&lt;$H$24+$F$24),1,IF(AG$5=$H$24+$F$24,1-DelivFactor,0)))</f>
        <v>72.0175</v>
      </c>
      <c r="AI95" s="120" t="n">
        <f aca="false">SUMIF($F$7:$AG$7,AI$7,$F95:$AG95)</f>
        <v>0</v>
      </c>
      <c r="AJ95" s="120" t="n">
        <f aca="false">SUMIF($F$7:$AG$7,AJ$7,$F95:$AG95)</f>
        <v>0</v>
      </c>
      <c r="AK95" s="120" t="n">
        <f aca="false">SUMIF($F$7:$AG$7,AK$7,$F95:$AG95)</f>
        <v>252.06125</v>
      </c>
      <c r="AL95" s="120" t="n">
        <f aca="false">SUMIF($F$7:$AG$7,AL$7,$F95:$AG95)</f>
        <v>288.07</v>
      </c>
      <c r="AM95" s="120" t="n">
        <f aca="false">SUMIF($F$7:$AG$7,AM$7,$F95:$AG95)</f>
        <v>288.07</v>
      </c>
      <c r="AN95" s="120" t="n">
        <f aca="false">SUMIF($F$7:$AG$7,AN$7,$F95:$AG95)</f>
        <v>288.07</v>
      </c>
      <c r="AO95" s="120" t="n">
        <f aca="false">SUMIF($F$7:$AG$7,AO$7,$F95:$AG95)</f>
        <v>288.07</v>
      </c>
    </row>
    <row r="96" customFormat="false" ht="15" hidden="false" customHeight="false" outlineLevel="0" collapsed="false">
      <c r="A96" s="101" t="s">
        <v>1427</v>
      </c>
      <c r="B96" s="18" t="s">
        <v>415</v>
      </c>
      <c r="C96" s="18"/>
      <c r="D96" s="18"/>
      <c r="F96" s="110" t="n">
        <f aca="false">(1-$I$24)*(1-$J$24)*$D$24*AND(F$5&gt;=$H$24,F$5&lt;$H$24+$F$24)</f>
        <v>0</v>
      </c>
      <c r="G96" s="110" t="n">
        <f aca="false">(1-$I$24)*(1-$J$24)*$D$24*AND(G$5&gt;=$H$24,G$5&lt;$H$24+$F$24)</f>
        <v>0</v>
      </c>
      <c r="H96" s="110" t="n">
        <f aca="false">(1-$I$24)*(1-$J$24)*$D$24*AND(H$5&gt;=$H$24,H$5&lt;$H$24+$F$24)</f>
        <v>0</v>
      </c>
      <c r="I96" s="110" t="n">
        <f aca="false">(1-$I$24)*(1-$J$24)*$D$24*AND(I$5&gt;=$H$24,I$5&lt;$H$24+$F$24)</f>
        <v>0</v>
      </c>
      <c r="J96" s="110" t="n">
        <f aca="false">(1-$I$24)*(1-$J$24)*$D$24*AND(J$5&gt;=$H$24,J$5&lt;$H$24+$F$24)</f>
        <v>0</v>
      </c>
      <c r="K96" s="110" t="n">
        <f aca="false">(1-$I$24)*(1-$J$24)*$D$24*AND(K$5&gt;=$H$24,K$5&lt;$H$24+$F$24)</f>
        <v>0</v>
      </c>
      <c r="L96" s="110" t="n">
        <f aca="false">(1-$I$24)*(1-$J$24)*$D$24*AND(L$5&gt;=$H$24,L$5&lt;$H$24+$F$24)</f>
        <v>0</v>
      </c>
      <c r="M96" s="110" t="n">
        <f aca="false">(1-$I$24)*(1-$J$24)*$D$24*AND(M$5&gt;=$H$24,M$5&lt;$H$24+$F$24)</f>
        <v>0</v>
      </c>
      <c r="N96" s="110" t="n">
        <f aca="false">(1-$I$24)*(1-$J$24)*$D$24*AND(N$5&gt;=$H$24,N$5&lt;$H$24+$F$24)</f>
        <v>24.0058333333333</v>
      </c>
      <c r="O96" s="110" t="n">
        <f aca="false">(1-$I$24)*(1-$J$24)*$D$24*AND(O$5&gt;=$H$24,O$5&lt;$H$24+$F$24)</f>
        <v>24.0058333333333</v>
      </c>
      <c r="P96" s="21" t="n">
        <f aca="false">(1-$I$24)*(1-$J$24)*$D$24*AND(P$5&gt;=$H$24,P$5&lt;$H$24+$F$24)</f>
        <v>24.0058333333333</v>
      </c>
      <c r="Q96" s="21" t="n">
        <f aca="false">(1-$I$24)*(1-$J$24)*$D$24*AND(Q$5&gt;=$H$24,Q$5&lt;$H$24+$F$24)</f>
        <v>24.0058333333333</v>
      </c>
      <c r="R96" s="21" t="n">
        <f aca="false">(1-$I$24)*(1-$J$24)*$D$24*AND(R$5&gt;=$H$24,R$5&lt;$H$24+$F$24)</f>
        <v>24.0058333333333</v>
      </c>
      <c r="S96" s="21" t="n">
        <f aca="false">(1-$I$24)*(1-$J$24)*$D$24*AND(S$5&gt;=$H$24,S$5&lt;$H$24+$F$24)</f>
        <v>24.0058333333333</v>
      </c>
      <c r="T96" s="21" t="n">
        <f aca="false">(1-$I$24)*(1-$J$24)*$D$24*AND(T$5&gt;=$H$24,T$5&lt;$H$24+$F$24)</f>
        <v>24.0058333333333</v>
      </c>
      <c r="U96" s="21" t="n">
        <f aca="false">(1-$I$24)*(1-$J$24)*$D$24*AND(U$5&gt;=$H$24,U$5&lt;$H$24+$F$24)</f>
        <v>24.0058333333333</v>
      </c>
      <c r="V96" s="21" t="n">
        <f aca="false">(1-$I$24)*(1-$J$24)*$D$24*AND(V$5&gt;=$H$24,V$5&lt;$H$24+$F$24)</f>
        <v>24.0058333333333</v>
      </c>
      <c r="W96" s="21" t="n">
        <f aca="false">(1-$I$24)*(1-$J$24)*$D$24*AND(W$5&gt;=$H$24,W$5&lt;$H$24+$F$24)</f>
        <v>24.0058333333333</v>
      </c>
      <c r="X96" s="21" t="n">
        <f aca="false">(1-$I$24)*(1-$J$24)*$D$24*AND(X$5&gt;=$H$24,X$5&lt;$H$24+$F$24)</f>
        <v>24.0058333333333</v>
      </c>
      <c r="Y96" s="21" t="n">
        <f aca="false">(1-$I$24)*(1-$J$24)*$D$24*AND(Y$5&gt;=$H$24,Y$5&lt;$H$24+$F$24)</f>
        <v>24.0058333333333</v>
      </c>
      <c r="Z96" s="21" t="n">
        <f aca="false">(1-$I$24)*(1-$J$24)*$D$24*AND(Z$5&gt;=$H$24,Z$5&lt;$H$24+$F$24)</f>
        <v>24.0058333333333</v>
      </c>
      <c r="AA96" s="21" t="n">
        <f aca="false">(1-$I$24)*(1-$J$24)*$D$24*AND(AA$5&gt;=$H$24,AA$5&lt;$H$24+$F$24)</f>
        <v>24.0058333333333</v>
      </c>
      <c r="AB96" s="21" t="n">
        <f aca="false">(1-$I$24)*(1-$J$24)*$D$24*AND(AB$5&gt;=$H$24,AB$5&lt;$H$24+$F$24)</f>
        <v>24.0058333333333</v>
      </c>
      <c r="AC96" s="21" t="n">
        <f aca="false">(1-$I$24)*(1-$J$24)*$D$24*AND(AC$5&gt;=$H$24,AC$5&lt;$H$24+$F$24)</f>
        <v>24.0058333333333</v>
      </c>
      <c r="AD96" s="21" t="n">
        <f aca="false">(1-$I$24)*(1-$J$24)*$D$24*AND(AD$5&gt;=$H$24,AD$5&lt;$H$24+$F$24)</f>
        <v>24.0058333333333</v>
      </c>
      <c r="AE96" s="21" t="n">
        <f aca="false">(1-$I$24)*(1-$J$24)*$D$24*AND(AE$5&gt;=$H$24,AE$5&lt;$H$24+$F$24)</f>
        <v>24.0058333333333</v>
      </c>
      <c r="AF96" s="21" t="n">
        <f aca="false">(1-$I$24)*(1-$J$24)*$D$24*AND(AF$5&gt;=$H$24,AF$5&lt;$H$24+$F$24)</f>
        <v>24.0058333333333</v>
      </c>
      <c r="AG96" s="21" t="n">
        <f aca="false">(1-$I$24)*(1-$J$24)*$D$24*AND(AG$5&gt;=$H$24,AG$5&lt;$H$24+$F$24)</f>
        <v>24.0058333333333</v>
      </c>
      <c r="AI96" s="21" t="n">
        <f aca="false">INDEX($F96:$AG96,1,MATCH(AI$7,$F$7:$AG$7,1))</f>
        <v>0</v>
      </c>
      <c r="AJ96" s="21" t="n">
        <f aca="false">INDEX($F96:$AG96,1,MATCH(AJ$7,$F$7:$AG$7,1))</f>
        <v>0</v>
      </c>
      <c r="AK96" s="21" t="n">
        <f aca="false">INDEX($F96:$AG96,1,MATCH(AK$7,$F$7:$AG$7,1))</f>
        <v>24.0058333333333</v>
      </c>
      <c r="AL96" s="21" t="n">
        <f aca="false">INDEX($F96:$AG96,1,MATCH(AL$7,$F$7:$AG$7,1))</f>
        <v>24.0058333333333</v>
      </c>
      <c r="AM96" s="21" t="n">
        <f aca="false">INDEX($F96:$AG96,1,MATCH(AM$7,$F$7:$AG$7,1))</f>
        <v>24.0058333333333</v>
      </c>
      <c r="AN96" s="21" t="n">
        <f aca="false">INDEX($F96:$AG96,1,MATCH(AN$7,$F$7:$AG$7,1))</f>
        <v>24.0058333333333</v>
      </c>
      <c r="AO96" s="21" t="n">
        <f aca="false">INDEX($F96:$AG96,1,MATCH(AO$7,$F$7:$AG$7,1))</f>
        <v>24.0058333333333</v>
      </c>
    </row>
    <row r="97" customFormat="false" ht="15" hidden="false" customHeight="false" outlineLevel="0" collapsed="false">
      <c r="A97" s="101" t="s">
        <v>1428</v>
      </c>
      <c r="B97" s="18" t="s">
        <v>400</v>
      </c>
      <c r="C97" s="18"/>
      <c r="D97" s="18"/>
      <c r="F97" s="119" t="n">
        <f aca="false">-(1-$I$24)*LD_Pct*$D$24*$E$24/4*AND(F$5&gt;=$G$24,F$5&lt;$H$24)</f>
        <v>-0</v>
      </c>
      <c r="G97" s="119" t="n">
        <f aca="false">-(1-$I$24)*LD_Pct*$D$24*$E$24/4*AND(G$5&gt;=$G$24,G$5&lt;$H$24)</f>
        <v>-0</v>
      </c>
      <c r="H97" s="119" t="n">
        <f aca="false">-(1-$I$24)*LD_Pct*$D$24*$E$24/4*AND(H$5&gt;=$G$24,H$5&lt;$H$24)</f>
        <v>-0</v>
      </c>
      <c r="I97" s="119" t="n">
        <f aca="false">-(1-$I$24)*LD_Pct*$D$24*$E$24/4*AND(I$5&gt;=$G$24,I$5&lt;$H$24)</f>
        <v>-0</v>
      </c>
      <c r="J97" s="119" t="n">
        <f aca="false">-(1-$I$24)*LD_Pct*$D$24*$E$24/4*AND(J$5&gt;=$G$24,J$5&lt;$H$24)</f>
        <v>-0</v>
      </c>
      <c r="K97" s="119" t="n">
        <f aca="false">-(1-$I$24)*LD_Pct*$D$24*$E$24/4*AND(K$5&gt;=$G$24,K$5&lt;$H$24)</f>
        <v>-0</v>
      </c>
      <c r="L97" s="119" t="n">
        <f aca="false">-(1-$I$24)*LD_Pct*$D$24*$E$24/4*AND(L$5&gt;=$G$24,L$5&lt;$H$24)</f>
        <v>-0</v>
      </c>
      <c r="M97" s="119" t="n">
        <f aca="false">-(1-$I$24)*LD_Pct*$D$24*$E$24/4*AND(M$5&gt;=$G$24,M$5&lt;$H$24)</f>
        <v>-0</v>
      </c>
      <c r="N97" s="119" t="n">
        <f aca="false">-(1-$I$24)*LD_Pct*$D$24*$E$24/4*AND(N$5&gt;=$G$24,N$5&lt;$H$24)</f>
        <v>-0</v>
      </c>
      <c r="O97" s="119" t="n">
        <f aca="false">-(1-$I$24)*LD_Pct*$D$24*$E$24/4*AND(O$5&gt;=$G$24,O$5&lt;$H$24)</f>
        <v>-0</v>
      </c>
      <c r="P97" s="120" t="n">
        <f aca="false">-(1-$I$24)*LD_Pct*$D$24*$E$24/4*AND(P$5&gt;=$G$24,P$5&lt;$H$24)</f>
        <v>-0</v>
      </c>
      <c r="Q97" s="120" t="n">
        <f aca="false">-(1-$I$24)*LD_Pct*$D$24*$E$24/4*AND(Q$5&gt;=$G$24,Q$5&lt;$H$24)</f>
        <v>-0</v>
      </c>
      <c r="R97" s="120" t="n">
        <f aca="false">-(1-$I$24)*LD_Pct*$D$24*$E$24/4*AND(R$5&gt;=$G$24,R$5&lt;$H$24)</f>
        <v>-0</v>
      </c>
      <c r="S97" s="120" t="n">
        <f aca="false">-(1-$I$24)*LD_Pct*$D$24*$E$24/4*AND(S$5&gt;=$G$24,S$5&lt;$H$24)</f>
        <v>-0</v>
      </c>
      <c r="T97" s="120" t="n">
        <f aca="false">-(1-$I$24)*LD_Pct*$D$24*$E$24/4*AND(T$5&gt;=$G$24,T$5&lt;$H$24)</f>
        <v>-0</v>
      </c>
      <c r="U97" s="120" t="n">
        <f aca="false">-(1-$I$24)*LD_Pct*$D$24*$E$24/4*AND(U$5&gt;=$G$24,U$5&lt;$H$24)</f>
        <v>-0</v>
      </c>
      <c r="V97" s="120" t="n">
        <f aca="false">-(1-$I$24)*LD_Pct*$D$24*$E$24/4*AND(V$5&gt;=$G$24,V$5&lt;$H$24)</f>
        <v>-0</v>
      </c>
      <c r="W97" s="120" t="n">
        <f aca="false">-(1-$I$24)*LD_Pct*$D$24*$E$24/4*AND(W$5&gt;=$G$24,W$5&lt;$H$24)</f>
        <v>-0</v>
      </c>
      <c r="X97" s="120" t="n">
        <f aca="false">-(1-$I$24)*LD_Pct*$D$24*$E$24/4*AND(X$5&gt;=$G$24,X$5&lt;$H$24)</f>
        <v>-0</v>
      </c>
      <c r="Y97" s="120" t="n">
        <f aca="false">-(1-$I$24)*LD_Pct*$D$24*$E$24/4*AND(Y$5&gt;=$G$24,Y$5&lt;$H$24)</f>
        <v>-0</v>
      </c>
      <c r="Z97" s="120" t="n">
        <f aca="false">-(1-$I$24)*LD_Pct*$D$24*$E$24/4*AND(Z$5&gt;=$G$24,Z$5&lt;$H$24)</f>
        <v>-0</v>
      </c>
      <c r="AA97" s="120" t="n">
        <f aca="false">-(1-$I$24)*LD_Pct*$D$24*$E$24/4*AND(AA$5&gt;=$G$24,AA$5&lt;$H$24)</f>
        <v>-0</v>
      </c>
      <c r="AB97" s="120" t="n">
        <f aca="false">-(1-$I$24)*LD_Pct*$D$24*$E$24/4*AND(AB$5&gt;=$G$24,AB$5&lt;$H$24)</f>
        <v>-0</v>
      </c>
      <c r="AC97" s="120" t="n">
        <f aca="false">-(1-$I$24)*LD_Pct*$D$24*$E$24/4*AND(AC$5&gt;=$G$24,AC$5&lt;$H$24)</f>
        <v>-0</v>
      </c>
      <c r="AD97" s="120" t="n">
        <f aca="false">-(1-$I$24)*LD_Pct*$D$24*$E$24/4*AND(AD$5&gt;=$G$24,AD$5&lt;$H$24)</f>
        <v>-0</v>
      </c>
      <c r="AE97" s="120" t="n">
        <f aca="false">-(1-$I$24)*LD_Pct*$D$24*$E$24/4*AND(AE$5&gt;=$G$24,AE$5&lt;$H$24)</f>
        <v>-0</v>
      </c>
      <c r="AF97" s="120" t="n">
        <f aca="false">-(1-$I$24)*LD_Pct*$D$24*$E$24/4*AND(AF$5&gt;=$G$24,AF$5&lt;$H$24)</f>
        <v>-0</v>
      </c>
      <c r="AG97" s="120" t="n">
        <f aca="false">-(1-$I$24)*LD_Pct*$D$24*$E$24/4*AND(AG$5&gt;=$G$24,AG$5&lt;$H$24)</f>
        <v>-0</v>
      </c>
      <c r="AI97" s="120" t="n">
        <f aca="false">SUMIF($F$7:$AG$7,AI$7,$F97:$AG97)</f>
        <v>0</v>
      </c>
      <c r="AJ97" s="120" t="n">
        <f aca="false">SUMIF($F$7:$AG$7,AJ$7,$F97:$AG97)</f>
        <v>0</v>
      </c>
      <c r="AK97" s="120" t="n">
        <f aca="false">SUMIF($F$7:$AG$7,AK$7,$F97:$AG97)</f>
        <v>0</v>
      </c>
      <c r="AL97" s="120" t="n">
        <f aca="false">SUMIF($F$7:$AG$7,AL$7,$F97:$AG97)</f>
        <v>0</v>
      </c>
      <c r="AM97" s="120" t="n">
        <f aca="false">SUMIF($F$7:$AG$7,AM$7,$F97:$AG97)</f>
        <v>0</v>
      </c>
      <c r="AN97" s="120" t="n">
        <f aca="false">SUMIF($F$7:$AG$7,AN$7,$F97:$AG97)</f>
        <v>0</v>
      </c>
      <c r="AO97" s="120" t="n">
        <f aca="false">SUMIF($F$7:$AG$7,AO$7,$F97:$AG97)</f>
        <v>0</v>
      </c>
    </row>
    <row r="98" customFormat="false" ht="15" hidden="false" customHeight="false" outlineLevel="0" collapsed="false">
      <c r="A98" s="101" t="s">
        <v>1429</v>
      </c>
      <c r="B98" s="18" t="s">
        <v>415</v>
      </c>
      <c r="C98" s="18"/>
      <c r="D98" s="18"/>
      <c r="F98" s="110" t="n">
        <f aca="false">(1-$I$24)*(1-$J$24)*$D$24*(F$5&gt;=$H$24+$F$24)</f>
        <v>0</v>
      </c>
      <c r="G98" s="110" t="n">
        <f aca="false">(1-$I$24)*(1-$J$24)*$D$24*(G$5&gt;=$H$24+$F$24)</f>
        <v>0</v>
      </c>
      <c r="H98" s="110" t="n">
        <f aca="false">(1-$I$24)*(1-$J$24)*$D$24*(H$5&gt;=$H$24+$F$24)</f>
        <v>0</v>
      </c>
      <c r="I98" s="110" t="n">
        <f aca="false">(1-$I$24)*(1-$J$24)*$D$24*(I$5&gt;=$H$24+$F$24)</f>
        <v>0</v>
      </c>
      <c r="J98" s="110" t="n">
        <f aca="false">(1-$I$24)*(1-$J$24)*$D$24*(J$5&gt;=$H$24+$F$24)</f>
        <v>0</v>
      </c>
      <c r="K98" s="110" t="n">
        <f aca="false">(1-$I$24)*(1-$J$24)*$D$24*(K$5&gt;=$H$24+$F$24)</f>
        <v>0</v>
      </c>
      <c r="L98" s="110" t="n">
        <f aca="false">(1-$I$24)*(1-$J$24)*$D$24*(L$5&gt;=$H$24+$F$24)</f>
        <v>0</v>
      </c>
      <c r="M98" s="110" t="n">
        <f aca="false">(1-$I$24)*(1-$J$24)*$D$24*(M$5&gt;=$H$24+$F$24)</f>
        <v>0</v>
      </c>
      <c r="N98" s="110" t="n">
        <f aca="false">(1-$I$24)*(1-$J$24)*$D$24*(N$5&gt;=$H$24+$F$24)</f>
        <v>0</v>
      </c>
      <c r="O98" s="110" t="n">
        <f aca="false">(1-$I$24)*(1-$J$24)*$D$24*(O$5&gt;=$H$24+$F$24)</f>
        <v>0</v>
      </c>
      <c r="P98" s="21" t="n">
        <f aca="false">(1-$I$24)*(1-$J$24)*$D$24*(P$5&gt;=$H$24+$F$24)</f>
        <v>0</v>
      </c>
      <c r="Q98" s="21" t="n">
        <f aca="false">(1-$I$24)*(1-$J$24)*$D$24*(Q$5&gt;=$H$24+$F$24)</f>
        <v>0</v>
      </c>
      <c r="R98" s="21" t="n">
        <f aca="false">(1-$I$24)*(1-$J$24)*$D$24*(R$5&gt;=$H$24+$F$24)</f>
        <v>0</v>
      </c>
      <c r="S98" s="21" t="n">
        <f aca="false">(1-$I$24)*(1-$J$24)*$D$24*(S$5&gt;=$H$24+$F$24)</f>
        <v>0</v>
      </c>
      <c r="T98" s="21" t="n">
        <f aca="false">(1-$I$24)*(1-$J$24)*$D$24*(T$5&gt;=$H$24+$F$24)</f>
        <v>0</v>
      </c>
      <c r="U98" s="21" t="n">
        <f aca="false">(1-$I$24)*(1-$J$24)*$D$24*(U$5&gt;=$H$24+$F$24)</f>
        <v>0</v>
      </c>
      <c r="V98" s="21" t="n">
        <f aca="false">(1-$I$24)*(1-$J$24)*$D$24*(V$5&gt;=$H$24+$F$24)</f>
        <v>0</v>
      </c>
      <c r="W98" s="21" t="n">
        <f aca="false">(1-$I$24)*(1-$J$24)*$D$24*(W$5&gt;=$H$24+$F$24)</f>
        <v>0</v>
      </c>
      <c r="X98" s="21" t="n">
        <f aca="false">(1-$I$24)*(1-$J$24)*$D$24*(X$5&gt;=$H$24+$F$24)</f>
        <v>0</v>
      </c>
      <c r="Y98" s="21" t="n">
        <f aca="false">(1-$I$24)*(1-$J$24)*$D$24*(Y$5&gt;=$H$24+$F$24)</f>
        <v>0</v>
      </c>
      <c r="Z98" s="21" t="n">
        <f aca="false">(1-$I$24)*(1-$J$24)*$D$24*(Z$5&gt;=$H$24+$F$24)</f>
        <v>0</v>
      </c>
      <c r="AA98" s="21" t="n">
        <f aca="false">(1-$I$24)*(1-$J$24)*$D$24*(AA$5&gt;=$H$24+$F$24)</f>
        <v>0</v>
      </c>
      <c r="AB98" s="21" t="n">
        <f aca="false">(1-$I$24)*(1-$J$24)*$D$24*(AB$5&gt;=$H$24+$F$24)</f>
        <v>0</v>
      </c>
      <c r="AC98" s="21" t="n">
        <f aca="false">(1-$I$24)*(1-$J$24)*$D$24*(AC$5&gt;=$H$24+$F$24)</f>
        <v>0</v>
      </c>
      <c r="AD98" s="21" t="n">
        <f aca="false">(1-$I$24)*(1-$J$24)*$D$24*(AD$5&gt;=$H$24+$F$24)</f>
        <v>0</v>
      </c>
      <c r="AE98" s="21" t="n">
        <f aca="false">(1-$I$24)*(1-$J$24)*$D$24*(AE$5&gt;=$H$24+$F$24)</f>
        <v>0</v>
      </c>
      <c r="AF98" s="21" t="n">
        <f aca="false">(1-$I$24)*(1-$J$24)*$D$24*(AF$5&gt;=$H$24+$F$24)</f>
        <v>0</v>
      </c>
      <c r="AG98" s="21" t="n">
        <f aca="false">(1-$I$24)*(1-$J$24)*$D$24*(AG$5&gt;=$H$24+$F$24)</f>
        <v>0</v>
      </c>
      <c r="AI98" s="21" t="n">
        <f aca="false">INDEX($F98:$AG98,1,MATCH(AI$7,$F$7:$AG$7,1))</f>
        <v>0</v>
      </c>
      <c r="AJ98" s="21" t="n">
        <f aca="false">INDEX($F98:$AG98,1,MATCH(AJ$7,$F$7:$AG$7,1))</f>
        <v>0</v>
      </c>
      <c r="AK98" s="21" t="n">
        <f aca="false">INDEX($F98:$AG98,1,MATCH(AK$7,$F$7:$AG$7,1))</f>
        <v>0</v>
      </c>
      <c r="AL98" s="21" t="n">
        <f aca="false">INDEX($F98:$AG98,1,MATCH(AL$7,$F$7:$AG$7,1))</f>
        <v>0</v>
      </c>
      <c r="AM98" s="21" t="n">
        <f aca="false">INDEX($F98:$AG98,1,MATCH(AM$7,$F$7:$AG$7,1))</f>
        <v>0</v>
      </c>
      <c r="AN98" s="21" t="n">
        <f aca="false">INDEX($F98:$AG98,1,MATCH(AN$7,$F$7:$AG$7,1))</f>
        <v>0</v>
      </c>
      <c r="AO98" s="21" t="n">
        <f aca="false">INDEX($F98:$AG98,1,MATCH(AO$7,$F$7:$AG$7,1))</f>
        <v>0</v>
      </c>
    </row>
    <row r="99" customFormat="false" ht="15" hidden="false" customHeight="false" outlineLevel="0" collapsed="false">
      <c r="A99" s="101" t="s">
        <v>1430</v>
      </c>
      <c r="B99" s="18" t="s">
        <v>400</v>
      </c>
      <c r="C99" s="18"/>
      <c r="D99" s="18" t="s">
        <v>1370</v>
      </c>
      <c r="F99" s="119" t="n">
        <f aca="false">F98*CHOOSE(MATCH($C$24,{"H";"B";"N"},0),GPUMW_H*ODc_H,GPUMW_B*ODc_B,GPUMW_N*ODc_N)*ResidUtil*Timeline!F$9*INDEX(Curve,1,MAX(1,MIN(8,INT((F$5-$H$24)/4)+1)))/1000000</f>
        <v>0</v>
      </c>
      <c r="G99" s="119" t="n">
        <f aca="false">G98*CHOOSE(MATCH($C$24,{"H";"B";"N"},0),GPUMW_H*ODc_H,GPUMW_B*ODc_B,GPUMW_N*ODc_N)*ResidUtil*Timeline!G$9*INDEX(Curve,1,MAX(1,MIN(8,INT((G$5-$H$24)/4)+1)))/1000000</f>
        <v>0</v>
      </c>
      <c r="H99" s="119" t="n">
        <f aca="false">H98*CHOOSE(MATCH($C$24,{"H";"B";"N"},0),GPUMW_H*ODc_H,GPUMW_B*ODc_B,GPUMW_N*ODc_N)*ResidUtil*Timeline!H$9*INDEX(Curve,1,MAX(1,MIN(8,INT((H$5-$H$24)/4)+1)))/1000000</f>
        <v>0</v>
      </c>
      <c r="I99" s="119" t="n">
        <f aca="false">I98*CHOOSE(MATCH($C$24,{"H";"B";"N"},0),GPUMW_H*ODc_H,GPUMW_B*ODc_B,GPUMW_N*ODc_N)*ResidUtil*Timeline!I$9*INDEX(Curve,1,MAX(1,MIN(8,INT((I$5-$H$24)/4)+1)))/1000000</f>
        <v>0</v>
      </c>
      <c r="J99" s="119" t="n">
        <f aca="false">J98*CHOOSE(MATCH($C$24,{"H";"B";"N"},0),GPUMW_H*ODc_H,GPUMW_B*ODc_B,GPUMW_N*ODc_N)*ResidUtil*Timeline!J$9*INDEX(Curve,1,MAX(1,MIN(8,INT((J$5-$H$24)/4)+1)))/1000000</f>
        <v>0</v>
      </c>
      <c r="K99" s="119" t="n">
        <f aca="false">K98*CHOOSE(MATCH($C$24,{"H";"B";"N"},0),GPUMW_H*ODc_H,GPUMW_B*ODc_B,GPUMW_N*ODc_N)*ResidUtil*Timeline!K$9*INDEX(Curve,1,MAX(1,MIN(8,INT((K$5-$H$24)/4)+1)))/1000000</f>
        <v>0</v>
      </c>
      <c r="L99" s="119" t="n">
        <f aca="false">L98*CHOOSE(MATCH($C$24,{"H";"B";"N"},0),GPUMW_H*ODc_H,GPUMW_B*ODc_B,GPUMW_N*ODc_N)*ResidUtil*Timeline!L$9*INDEX(Curve,1,MAX(1,MIN(8,INT((L$5-$H$24)/4)+1)))/1000000</f>
        <v>0</v>
      </c>
      <c r="M99" s="119" t="n">
        <f aca="false">M98*CHOOSE(MATCH($C$24,{"H";"B";"N"},0),GPUMW_H*ODc_H,GPUMW_B*ODc_B,GPUMW_N*ODc_N)*ResidUtil*Timeline!M$9*INDEX(Curve,1,MAX(1,MIN(8,INT((M$5-$H$24)/4)+1)))/1000000</f>
        <v>0</v>
      </c>
      <c r="N99" s="119" t="n">
        <f aca="false">N98*CHOOSE(MATCH($C$24,{"H";"B";"N"},0),GPUMW_H*ODc_H,GPUMW_B*ODc_B,GPUMW_N*ODc_N)*ResidUtil*Timeline!N$9*INDEX(Curve,1,MAX(1,MIN(8,INT((N$5-$H$24)/4)+1)))/1000000</f>
        <v>0</v>
      </c>
      <c r="O99" s="119" t="n">
        <f aca="false">O98*CHOOSE(MATCH($C$24,{"H";"B";"N"},0),GPUMW_H*ODc_H,GPUMW_B*ODc_B,GPUMW_N*ODc_N)*ResidUtil*Timeline!O$9*INDEX(Curve,1,MAX(1,MIN(8,INT((O$5-$H$24)/4)+1)))/1000000</f>
        <v>0</v>
      </c>
      <c r="P99" s="120" t="n">
        <f aca="false">P98*CHOOSE(MATCH($C$24,{"H";"B";"N"},0),GPUMW_H*ODc_H,GPUMW_B*ODc_B,GPUMW_N*ODc_N)*ResidUtil*Timeline!P$9*INDEX(Curve,1,MAX(1,MIN(8,INT((P$5-$H$24)/4)+1)))/1000000</f>
        <v>0</v>
      </c>
      <c r="Q99" s="120" t="n">
        <f aca="false">Q98*CHOOSE(MATCH($C$24,{"H";"B";"N"},0),GPUMW_H*ODc_H,GPUMW_B*ODc_B,GPUMW_N*ODc_N)*ResidUtil*Timeline!Q$9*INDEX(Curve,1,MAX(1,MIN(8,INT((Q$5-$H$24)/4)+1)))/1000000</f>
        <v>0</v>
      </c>
      <c r="R99" s="120" t="n">
        <f aca="false">R98*CHOOSE(MATCH($C$24,{"H";"B";"N"},0),GPUMW_H*ODc_H,GPUMW_B*ODc_B,GPUMW_N*ODc_N)*ResidUtil*Timeline!R$9*INDEX(Curve,1,MAX(1,MIN(8,INT((R$5-$H$24)/4)+1)))/1000000</f>
        <v>0</v>
      </c>
      <c r="S99" s="120" t="n">
        <f aca="false">S98*CHOOSE(MATCH($C$24,{"H";"B";"N"},0),GPUMW_H*ODc_H,GPUMW_B*ODc_B,GPUMW_N*ODc_N)*ResidUtil*Timeline!S$9*INDEX(Curve,1,MAX(1,MIN(8,INT((S$5-$H$24)/4)+1)))/1000000</f>
        <v>0</v>
      </c>
      <c r="T99" s="120" t="n">
        <f aca="false">T98*CHOOSE(MATCH($C$24,{"H";"B";"N"},0),GPUMW_H*ODc_H,GPUMW_B*ODc_B,GPUMW_N*ODc_N)*ResidUtil*Timeline!T$9*INDEX(Curve,1,MAX(1,MIN(8,INT((T$5-$H$24)/4)+1)))/1000000</f>
        <v>0</v>
      </c>
      <c r="U99" s="120" t="n">
        <f aca="false">U98*CHOOSE(MATCH($C$24,{"H";"B";"N"},0),GPUMW_H*ODc_H,GPUMW_B*ODc_B,GPUMW_N*ODc_N)*ResidUtil*Timeline!U$9*INDEX(Curve,1,MAX(1,MIN(8,INT((U$5-$H$24)/4)+1)))/1000000</f>
        <v>0</v>
      </c>
      <c r="V99" s="120" t="n">
        <f aca="false">V98*CHOOSE(MATCH($C$24,{"H";"B";"N"},0),GPUMW_H*ODc_H,GPUMW_B*ODc_B,GPUMW_N*ODc_N)*ResidUtil*Timeline!V$9*INDEX(Curve,1,MAX(1,MIN(8,INT((V$5-$H$24)/4)+1)))/1000000</f>
        <v>0</v>
      </c>
      <c r="W99" s="120" t="n">
        <f aca="false">W98*CHOOSE(MATCH($C$24,{"H";"B";"N"},0),GPUMW_H*ODc_H,GPUMW_B*ODc_B,GPUMW_N*ODc_N)*ResidUtil*Timeline!W$9*INDEX(Curve,1,MAX(1,MIN(8,INT((W$5-$H$24)/4)+1)))/1000000</f>
        <v>0</v>
      </c>
      <c r="X99" s="120" t="n">
        <f aca="false">X98*CHOOSE(MATCH($C$24,{"H";"B";"N"},0),GPUMW_H*ODc_H,GPUMW_B*ODc_B,GPUMW_N*ODc_N)*ResidUtil*Timeline!X$9*INDEX(Curve,1,MAX(1,MIN(8,INT((X$5-$H$24)/4)+1)))/1000000</f>
        <v>0</v>
      </c>
      <c r="Y99" s="120" t="n">
        <f aca="false">Y98*CHOOSE(MATCH($C$24,{"H";"B";"N"},0),GPUMW_H*ODc_H,GPUMW_B*ODc_B,GPUMW_N*ODc_N)*ResidUtil*Timeline!Y$9*INDEX(Curve,1,MAX(1,MIN(8,INT((Y$5-$H$24)/4)+1)))/1000000</f>
        <v>0</v>
      </c>
      <c r="Z99" s="120" t="n">
        <f aca="false">Z98*CHOOSE(MATCH($C$24,{"H";"B";"N"},0),GPUMW_H*ODc_H,GPUMW_B*ODc_B,GPUMW_N*ODc_N)*ResidUtil*Timeline!Z$9*INDEX(Curve,1,MAX(1,MIN(8,INT((Z$5-$H$24)/4)+1)))/1000000</f>
        <v>0</v>
      </c>
      <c r="AA99" s="120" t="n">
        <f aca="false">AA98*CHOOSE(MATCH($C$24,{"H";"B";"N"},0),GPUMW_H*ODc_H,GPUMW_B*ODc_B,GPUMW_N*ODc_N)*ResidUtil*Timeline!AA$9*INDEX(Curve,1,MAX(1,MIN(8,INT((AA$5-$H$24)/4)+1)))/1000000</f>
        <v>0</v>
      </c>
      <c r="AB99" s="120" t="n">
        <f aca="false">AB98*CHOOSE(MATCH($C$24,{"H";"B";"N"},0),GPUMW_H*ODc_H,GPUMW_B*ODc_B,GPUMW_N*ODc_N)*ResidUtil*Timeline!AB$9*INDEX(Curve,1,MAX(1,MIN(8,INT((AB$5-$H$24)/4)+1)))/1000000</f>
        <v>0</v>
      </c>
      <c r="AC99" s="120" t="n">
        <f aca="false">AC98*CHOOSE(MATCH($C$24,{"H";"B";"N"},0),GPUMW_H*ODc_H,GPUMW_B*ODc_B,GPUMW_N*ODc_N)*ResidUtil*Timeline!AC$9*INDEX(Curve,1,MAX(1,MIN(8,INT((AC$5-$H$24)/4)+1)))/1000000</f>
        <v>0</v>
      </c>
      <c r="AD99" s="120" t="n">
        <f aca="false">AD98*CHOOSE(MATCH($C$24,{"H";"B";"N"},0),GPUMW_H*ODc_H,GPUMW_B*ODc_B,GPUMW_N*ODc_N)*ResidUtil*Timeline!AD$9*INDEX(Curve,1,MAX(1,MIN(8,INT((AD$5-$H$24)/4)+1)))/1000000</f>
        <v>0</v>
      </c>
      <c r="AE99" s="120" t="n">
        <f aca="false">AE98*CHOOSE(MATCH($C$24,{"H";"B";"N"},0),GPUMW_H*ODc_H,GPUMW_B*ODc_B,GPUMW_N*ODc_N)*ResidUtil*Timeline!AE$9*INDEX(Curve,1,MAX(1,MIN(8,INT((AE$5-$H$24)/4)+1)))/1000000</f>
        <v>0</v>
      </c>
      <c r="AF99" s="120" t="n">
        <f aca="false">AF98*CHOOSE(MATCH($C$24,{"H";"B";"N"},0),GPUMW_H*ODc_H,GPUMW_B*ODc_B,GPUMW_N*ODc_N)*ResidUtil*Timeline!AF$9*INDEX(Curve,1,MAX(1,MIN(8,INT((AF$5-$H$24)/4)+1)))/1000000</f>
        <v>0</v>
      </c>
      <c r="AG99" s="120" t="n">
        <f aca="false">AG98*CHOOSE(MATCH($C$24,{"H";"B";"N"},0),GPUMW_H*ODc_H,GPUMW_B*ODc_B,GPUMW_N*ODc_N)*ResidUtil*Timeline!AG$9*INDEX(Curve,1,MAX(1,MIN(8,INT((AG$5-$H$24)/4)+1)))/1000000</f>
        <v>0</v>
      </c>
      <c r="AI99" s="120" t="n">
        <f aca="false">SUMIF($F$7:$AG$7,AI$7,$F99:$AG99)</f>
        <v>0</v>
      </c>
      <c r="AJ99" s="120" t="n">
        <f aca="false">SUMIF($F$7:$AG$7,AJ$7,$F99:$AG99)</f>
        <v>0</v>
      </c>
      <c r="AK99" s="120" t="n">
        <f aca="false">SUMIF($F$7:$AG$7,AK$7,$F99:$AG99)</f>
        <v>0</v>
      </c>
      <c r="AL99" s="120" t="n">
        <f aca="false">SUMIF($F$7:$AG$7,AL$7,$F99:$AG99)</f>
        <v>0</v>
      </c>
      <c r="AM99" s="120" t="n">
        <f aca="false">SUMIF($F$7:$AG$7,AM$7,$F99:$AG99)</f>
        <v>0</v>
      </c>
      <c r="AN99" s="120" t="n">
        <f aca="false">SUMIF($F$7:$AG$7,AN$7,$F99:$AG99)</f>
        <v>0</v>
      </c>
      <c r="AO99" s="120" t="n">
        <f aca="false">SUMIF($F$7:$AG$7,AO$7,$F99:$AG99)</f>
        <v>0</v>
      </c>
    </row>
    <row r="100" customFormat="false" ht="15" hidden="false" customHeight="false" outlineLevel="0" collapsed="false">
      <c r="A100" s="101" t="s">
        <v>1431</v>
      </c>
      <c r="B100" s="18" t="s">
        <v>400</v>
      </c>
      <c r="C100" s="18"/>
      <c r="D100" s="18"/>
      <c r="F100" s="119" t="n">
        <f aca="false">(1-$I$25)*(1-$J$25)*$D$25*$E$25/4*MIN(1,MAX(0,(F$5-$H$25+1)/$T$25))*IF(F$5=$H$25,DelivFactor,IF(AND(F$5&gt;$H$25,F$5&lt;$H$25+$F$25),1,IF(F$5=$H$25+$F$25,1-DelivFactor,0)))</f>
        <v>0</v>
      </c>
      <c r="G100" s="119" t="n">
        <f aca="false">(1-$I$25)*(1-$J$25)*$D$25*$E$25/4*MIN(1,MAX(0,(G$5-$H$25+1)/$T$25))*IF(G$5=$H$25,DelivFactor,IF(AND(G$5&gt;$H$25,G$5&lt;$H$25+$F$25),1,IF(G$5=$H$25+$F$25,1-DelivFactor,0)))</f>
        <v>0</v>
      </c>
      <c r="H100" s="119" t="n">
        <f aca="false">(1-$I$25)*(1-$J$25)*$D$25*$E$25/4*MIN(1,MAX(0,(H$5-$H$25+1)/$T$25))*IF(H$5=$H$25,DelivFactor,IF(AND(H$5&gt;$H$25,H$5&lt;$H$25+$F$25),1,IF(H$5=$H$25+$F$25,1-DelivFactor,0)))</f>
        <v>0</v>
      </c>
      <c r="I100" s="119" t="n">
        <f aca="false">(1-$I$25)*(1-$J$25)*$D$25*$E$25/4*MIN(1,MAX(0,(I$5-$H$25+1)/$T$25))*IF(I$5=$H$25,DelivFactor,IF(AND(I$5&gt;$H$25,I$5&lt;$H$25+$F$25),1,IF(I$5=$H$25+$F$25,1-DelivFactor,0)))</f>
        <v>0</v>
      </c>
      <c r="J100" s="119" t="n">
        <f aca="false">(1-$I$25)*(1-$J$25)*$D$25*$E$25/4*MIN(1,MAX(0,(J$5-$H$25+1)/$T$25))*IF(J$5=$H$25,DelivFactor,IF(AND(J$5&gt;$H$25,J$5&lt;$H$25+$F$25),1,IF(J$5=$H$25+$F$25,1-DelivFactor,0)))</f>
        <v>0</v>
      </c>
      <c r="K100" s="119" t="n">
        <f aca="false">(1-$I$25)*(1-$J$25)*$D$25*$E$25/4*MIN(1,MAX(0,(K$5-$H$25+1)/$T$25))*IF(K$5=$H$25,DelivFactor,IF(AND(K$5&gt;$H$25,K$5&lt;$H$25+$F$25),1,IF(K$5=$H$25+$F$25,1-DelivFactor,0)))</f>
        <v>0</v>
      </c>
      <c r="L100" s="119" t="n">
        <f aca="false">(1-$I$25)*(1-$J$25)*$D$25*$E$25/4*MIN(1,MAX(0,(L$5-$H$25+1)/$T$25))*IF(L$5=$H$25,DelivFactor,IF(AND(L$5&gt;$H$25,L$5&lt;$H$25+$F$25),1,IF(L$5=$H$25+$F$25,1-DelivFactor,0)))</f>
        <v>0</v>
      </c>
      <c r="M100" s="119" t="n">
        <f aca="false">(1-$I$25)*(1-$J$25)*$D$25*$E$25/4*MIN(1,MAX(0,(M$5-$H$25+1)/$T$25))*IF(M$5=$H$25,DelivFactor,IF(AND(M$5&gt;$H$25,M$5&lt;$H$25+$F$25),1,IF(M$5=$H$25+$F$25,1-DelivFactor,0)))</f>
        <v>0</v>
      </c>
      <c r="N100" s="119" t="n">
        <f aca="false">(1-$I$25)*(1-$J$25)*$D$25*$E$25/4*MIN(1,MAX(0,(N$5-$H$25+1)/$T$25))*IF(N$5=$H$25,DelivFactor,IF(AND(N$5&gt;$H$25,N$5&lt;$H$25+$F$25),1,IF(N$5=$H$25+$F$25,1-DelivFactor,0)))</f>
        <v>0</v>
      </c>
      <c r="O100" s="119" t="n">
        <f aca="false">(1-$I$25)*(1-$J$25)*$D$25*$E$25/4*MIN(1,MAX(0,(O$5-$H$25+1)/$T$25))*IF(O$5=$H$25,DelivFactor,IF(AND(O$5&gt;$H$25,O$5&lt;$H$25+$F$25),1,IF(O$5=$H$25+$F$25,1-DelivFactor,0)))</f>
        <v>0</v>
      </c>
      <c r="P100" s="120" t="n">
        <f aca="false">(1-$I$25)*(1-$J$25)*$D$25*$E$25/4*MIN(1,MAX(0,(P$5-$H$25+1)/$T$25))*IF(P$5=$H$25,DelivFactor,IF(AND(P$5&gt;$H$25,P$5&lt;$H$25+$F$25),1,IF(P$5=$H$25+$F$25,1-DelivFactor,0)))</f>
        <v>0</v>
      </c>
      <c r="Q100" s="120" t="n">
        <f aca="false">(1-$I$25)*(1-$J$25)*$D$25*$E$25/4*MIN(1,MAX(0,(Q$5-$H$25+1)/$T$25))*IF(Q$5=$H$25,DelivFactor,IF(AND(Q$5&gt;$H$25,Q$5&lt;$H$25+$F$25),1,IF(Q$5=$H$25+$F$25,1-DelivFactor,0)))</f>
        <v>0</v>
      </c>
      <c r="R100" s="120" t="n">
        <f aca="false">(1-$I$25)*(1-$J$25)*$D$25*$E$25/4*MIN(1,MAX(0,(R$5-$H$25+1)/$T$25))*IF(R$5=$H$25,DelivFactor,IF(AND(R$5&gt;$H$25,R$5&lt;$H$25+$F$25),1,IF(R$5=$H$25+$F$25,1-DelivFactor,0)))</f>
        <v>0</v>
      </c>
      <c r="S100" s="120" t="n">
        <f aca="false">(1-$I$25)*(1-$J$25)*$D$25*$E$25/4*MIN(1,MAX(0,(S$5-$H$25+1)/$T$25))*IF(S$5=$H$25,DelivFactor,IF(AND(S$5&gt;$H$25,S$5&lt;$H$25+$F$25),1,IF(S$5=$H$25+$F$25,1-DelivFactor,0)))</f>
        <v>0</v>
      </c>
      <c r="T100" s="120" t="n">
        <f aca="false">(1-$I$25)*(1-$J$25)*$D$25*$E$25/4*MIN(1,MAX(0,(T$5-$H$25+1)/$T$25))*IF(T$5=$H$25,DelivFactor,IF(AND(T$5&gt;$H$25,T$5&lt;$H$25+$F$25),1,IF(T$5=$H$25+$F$25,1-DelivFactor,0)))</f>
        <v>150</v>
      </c>
      <c r="U100" s="120" t="n">
        <f aca="false">(1-$I$25)*(1-$J$25)*$D$25*$E$25/4*MIN(1,MAX(0,(U$5-$H$25+1)/$T$25))*IF(U$5=$H$25,DelivFactor,IF(AND(U$5&gt;$H$25,U$5&lt;$H$25+$F$25),1,IF(U$5=$H$25+$F$25,1-DelivFactor,0)))</f>
        <v>300</v>
      </c>
      <c r="V100" s="120" t="n">
        <f aca="false">(1-$I$25)*(1-$J$25)*$D$25*$E$25/4*MIN(1,MAX(0,(V$5-$H$25+1)/$T$25))*IF(V$5=$H$25,DelivFactor,IF(AND(V$5&gt;$H$25,V$5&lt;$H$25+$F$25),1,IF(V$5=$H$25+$F$25,1-DelivFactor,0)))</f>
        <v>300</v>
      </c>
      <c r="W100" s="120" t="n">
        <f aca="false">(1-$I$25)*(1-$J$25)*$D$25*$E$25/4*MIN(1,MAX(0,(W$5-$H$25+1)/$T$25))*IF(W$5=$H$25,DelivFactor,IF(AND(W$5&gt;$H$25,W$5&lt;$H$25+$F$25),1,IF(W$5=$H$25+$F$25,1-DelivFactor,0)))</f>
        <v>300</v>
      </c>
      <c r="X100" s="120" t="n">
        <f aca="false">(1-$I$25)*(1-$J$25)*$D$25*$E$25/4*MIN(1,MAX(0,(X$5-$H$25+1)/$T$25))*IF(X$5=$H$25,DelivFactor,IF(AND(X$5&gt;$H$25,X$5&lt;$H$25+$F$25),1,IF(X$5=$H$25+$F$25,1-DelivFactor,0)))</f>
        <v>300</v>
      </c>
      <c r="Y100" s="120" t="n">
        <f aca="false">(1-$I$25)*(1-$J$25)*$D$25*$E$25/4*MIN(1,MAX(0,(Y$5-$H$25+1)/$T$25))*IF(Y$5=$H$25,DelivFactor,IF(AND(Y$5&gt;$H$25,Y$5&lt;$H$25+$F$25),1,IF(Y$5=$H$25+$F$25,1-DelivFactor,0)))</f>
        <v>300</v>
      </c>
      <c r="Z100" s="120" t="n">
        <f aca="false">(1-$I$25)*(1-$J$25)*$D$25*$E$25/4*MIN(1,MAX(0,(Z$5-$H$25+1)/$T$25))*IF(Z$5=$H$25,DelivFactor,IF(AND(Z$5&gt;$H$25,Z$5&lt;$H$25+$F$25),1,IF(Z$5=$H$25+$F$25,1-DelivFactor,0)))</f>
        <v>300</v>
      </c>
      <c r="AA100" s="120" t="n">
        <f aca="false">(1-$I$25)*(1-$J$25)*$D$25*$E$25/4*MIN(1,MAX(0,(AA$5-$H$25+1)/$T$25))*IF(AA$5=$H$25,DelivFactor,IF(AND(AA$5&gt;$H$25,AA$5&lt;$H$25+$F$25),1,IF(AA$5=$H$25+$F$25,1-DelivFactor,0)))</f>
        <v>300</v>
      </c>
      <c r="AB100" s="120" t="n">
        <f aca="false">(1-$I$25)*(1-$J$25)*$D$25*$E$25/4*MIN(1,MAX(0,(AB$5-$H$25+1)/$T$25))*IF(AB$5=$H$25,DelivFactor,IF(AND(AB$5&gt;$H$25,AB$5&lt;$H$25+$F$25),1,IF(AB$5=$H$25+$F$25,1-DelivFactor,0)))</f>
        <v>300</v>
      </c>
      <c r="AC100" s="120" t="n">
        <f aca="false">(1-$I$25)*(1-$J$25)*$D$25*$E$25/4*MIN(1,MAX(0,(AC$5-$H$25+1)/$T$25))*IF(AC$5=$H$25,DelivFactor,IF(AND(AC$5&gt;$H$25,AC$5&lt;$H$25+$F$25),1,IF(AC$5=$H$25+$F$25,1-DelivFactor,0)))</f>
        <v>300</v>
      </c>
      <c r="AD100" s="120" t="n">
        <f aca="false">(1-$I$25)*(1-$J$25)*$D$25*$E$25/4*MIN(1,MAX(0,(AD$5-$H$25+1)/$T$25))*IF(AD$5=$H$25,DelivFactor,IF(AND(AD$5&gt;$H$25,AD$5&lt;$H$25+$F$25),1,IF(AD$5=$H$25+$F$25,1-DelivFactor,0)))</f>
        <v>300</v>
      </c>
      <c r="AE100" s="120" t="n">
        <f aca="false">(1-$I$25)*(1-$J$25)*$D$25*$E$25/4*MIN(1,MAX(0,(AE$5-$H$25+1)/$T$25))*IF(AE$5=$H$25,DelivFactor,IF(AND(AE$5&gt;$H$25,AE$5&lt;$H$25+$F$25),1,IF(AE$5=$H$25+$F$25,1-DelivFactor,0)))</f>
        <v>300</v>
      </c>
      <c r="AF100" s="120" t="n">
        <f aca="false">(1-$I$25)*(1-$J$25)*$D$25*$E$25/4*MIN(1,MAX(0,(AF$5-$H$25+1)/$T$25))*IF(AF$5=$H$25,DelivFactor,IF(AND(AF$5&gt;$H$25,AF$5&lt;$H$25+$F$25),1,IF(AF$5=$H$25+$F$25,1-DelivFactor,0)))</f>
        <v>300</v>
      </c>
      <c r="AG100" s="120" t="n">
        <f aca="false">(1-$I$25)*(1-$J$25)*$D$25*$E$25/4*MIN(1,MAX(0,(AG$5-$H$25+1)/$T$25))*IF(AG$5=$H$25,DelivFactor,IF(AND(AG$5&gt;$H$25,AG$5&lt;$H$25+$F$25),1,IF(AG$5=$H$25+$F$25,1-DelivFactor,0)))</f>
        <v>300</v>
      </c>
      <c r="AI100" s="120" t="n">
        <f aca="false">SUMIF($F$7:$AG$7,AI$7,$F100:$AG100)</f>
        <v>0</v>
      </c>
      <c r="AJ100" s="120" t="n">
        <f aca="false">SUMIF($F$7:$AG$7,AJ$7,$F100:$AG100)</f>
        <v>0</v>
      </c>
      <c r="AK100" s="120" t="n">
        <f aca="false">SUMIF($F$7:$AG$7,AK$7,$F100:$AG100)</f>
        <v>0</v>
      </c>
      <c r="AL100" s="120" t="n">
        <f aca="false">SUMIF($F$7:$AG$7,AL$7,$F100:$AG100)</f>
        <v>450</v>
      </c>
      <c r="AM100" s="120" t="n">
        <f aca="false">SUMIF($F$7:$AG$7,AM$7,$F100:$AG100)</f>
        <v>1200</v>
      </c>
      <c r="AN100" s="120" t="n">
        <f aca="false">SUMIF($F$7:$AG$7,AN$7,$F100:$AG100)</f>
        <v>1200</v>
      </c>
      <c r="AO100" s="120" t="n">
        <f aca="false">SUMIF($F$7:$AG$7,AO$7,$F100:$AG100)</f>
        <v>1200</v>
      </c>
    </row>
    <row r="101" customFormat="false" ht="15" hidden="false" customHeight="false" outlineLevel="0" collapsed="false">
      <c r="A101" s="101" t="s">
        <v>1432</v>
      </c>
      <c r="B101" s="18" t="s">
        <v>415</v>
      </c>
      <c r="C101" s="18"/>
      <c r="D101" s="18"/>
      <c r="F101" s="110" t="n">
        <f aca="false">(1-$I$25)*(1-$J$25)*$D$25*AND(F$5&gt;=$H$25,F$5&lt;$H$25+$F$25)</f>
        <v>0</v>
      </c>
      <c r="G101" s="110" t="n">
        <f aca="false">(1-$I$25)*(1-$J$25)*$D$25*AND(G$5&gt;=$H$25,G$5&lt;$H$25+$F$25)</f>
        <v>0</v>
      </c>
      <c r="H101" s="110" t="n">
        <f aca="false">(1-$I$25)*(1-$J$25)*$D$25*AND(H$5&gt;=$H$25,H$5&lt;$H$25+$F$25)</f>
        <v>0</v>
      </c>
      <c r="I101" s="110" t="n">
        <f aca="false">(1-$I$25)*(1-$J$25)*$D$25*AND(I$5&gt;=$H$25,I$5&lt;$H$25+$F$25)</f>
        <v>0</v>
      </c>
      <c r="J101" s="110" t="n">
        <f aca="false">(1-$I$25)*(1-$J$25)*$D$25*AND(J$5&gt;=$H$25,J$5&lt;$H$25+$F$25)</f>
        <v>0</v>
      </c>
      <c r="K101" s="110" t="n">
        <f aca="false">(1-$I$25)*(1-$J$25)*$D$25*AND(K$5&gt;=$H$25,K$5&lt;$H$25+$F$25)</f>
        <v>0</v>
      </c>
      <c r="L101" s="110" t="n">
        <f aca="false">(1-$I$25)*(1-$J$25)*$D$25*AND(L$5&gt;=$H$25,L$5&lt;$H$25+$F$25)</f>
        <v>0</v>
      </c>
      <c r="M101" s="110" t="n">
        <f aca="false">(1-$I$25)*(1-$J$25)*$D$25*AND(M$5&gt;=$H$25,M$5&lt;$H$25+$F$25)</f>
        <v>0</v>
      </c>
      <c r="N101" s="110" t="n">
        <f aca="false">(1-$I$25)*(1-$J$25)*$D$25*AND(N$5&gt;=$H$25,N$5&lt;$H$25+$F$25)</f>
        <v>0</v>
      </c>
      <c r="O101" s="110" t="n">
        <f aca="false">(1-$I$25)*(1-$J$25)*$D$25*AND(O$5&gt;=$H$25,O$5&lt;$H$25+$F$25)</f>
        <v>0</v>
      </c>
      <c r="P101" s="21" t="n">
        <f aca="false">(1-$I$25)*(1-$J$25)*$D$25*AND(P$5&gt;=$H$25,P$5&lt;$H$25+$F$25)</f>
        <v>0</v>
      </c>
      <c r="Q101" s="21" t="n">
        <f aca="false">(1-$I$25)*(1-$J$25)*$D$25*AND(Q$5&gt;=$H$25,Q$5&lt;$H$25+$F$25)</f>
        <v>0</v>
      </c>
      <c r="R101" s="21" t="n">
        <f aca="false">(1-$I$25)*(1-$J$25)*$D$25*AND(R$5&gt;=$H$25,R$5&lt;$H$25+$F$25)</f>
        <v>0</v>
      </c>
      <c r="S101" s="21" t="n">
        <f aca="false">(1-$I$25)*(1-$J$25)*$D$25*AND(S$5&gt;=$H$25,S$5&lt;$H$25+$F$25)</f>
        <v>0</v>
      </c>
      <c r="T101" s="21" t="n">
        <f aca="false">(1-$I$25)*(1-$J$25)*$D$25*AND(T$5&gt;=$H$25,T$5&lt;$H$25+$F$25)</f>
        <v>53.3333333333333</v>
      </c>
      <c r="U101" s="21" t="n">
        <f aca="false">(1-$I$25)*(1-$J$25)*$D$25*AND(U$5&gt;=$H$25,U$5&lt;$H$25+$F$25)</f>
        <v>53.3333333333333</v>
      </c>
      <c r="V101" s="21" t="n">
        <f aca="false">(1-$I$25)*(1-$J$25)*$D$25*AND(V$5&gt;=$H$25,V$5&lt;$H$25+$F$25)</f>
        <v>53.3333333333333</v>
      </c>
      <c r="W101" s="21" t="n">
        <f aca="false">(1-$I$25)*(1-$J$25)*$D$25*AND(W$5&gt;=$H$25,W$5&lt;$H$25+$F$25)</f>
        <v>53.3333333333333</v>
      </c>
      <c r="X101" s="21" t="n">
        <f aca="false">(1-$I$25)*(1-$J$25)*$D$25*AND(X$5&gt;=$H$25,X$5&lt;$H$25+$F$25)</f>
        <v>53.3333333333333</v>
      </c>
      <c r="Y101" s="21" t="n">
        <f aca="false">(1-$I$25)*(1-$J$25)*$D$25*AND(Y$5&gt;=$H$25,Y$5&lt;$H$25+$F$25)</f>
        <v>53.3333333333333</v>
      </c>
      <c r="Z101" s="21" t="n">
        <f aca="false">(1-$I$25)*(1-$J$25)*$D$25*AND(Z$5&gt;=$H$25,Z$5&lt;$H$25+$F$25)</f>
        <v>53.3333333333333</v>
      </c>
      <c r="AA101" s="21" t="n">
        <f aca="false">(1-$I$25)*(1-$J$25)*$D$25*AND(AA$5&gt;=$H$25,AA$5&lt;$H$25+$F$25)</f>
        <v>53.3333333333333</v>
      </c>
      <c r="AB101" s="21" t="n">
        <f aca="false">(1-$I$25)*(1-$J$25)*$D$25*AND(AB$5&gt;=$H$25,AB$5&lt;$H$25+$F$25)</f>
        <v>53.3333333333333</v>
      </c>
      <c r="AC101" s="21" t="n">
        <f aca="false">(1-$I$25)*(1-$J$25)*$D$25*AND(AC$5&gt;=$H$25,AC$5&lt;$H$25+$F$25)</f>
        <v>53.3333333333333</v>
      </c>
      <c r="AD101" s="21" t="n">
        <f aca="false">(1-$I$25)*(1-$J$25)*$D$25*AND(AD$5&gt;=$H$25,AD$5&lt;$H$25+$F$25)</f>
        <v>53.3333333333333</v>
      </c>
      <c r="AE101" s="21" t="n">
        <f aca="false">(1-$I$25)*(1-$J$25)*$D$25*AND(AE$5&gt;=$H$25,AE$5&lt;$H$25+$F$25)</f>
        <v>53.3333333333333</v>
      </c>
      <c r="AF101" s="21" t="n">
        <f aca="false">(1-$I$25)*(1-$J$25)*$D$25*AND(AF$5&gt;=$H$25,AF$5&lt;$H$25+$F$25)</f>
        <v>53.3333333333333</v>
      </c>
      <c r="AG101" s="21" t="n">
        <f aca="false">(1-$I$25)*(1-$J$25)*$D$25*AND(AG$5&gt;=$H$25,AG$5&lt;$H$25+$F$25)</f>
        <v>53.3333333333333</v>
      </c>
      <c r="AI101" s="21" t="n">
        <f aca="false">INDEX($F101:$AG101,1,MATCH(AI$7,$F$7:$AG$7,1))</f>
        <v>0</v>
      </c>
      <c r="AJ101" s="21" t="n">
        <f aca="false">INDEX($F101:$AG101,1,MATCH(AJ$7,$F$7:$AG$7,1))</f>
        <v>0</v>
      </c>
      <c r="AK101" s="21" t="n">
        <f aca="false">INDEX($F101:$AG101,1,MATCH(AK$7,$F$7:$AG$7,1))</f>
        <v>0</v>
      </c>
      <c r="AL101" s="21" t="n">
        <f aca="false">INDEX($F101:$AG101,1,MATCH(AL$7,$F$7:$AG$7,1))</f>
        <v>53.3333333333333</v>
      </c>
      <c r="AM101" s="21" t="n">
        <f aca="false">INDEX($F101:$AG101,1,MATCH(AM$7,$F$7:$AG$7,1))</f>
        <v>53.3333333333333</v>
      </c>
      <c r="AN101" s="21" t="n">
        <f aca="false">INDEX($F101:$AG101,1,MATCH(AN$7,$F$7:$AG$7,1))</f>
        <v>53.3333333333333</v>
      </c>
      <c r="AO101" s="21" t="n">
        <f aca="false">INDEX($F101:$AG101,1,MATCH(AO$7,$F$7:$AG$7,1))</f>
        <v>53.3333333333333</v>
      </c>
    </row>
    <row r="102" customFormat="false" ht="15" hidden="false" customHeight="false" outlineLevel="0" collapsed="false">
      <c r="A102" s="101" t="s">
        <v>1433</v>
      </c>
      <c r="B102" s="18" t="s">
        <v>400</v>
      </c>
      <c r="C102" s="18"/>
      <c r="D102" s="18"/>
      <c r="F102" s="119" t="n">
        <f aca="false">-(1-$I$25)*LD_Pct*$D$25*$E$25/4*AND(F$5&gt;=$G$25,F$5&lt;$H$25)</f>
        <v>-0</v>
      </c>
      <c r="G102" s="119" t="n">
        <f aca="false">-(1-$I$25)*LD_Pct*$D$25*$E$25/4*AND(G$5&gt;=$G$25,G$5&lt;$H$25)</f>
        <v>-0</v>
      </c>
      <c r="H102" s="119" t="n">
        <f aca="false">-(1-$I$25)*LD_Pct*$D$25*$E$25/4*AND(H$5&gt;=$G$25,H$5&lt;$H$25)</f>
        <v>-0</v>
      </c>
      <c r="I102" s="119" t="n">
        <f aca="false">-(1-$I$25)*LD_Pct*$D$25*$E$25/4*AND(I$5&gt;=$G$25,I$5&lt;$H$25)</f>
        <v>-0</v>
      </c>
      <c r="J102" s="119" t="n">
        <f aca="false">-(1-$I$25)*LD_Pct*$D$25*$E$25/4*AND(J$5&gt;=$G$25,J$5&lt;$H$25)</f>
        <v>-0</v>
      </c>
      <c r="K102" s="119" t="n">
        <f aca="false">-(1-$I$25)*LD_Pct*$D$25*$E$25/4*AND(K$5&gt;=$G$25,K$5&lt;$H$25)</f>
        <v>-0</v>
      </c>
      <c r="L102" s="119" t="n">
        <f aca="false">-(1-$I$25)*LD_Pct*$D$25*$E$25/4*AND(L$5&gt;=$G$25,L$5&lt;$H$25)</f>
        <v>-0</v>
      </c>
      <c r="M102" s="119" t="n">
        <f aca="false">-(1-$I$25)*LD_Pct*$D$25*$E$25/4*AND(M$5&gt;=$G$25,M$5&lt;$H$25)</f>
        <v>-0</v>
      </c>
      <c r="N102" s="119" t="n">
        <f aca="false">-(1-$I$25)*LD_Pct*$D$25*$E$25/4*AND(N$5&gt;=$G$25,N$5&lt;$H$25)</f>
        <v>-0</v>
      </c>
      <c r="O102" s="119" t="n">
        <f aca="false">-(1-$I$25)*LD_Pct*$D$25*$E$25/4*AND(O$5&gt;=$G$25,O$5&lt;$H$25)</f>
        <v>-0</v>
      </c>
      <c r="P102" s="120" t="n">
        <f aca="false">-(1-$I$25)*LD_Pct*$D$25*$E$25/4*AND(P$5&gt;=$G$25,P$5&lt;$H$25)</f>
        <v>-0</v>
      </c>
      <c r="Q102" s="120" t="n">
        <f aca="false">-(1-$I$25)*LD_Pct*$D$25*$E$25/4*AND(Q$5&gt;=$G$25,Q$5&lt;$H$25)</f>
        <v>-0</v>
      </c>
      <c r="R102" s="120" t="n">
        <f aca="false">-(1-$I$25)*LD_Pct*$D$25*$E$25/4*AND(R$5&gt;=$G$25,R$5&lt;$H$25)</f>
        <v>-0</v>
      </c>
      <c r="S102" s="120" t="n">
        <f aca="false">-(1-$I$25)*LD_Pct*$D$25*$E$25/4*AND(S$5&gt;=$G$25,S$5&lt;$H$25)</f>
        <v>-0</v>
      </c>
      <c r="T102" s="120" t="n">
        <f aca="false">-(1-$I$25)*LD_Pct*$D$25*$E$25/4*AND(T$5&gt;=$G$25,T$5&lt;$H$25)</f>
        <v>-0</v>
      </c>
      <c r="U102" s="120" t="n">
        <f aca="false">-(1-$I$25)*LD_Pct*$D$25*$E$25/4*AND(U$5&gt;=$G$25,U$5&lt;$H$25)</f>
        <v>-0</v>
      </c>
      <c r="V102" s="120" t="n">
        <f aca="false">-(1-$I$25)*LD_Pct*$D$25*$E$25/4*AND(V$5&gt;=$G$25,V$5&lt;$H$25)</f>
        <v>-0</v>
      </c>
      <c r="W102" s="120" t="n">
        <f aca="false">-(1-$I$25)*LD_Pct*$D$25*$E$25/4*AND(W$5&gt;=$G$25,W$5&lt;$H$25)</f>
        <v>-0</v>
      </c>
      <c r="X102" s="120" t="n">
        <f aca="false">-(1-$I$25)*LD_Pct*$D$25*$E$25/4*AND(X$5&gt;=$G$25,X$5&lt;$H$25)</f>
        <v>-0</v>
      </c>
      <c r="Y102" s="120" t="n">
        <f aca="false">-(1-$I$25)*LD_Pct*$D$25*$E$25/4*AND(Y$5&gt;=$G$25,Y$5&lt;$H$25)</f>
        <v>-0</v>
      </c>
      <c r="Z102" s="120" t="n">
        <f aca="false">-(1-$I$25)*LD_Pct*$D$25*$E$25/4*AND(Z$5&gt;=$G$25,Z$5&lt;$H$25)</f>
        <v>-0</v>
      </c>
      <c r="AA102" s="120" t="n">
        <f aca="false">-(1-$I$25)*LD_Pct*$D$25*$E$25/4*AND(AA$5&gt;=$G$25,AA$5&lt;$H$25)</f>
        <v>-0</v>
      </c>
      <c r="AB102" s="120" t="n">
        <f aca="false">-(1-$I$25)*LD_Pct*$D$25*$E$25/4*AND(AB$5&gt;=$G$25,AB$5&lt;$H$25)</f>
        <v>-0</v>
      </c>
      <c r="AC102" s="120" t="n">
        <f aca="false">-(1-$I$25)*LD_Pct*$D$25*$E$25/4*AND(AC$5&gt;=$G$25,AC$5&lt;$H$25)</f>
        <v>-0</v>
      </c>
      <c r="AD102" s="120" t="n">
        <f aca="false">-(1-$I$25)*LD_Pct*$D$25*$E$25/4*AND(AD$5&gt;=$G$25,AD$5&lt;$H$25)</f>
        <v>-0</v>
      </c>
      <c r="AE102" s="120" t="n">
        <f aca="false">-(1-$I$25)*LD_Pct*$D$25*$E$25/4*AND(AE$5&gt;=$G$25,AE$5&lt;$H$25)</f>
        <v>-0</v>
      </c>
      <c r="AF102" s="120" t="n">
        <f aca="false">-(1-$I$25)*LD_Pct*$D$25*$E$25/4*AND(AF$5&gt;=$G$25,AF$5&lt;$H$25)</f>
        <v>-0</v>
      </c>
      <c r="AG102" s="120" t="n">
        <f aca="false">-(1-$I$25)*LD_Pct*$D$25*$E$25/4*AND(AG$5&gt;=$G$25,AG$5&lt;$H$25)</f>
        <v>-0</v>
      </c>
      <c r="AI102" s="120" t="n">
        <f aca="false">SUMIF($F$7:$AG$7,AI$7,$F102:$AG102)</f>
        <v>0</v>
      </c>
      <c r="AJ102" s="120" t="n">
        <f aca="false">SUMIF($F$7:$AG$7,AJ$7,$F102:$AG102)</f>
        <v>0</v>
      </c>
      <c r="AK102" s="120" t="n">
        <f aca="false">SUMIF($F$7:$AG$7,AK$7,$F102:$AG102)</f>
        <v>0</v>
      </c>
      <c r="AL102" s="120" t="n">
        <f aca="false">SUMIF($F$7:$AG$7,AL$7,$F102:$AG102)</f>
        <v>0</v>
      </c>
      <c r="AM102" s="120" t="n">
        <f aca="false">SUMIF($F$7:$AG$7,AM$7,$F102:$AG102)</f>
        <v>0</v>
      </c>
      <c r="AN102" s="120" t="n">
        <f aca="false">SUMIF($F$7:$AG$7,AN$7,$F102:$AG102)</f>
        <v>0</v>
      </c>
      <c r="AO102" s="120" t="n">
        <f aca="false">SUMIF($F$7:$AG$7,AO$7,$F102:$AG102)</f>
        <v>0</v>
      </c>
    </row>
    <row r="103" customFormat="false" ht="15" hidden="false" customHeight="false" outlineLevel="0" collapsed="false">
      <c r="A103" s="101" t="s">
        <v>1434</v>
      </c>
      <c r="B103" s="18" t="s">
        <v>415</v>
      </c>
      <c r="C103" s="18"/>
      <c r="D103" s="18"/>
      <c r="F103" s="110" t="n">
        <f aca="false">(1-$I$25)*(1-$J$25)*$D$25*(F$5&gt;=$H$25+$F$25)</f>
        <v>0</v>
      </c>
      <c r="G103" s="110" t="n">
        <f aca="false">(1-$I$25)*(1-$J$25)*$D$25*(G$5&gt;=$H$25+$F$25)</f>
        <v>0</v>
      </c>
      <c r="H103" s="110" t="n">
        <f aca="false">(1-$I$25)*(1-$J$25)*$D$25*(H$5&gt;=$H$25+$F$25)</f>
        <v>0</v>
      </c>
      <c r="I103" s="110" t="n">
        <f aca="false">(1-$I$25)*(1-$J$25)*$D$25*(I$5&gt;=$H$25+$F$25)</f>
        <v>0</v>
      </c>
      <c r="J103" s="110" t="n">
        <f aca="false">(1-$I$25)*(1-$J$25)*$D$25*(J$5&gt;=$H$25+$F$25)</f>
        <v>0</v>
      </c>
      <c r="K103" s="110" t="n">
        <f aca="false">(1-$I$25)*(1-$J$25)*$D$25*(K$5&gt;=$H$25+$F$25)</f>
        <v>0</v>
      </c>
      <c r="L103" s="110" t="n">
        <f aca="false">(1-$I$25)*(1-$J$25)*$D$25*(L$5&gt;=$H$25+$F$25)</f>
        <v>0</v>
      </c>
      <c r="M103" s="110" t="n">
        <f aca="false">(1-$I$25)*(1-$J$25)*$D$25*(M$5&gt;=$H$25+$F$25)</f>
        <v>0</v>
      </c>
      <c r="N103" s="110" t="n">
        <f aca="false">(1-$I$25)*(1-$J$25)*$D$25*(N$5&gt;=$H$25+$F$25)</f>
        <v>0</v>
      </c>
      <c r="O103" s="110" t="n">
        <f aca="false">(1-$I$25)*(1-$J$25)*$D$25*(O$5&gt;=$H$25+$F$25)</f>
        <v>0</v>
      </c>
      <c r="P103" s="21" t="n">
        <f aca="false">(1-$I$25)*(1-$J$25)*$D$25*(P$5&gt;=$H$25+$F$25)</f>
        <v>0</v>
      </c>
      <c r="Q103" s="21" t="n">
        <f aca="false">(1-$I$25)*(1-$J$25)*$D$25*(Q$5&gt;=$H$25+$F$25)</f>
        <v>0</v>
      </c>
      <c r="R103" s="21" t="n">
        <f aca="false">(1-$I$25)*(1-$J$25)*$D$25*(R$5&gt;=$H$25+$F$25)</f>
        <v>0</v>
      </c>
      <c r="S103" s="21" t="n">
        <f aca="false">(1-$I$25)*(1-$J$25)*$D$25*(S$5&gt;=$H$25+$F$25)</f>
        <v>0</v>
      </c>
      <c r="T103" s="21" t="n">
        <f aca="false">(1-$I$25)*(1-$J$25)*$D$25*(T$5&gt;=$H$25+$F$25)</f>
        <v>0</v>
      </c>
      <c r="U103" s="21" t="n">
        <f aca="false">(1-$I$25)*(1-$J$25)*$D$25*(U$5&gt;=$H$25+$F$25)</f>
        <v>0</v>
      </c>
      <c r="V103" s="21" t="n">
        <f aca="false">(1-$I$25)*(1-$J$25)*$D$25*(V$5&gt;=$H$25+$F$25)</f>
        <v>0</v>
      </c>
      <c r="W103" s="21" t="n">
        <f aca="false">(1-$I$25)*(1-$J$25)*$D$25*(W$5&gt;=$H$25+$F$25)</f>
        <v>0</v>
      </c>
      <c r="X103" s="21" t="n">
        <f aca="false">(1-$I$25)*(1-$J$25)*$D$25*(X$5&gt;=$H$25+$F$25)</f>
        <v>0</v>
      </c>
      <c r="Y103" s="21" t="n">
        <f aca="false">(1-$I$25)*(1-$J$25)*$D$25*(Y$5&gt;=$H$25+$F$25)</f>
        <v>0</v>
      </c>
      <c r="Z103" s="21" t="n">
        <f aca="false">(1-$I$25)*(1-$J$25)*$D$25*(Z$5&gt;=$H$25+$F$25)</f>
        <v>0</v>
      </c>
      <c r="AA103" s="21" t="n">
        <f aca="false">(1-$I$25)*(1-$J$25)*$D$25*(AA$5&gt;=$H$25+$F$25)</f>
        <v>0</v>
      </c>
      <c r="AB103" s="21" t="n">
        <f aca="false">(1-$I$25)*(1-$J$25)*$D$25*(AB$5&gt;=$H$25+$F$25)</f>
        <v>0</v>
      </c>
      <c r="AC103" s="21" t="n">
        <f aca="false">(1-$I$25)*(1-$J$25)*$D$25*(AC$5&gt;=$H$25+$F$25)</f>
        <v>0</v>
      </c>
      <c r="AD103" s="21" t="n">
        <f aca="false">(1-$I$25)*(1-$J$25)*$D$25*(AD$5&gt;=$H$25+$F$25)</f>
        <v>0</v>
      </c>
      <c r="AE103" s="21" t="n">
        <f aca="false">(1-$I$25)*(1-$J$25)*$D$25*(AE$5&gt;=$H$25+$F$25)</f>
        <v>0</v>
      </c>
      <c r="AF103" s="21" t="n">
        <f aca="false">(1-$I$25)*(1-$J$25)*$D$25*(AF$5&gt;=$H$25+$F$25)</f>
        <v>0</v>
      </c>
      <c r="AG103" s="21" t="n">
        <f aca="false">(1-$I$25)*(1-$J$25)*$D$25*(AG$5&gt;=$H$25+$F$25)</f>
        <v>0</v>
      </c>
      <c r="AI103" s="21" t="n">
        <f aca="false">INDEX($F103:$AG103,1,MATCH(AI$7,$F$7:$AG$7,1))</f>
        <v>0</v>
      </c>
      <c r="AJ103" s="21" t="n">
        <f aca="false">INDEX($F103:$AG103,1,MATCH(AJ$7,$F$7:$AG$7,1))</f>
        <v>0</v>
      </c>
      <c r="AK103" s="21" t="n">
        <f aca="false">INDEX($F103:$AG103,1,MATCH(AK$7,$F$7:$AG$7,1))</f>
        <v>0</v>
      </c>
      <c r="AL103" s="21" t="n">
        <f aca="false">INDEX($F103:$AG103,1,MATCH(AL$7,$F$7:$AG$7,1))</f>
        <v>0</v>
      </c>
      <c r="AM103" s="21" t="n">
        <f aca="false">INDEX($F103:$AG103,1,MATCH(AM$7,$F$7:$AG$7,1))</f>
        <v>0</v>
      </c>
      <c r="AN103" s="21" t="n">
        <f aca="false">INDEX($F103:$AG103,1,MATCH(AN$7,$F$7:$AG$7,1))</f>
        <v>0</v>
      </c>
      <c r="AO103" s="21" t="n">
        <f aca="false">INDEX($F103:$AG103,1,MATCH(AO$7,$F$7:$AG$7,1))</f>
        <v>0</v>
      </c>
    </row>
    <row r="104" customFormat="false" ht="15" hidden="false" customHeight="false" outlineLevel="0" collapsed="false">
      <c r="A104" s="101" t="s">
        <v>1435</v>
      </c>
      <c r="B104" s="18" t="s">
        <v>400</v>
      </c>
      <c r="C104" s="18"/>
      <c r="D104" s="18" t="s">
        <v>1370</v>
      </c>
      <c r="F104" s="119" t="n">
        <f aca="false">F103*CHOOSE(MATCH($C$25,{"H";"B";"N"},0),GPUMW_H*ODc_H,GPUMW_B*ODc_B,GPUMW_N*ODc_N)*ResidUtil*Timeline!F$9*INDEX(Curve,1,MAX(1,MIN(8,INT((F$5-$H$25)/4)+1)))/1000000</f>
        <v>0</v>
      </c>
      <c r="G104" s="119" t="n">
        <f aca="false">G103*CHOOSE(MATCH($C$25,{"H";"B";"N"},0),GPUMW_H*ODc_H,GPUMW_B*ODc_B,GPUMW_N*ODc_N)*ResidUtil*Timeline!G$9*INDEX(Curve,1,MAX(1,MIN(8,INT((G$5-$H$25)/4)+1)))/1000000</f>
        <v>0</v>
      </c>
      <c r="H104" s="119" t="n">
        <f aca="false">H103*CHOOSE(MATCH($C$25,{"H";"B";"N"},0),GPUMW_H*ODc_H,GPUMW_B*ODc_B,GPUMW_N*ODc_N)*ResidUtil*Timeline!H$9*INDEX(Curve,1,MAX(1,MIN(8,INT((H$5-$H$25)/4)+1)))/1000000</f>
        <v>0</v>
      </c>
      <c r="I104" s="119" t="n">
        <f aca="false">I103*CHOOSE(MATCH($C$25,{"H";"B";"N"},0),GPUMW_H*ODc_H,GPUMW_B*ODc_B,GPUMW_N*ODc_N)*ResidUtil*Timeline!I$9*INDEX(Curve,1,MAX(1,MIN(8,INT((I$5-$H$25)/4)+1)))/1000000</f>
        <v>0</v>
      </c>
      <c r="J104" s="119" t="n">
        <f aca="false">J103*CHOOSE(MATCH($C$25,{"H";"B";"N"},0),GPUMW_H*ODc_H,GPUMW_B*ODc_B,GPUMW_N*ODc_N)*ResidUtil*Timeline!J$9*INDEX(Curve,1,MAX(1,MIN(8,INT((J$5-$H$25)/4)+1)))/1000000</f>
        <v>0</v>
      </c>
      <c r="K104" s="119" t="n">
        <f aca="false">K103*CHOOSE(MATCH($C$25,{"H";"B";"N"},0),GPUMW_H*ODc_H,GPUMW_B*ODc_B,GPUMW_N*ODc_N)*ResidUtil*Timeline!K$9*INDEX(Curve,1,MAX(1,MIN(8,INT((K$5-$H$25)/4)+1)))/1000000</f>
        <v>0</v>
      </c>
      <c r="L104" s="119" t="n">
        <f aca="false">L103*CHOOSE(MATCH($C$25,{"H";"B";"N"},0),GPUMW_H*ODc_H,GPUMW_B*ODc_B,GPUMW_N*ODc_N)*ResidUtil*Timeline!L$9*INDEX(Curve,1,MAX(1,MIN(8,INT((L$5-$H$25)/4)+1)))/1000000</f>
        <v>0</v>
      </c>
      <c r="M104" s="119" t="n">
        <f aca="false">M103*CHOOSE(MATCH($C$25,{"H";"B";"N"},0),GPUMW_H*ODc_H,GPUMW_B*ODc_B,GPUMW_N*ODc_N)*ResidUtil*Timeline!M$9*INDEX(Curve,1,MAX(1,MIN(8,INT((M$5-$H$25)/4)+1)))/1000000</f>
        <v>0</v>
      </c>
      <c r="N104" s="119" t="n">
        <f aca="false">N103*CHOOSE(MATCH($C$25,{"H";"B";"N"},0),GPUMW_H*ODc_H,GPUMW_B*ODc_B,GPUMW_N*ODc_N)*ResidUtil*Timeline!N$9*INDEX(Curve,1,MAX(1,MIN(8,INT((N$5-$H$25)/4)+1)))/1000000</f>
        <v>0</v>
      </c>
      <c r="O104" s="119" t="n">
        <f aca="false">O103*CHOOSE(MATCH($C$25,{"H";"B";"N"},0),GPUMW_H*ODc_H,GPUMW_B*ODc_B,GPUMW_N*ODc_N)*ResidUtil*Timeline!O$9*INDEX(Curve,1,MAX(1,MIN(8,INT((O$5-$H$25)/4)+1)))/1000000</f>
        <v>0</v>
      </c>
      <c r="P104" s="120" t="n">
        <f aca="false">P103*CHOOSE(MATCH($C$25,{"H";"B";"N"},0),GPUMW_H*ODc_H,GPUMW_B*ODc_B,GPUMW_N*ODc_N)*ResidUtil*Timeline!P$9*INDEX(Curve,1,MAX(1,MIN(8,INT((P$5-$H$25)/4)+1)))/1000000</f>
        <v>0</v>
      </c>
      <c r="Q104" s="120" t="n">
        <f aca="false">Q103*CHOOSE(MATCH($C$25,{"H";"B";"N"},0),GPUMW_H*ODc_H,GPUMW_B*ODc_B,GPUMW_N*ODc_N)*ResidUtil*Timeline!Q$9*INDEX(Curve,1,MAX(1,MIN(8,INT((Q$5-$H$25)/4)+1)))/1000000</f>
        <v>0</v>
      </c>
      <c r="R104" s="120" t="n">
        <f aca="false">R103*CHOOSE(MATCH($C$25,{"H";"B";"N"},0),GPUMW_H*ODc_H,GPUMW_B*ODc_B,GPUMW_N*ODc_N)*ResidUtil*Timeline!R$9*INDEX(Curve,1,MAX(1,MIN(8,INT((R$5-$H$25)/4)+1)))/1000000</f>
        <v>0</v>
      </c>
      <c r="S104" s="120" t="n">
        <f aca="false">S103*CHOOSE(MATCH($C$25,{"H";"B";"N"},0),GPUMW_H*ODc_H,GPUMW_B*ODc_B,GPUMW_N*ODc_N)*ResidUtil*Timeline!S$9*INDEX(Curve,1,MAX(1,MIN(8,INT((S$5-$H$25)/4)+1)))/1000000</f>
        <v>0</v>
      </c>
      <c r="T104" s="120" t="n">
        <f aca="false">T103*CHOOSE(MATCH($C$25,{"H";"B";"N"},0),GPUMW_H*ODc_H,GPUMW_B*ODc_B,GPUMW_N*ODc_N)*ResidUtil*Timeline!T$9*INDEX(Curve,1,MAX(1,MIN(8,INT((T$5-$H$25)/4)+1)))/1000000</f>
        <v>0</v>
      </c>
      <c r="U104" s="120" t="n">
        <f aca="false">U103*CHOOSE(MATCH($C$25,{"H";"B";"N"},0),GPUMW_H*ODc_H,GPUMW_B*ODc_B,GPUMW_N*ODc_N)*ResidUtil*Timeline!U$9*INDEX(Curve,1,MAX(1,MIN(8,INT((U$5-$H$25)/4)+1)))/1000000</f>
        <v>0</v>
      </c>
      <c r="V104" s="120" t="n">
        <f aca="false">V103*CHOOSE(MATCH($C$25,{"H";"B";"N"},0),GPUMW_H*ODc_H,GPUMW_B*ODc_B,GPUMW_N*ODc_N)*ResidUtil*Timeline!V$9*INDEX(Curve,1,MAX(1,MIN(8,INT((V$5-$H$25)/4)+1)))/1000000</f>
        <v>0</v>
      </c>
      <c r="W104" s="120" t="n">
        <f aca="false">W103*CHOOSE(MATCH($C$25,{"H";"B";"N"},0),GPUMW_H*ODc_H,GPUMW_B*ODc_B,GPUMW_N*ODc_N)*ResidUtil*Timeline!W$9*INDEX(Curve,1,MAX(1,MIN(8,INT((W$5-$H$25)/4)+1)))/1000000</f>
        <v>0</v>
      </c>
      <c r="X104" s="120" t="n">
        <f aca="false">X103*CHOOSE(MATCH($C$25,{"H";"B";"N"},0),GPUMW_H*ODc_H,GPUMW_B*ODc_B,GPUMW_N*ODc_N)*ResidUtil*Timeline!X$9*INDEX(Curve,1,MAX(1,MIN(8,INT((X$5-$H$25)/4)+1)))/1000000</f>
        <v>0</v>
      </c>
      <c r="Y104" s="120" t="n">
        <f aca="false">Y103*CHOOSE(MATCH($C$25,{"H";"B";"N"},0),GPUMW_H*ODc_H,GPUMW_B*ODc_B,GPUMW_N*ODc_N)*ResidUtil*Timeline!Y$9*INDEX(Curve,1,MAX(1,MIN(8,INT((Y$5-$H$25)/4)+1)))/1000000</f>
        <v>0</v>
      </c>
      <c r="Z104" s="120" t="n">
        <f aca="false">Z103*CHOOSE(MATCH($C$25,{"H";"B";"N"},0),GPUMW_H*ODc_H,GPUMW_B*ODc_B,GPUMW_N*ODc_N)*ResidUtil*Timeline!Z$9*INDEX(Curve,1,MAX(1,MIN(8,INT((Z$5-$H$25)/4)+1)))/1000000</f>
        <v>0</v>
      </c>
      <c r="AA104" s="120" t="n">
        <f aca="false">AA103*CHOOSE(MATCH($C$25,{"H";"B";"N"},0),GPUMW_H*ODc_H,GPUMW_B*ODc_B,GPUMW_N*ODc_N)*ResidUtil*Timeline!AA$9*INDEX(Curve,1,MAX(1,MIN(8,INT((AA$5-$H$25)/4)+1)))/1000000</f>
        <v>0</v>
      </c>
      <c r="AB104" s="120" t="n">
        <f aca="false">AB103*CHOOSE(MATCH($C$25,{"H";"B";"N"},0),GPUMW_H*ODc_H,GPUMW_B*ODc_B,GPUMW_N*ODc_N)*ResidUtil*Timeline!AB$9*INDEX(Curve,1,MAX(1,MIN(8,INT((AB$5-$H$25)/4)+1)))/1000000</f>
        <v>0</v>
      </c>
      <c r="AC104" s="120" t="n">
        <f aca="false">AC103*CHOOSE(MATCH($C$25,{"H";"B";"N"},0),GPUMW_H*ODc_H,GPUMW_B*ODc_B,GPUMW_N*ODc_N)*ResidUtil*Timeline!AC$9*INDEX(Curve,1,MAX(1,MIN(8,INT((AC$5-$H$25)/4)+1)))/1000000</f>
        <v>0</v>
      </c>
      <c r="AD104" s="120" t="n">
        <f aca="false">AD103*CHOOSE(MATCH($C$25,{"H";"B";"N"},0),GPUMW_H*ODc_H,GPUMW_B*ODc_B,GPUMW_N*ODc_N)*ResidUtil*Timeline!AD$9*INDEX(Curve,1,MAX(1,MIN(8,INT((AD$5-$H$25)/4)+1)))/1000000</f>
        <v>0</v>
      </c>
      <c r="AE104" s="120" t="n">
        <f aca="false">AE103*CHOOSE(MATCH($C$25,{"H";"B";"N"},0),GPUMW_H*ODc_H,GPUMW_B*ODc_B,GPUMW_N*ODc_N)*ResidUtil*Timeline!AE$9*INDEX(Curve,1,MAX(1,MIN(8,INT((AE$5-$H$25)/4)+1)))/1000000</f>
        <v>0</v>
      </c>
      <c r="AF104" s="120" t="n">
        <f aca="false">AF103*CHOOSE(MATCH($C$25,{"H";"B";"N"},0),GPUMW_H*ODc_H,GPUMW_B*ODc_B,GPUMW_N*ODc_N)*ResidUtil*Timeline!AF$9*INDEX(Curve,1,MAX(1,MIN(8,INT((AF$5-$H$25)/4)+1)))/1000000</f>
        <v>0</v>
      </c>
      <c r="AG104" s="120" t="n">
        <f aca="false">AG103*CHOOSE(MATCH($C$25,{"H";"B";"N"},0),GPUMW_H*ODc_H,GPUMW_B*ODc_B,GPUMW_N*ODc_N)*ResidUtil*Timeline!AG$9*INDEX(Curve,1,MAX(1,MIN(8,INT((AG$5-$H$25)/4)+1)))/1000000</f>
        <v>0</v>
      </c>
      <c r="AI104" s="120" t="n">
        <f aca="false">SUMIF($F$7:$AG$7,AI$7,$F104:$AG104)</f>
        <v>0</v>
      </c>
      <c r="AJ104" s="120" t="n">
        <f aca="false">SUMIF($F$7:$AG$7,AJ$7,$F104:$AG104)</f>
        <v>0</v>
      </c>
      <c r="AK104" s="120" t="n">
        <f aca="false">SUMIF($F$7:$AG$7,AK$7,$F104:$AG104)</f>
        <v>0</v>
      </c>
      <c r="AL104" s="120" t="n">
        <f aca="false">SUMIF($F$7:$AG$7,AL$7,$F104:$AG104)</f>
        <v>0</v>
      </c>
      <c r="AM104" s="120" t="n">
        <f aca="false">SUMIF($F$7:$AG$7,AM$7,$F104:$AG104)</f>
        <v>0</v>
      </c>
      <c r="AN104" s="120" t="n">
        <f aca="false">SUMIF($F$7:$AG$7,AN$7,$F104:$AG104)</f>
        <v>0</v>
      </c>
      <c r="AO104" s="120" t="n">
        <f aca="false">SUMIF($F$7:$AG$7,AO$7,$F104:$AG104)</f>
        <v>0</v>
      </c>
    </row>
    <row r="105" customFormat="false" ht="15" hidden="false" customHeight="false" outlineLevel="0" collapsed="false">
      <c r="A105" s="101" t="s">
        <v>1436</v>
      </c>
      <c r="B105" s="18" t="s">
        <v>400</v>
      </c>
      <c r="C105" s="18"/>
      <c r="D105" s="18"/>
      <c r="F105" s="119" t="n">
        <f aca="false">(1-$I$26)*(1-$J$26)*$D$26*$E$26/4*MIN(1,MAX(0,(F$5-$H$26+1)/$T$26))*IF(F$5=$H$26,DelivFactor,IF(AND(F$5&gt;$H$26,F$5&lt;$H$26+$F$26),1,IF(F$5=$H$26+$F$26,1-DelivFactor,0)))</f>
        <v>0</v>
      </c>
      <c r="G105" s="119" t="n">
        <f aca="false">(1-$I$26)*(1-$J$26)*$D$26*$E$26/4*MIN(1,MAX(0,(G$5-$H$26+1)/$T$26))*IF(G$5=$H$26,DelivFactor,IF(AND(G$5&gt;$H$26,G$5&lt;$H$26+$F$26),1,IF(G$5=$H$26+$F$26,1-DelivFactor,0)))</f>
        <v>0</v>
      </c>
      <c r="H105" s="119" t="n">
        <f aca="false">(1-$I$26)*(1-$J$26)*$D$26*$E$26/4*MIN(1,MAX(0,(H$5-$H$26+1)/$T$26))*IF(H$5=$H$26,DelivFactor,IF(AND(H$5&gt;$H$26,H$5&lt;$H$26+$F$26),1,IF(H$5=$H$26+$F$26,1-DelivFactor,0)))</f>
        <v>0</v>
      </c>
      <c r="I105" s="119" t="n">
        <f aca="false">(1-$I$26)*(1-$J$26)*$D$26*$E$26/4*MIN(1,MAX(0,(I$5-$H$26+1)/$T$26))*IF(I$5=$H$26,DelivFactor,IF(AND(I$5&gt;$H$26,I$5&lt;$H$26+$F$26),1,IF(I$5=$H$26+$F$26,1-DelivFactor,0)))</f>
        <v>0</v>
      </c>
      <c r="J105" s="119" t="n">
        <f aca="false">(1-$I$26)*(1-$J$26)*$D$26*$E$26/4*MIN(1,MAX(0,(J$5-$H$26+1)/$T$26))*IF(J$5=$H$26,DelivFactor,IF(AND(J$5&gt;$H$26,J$5&lt;$H$26+$F$26),1,IF(J$5=$H$26+$F$26,1-DelivFactor,0)))</f>
        <v>0</v>
      </c>
      <c r="K105" s="119" t="n">
        <f aca="false">(1-$I$26)*(1-$J$26)*$D$26*$E$26/4*MIN(1,MAX(0,(K$5-$H$26+1)/$T$26))*IF(K$5=$H$26,DelivFactor,IF(AND(K$5&gt;$H$26,K$5&lt;$H$26+$F$26),1,IF(K$5=$H$26+$F$26,1-DelivFactor,0)))</f>
        <v>0</v>
      </c>
      <c r="L105" s="119" t="n">
        <f aca="false">(1-$I$26)*(1-$J$26)*$D$26*$E$26/4*MIN(1,MAX(0,(L$5-$H$26+1)/$T$26))*IF(L$5=$H$26,DelivFactor,IF(AND(L$5&gt;$H$26,L$5&lt;$H$26+$F$26),1,IF(L$5=$H$26+$F$26,1-DelivFactor,0)))</f>
        <v>0</v>
      </c>
      <c r="M105" s="119" t="n">
        <f aca="false">(1-$I$26)*(1-$J$26)*$D$26*$E$26/4*MIN(1,MAX(0,(M$5-$H$26+1)/$T$26))*IF(M$5=$H$26,DelivFactor,IF(AND(M$5&gt;$H$26,M$5&lt;$H$26+$F$26),1,IF(M$5=$H$26+$F$26,1-DelivFactor,0)))</f>
        <v>0</v>
      </c>
      <c r="N105" s="119" t="n">
        <f aca="false">(1-$I$26)*(1-$J$26)*$D$26*$E$26/4*MIN(1,MAX(0,(N$5-$H$26+1)/$T$26))*IF(N$5=$H$26,DelivFactor,IF(AND(N$5&gt;$H$26,N$5&lt;$H$26+$F$26),1,IF(N$5=$H$26+$F$26,1-DelivFactor,0)))</f>
        <v>0</v>
      </c>
      <c r="O105" s="119" t="n">
        <f aca="false">(1-$I$26)*(1-$J$26)*$D$26*$E$26/4*MIN(1,MAX(0,(O$5-$H$26+1)/$T$26))*IF(O$5=$H$26,DelivFactor,IF(AND(O$5&gt;$H$26,O$5&lt;$H$26+$F$26),1,IF(O$5=$H$26+$F$26,1-DelivFactor,0)))</f>
        <v>0</v>
      </c>
      <c r="P105" s="120" t="n">
        <f aca="false">(1-$I$26)*(1-$J$26)*$D$26*$E$26/4*MIN(1,MAX(0,(P$5-$H$26+1)/$T$26))*IF(P$5=$H$26,DelivFactor,IF(AND(P$5&gt;$H$26,P$5&lt;$H$26+$F$26),1,IF(P$5=$H$26+$F$26,1-DelivFactor,0)))</f>
        <v>0</v>
      </c>
      <c r="Q105" s="120" t="n">
        <f aca="false">(1-$I$26)*(1-$J$26)*$D$26*$E$26/4*MIN(1,MAX(0,(Q$5-$H$26+1)/$T$26))*IF(Q$5=$H$26,DelivFactor,IF(AND(Q$5&gt;$H$26,Q$5&lt;$H$26+$F$26),1,IF(Q$5=$H$26+$F$26,1-DelivFactor,0)))</f>
        <v>0</v>
      </c>
      <c r="R105" s="120" t="n">
        <f aca="false">(1-$I$26)*(1-$J$26)*$D$26*$E$26/4*MIN(1,MAX(0,(R$5-$H$26+1)/$T$26))*IF(R$5=$H$26,DelivFactor,IF(AND(R$5&gt;$H$26,R$5&lt;$H$26+$F$26),1,IF(R$5=$H$26+$F$26,1-DelivFactor,0)))</f>
        <v>0</v>
      </c>
      <c r="S105" s="120" t="n">
        <f aca="false">(1-$I$26)*(1-$J$26)*$D$26*$E$26/4*MIN(1,MAX(0,(S$5-$H$26+1)/$T$26))*IF(S$5=$H$26,DelivFactor,IF(AND(S$5&gt;$H$26,S$5&lt;$H$26+$F$26),1,IF(S$5=$H$26+$F$26,1-DelivFactor,0)))</f>
        <v>0</v>
      </c>
      <c r="T105" s="120" t="n">
        <f aca="false">(1-$I$26)*(1-$J$26)*$D$26*$E$26/4*MIN(1,MAX(0,(T$5-$H$26+1)/$T$26))*IF(T$5=$H$26,DelivFactor,IF(AND(T$5&gt;$H$26,T$5&lt;$H$26+$F$26),1,IF(T$5=$H$26+$F$26,1-DelivFactor,0)))</f>
        <v>0</v>
      </c>
      <c r="U105" s="120" t="n">
        <f aca="false">(1-$I$26)*(1-$J$26)*$D$26*$E$26/4*MIN(1,MAX(0,(U$5-$H$26+1)/$T$26))*IF(U$5=$H$26,DelivFactor,IF(AND(U$5&gt;$H$26,U$5&lt;$H$26+$F$26),1,IF(U$5=$H$26+$F$26,1-DelivFactor,0)))</f>
        <v>150</v>
      </c>
      <c r="V105" s="120" t="n">
        <f aca="false">(1-$I$26)*(1-$J$26)*$D$26*$E$26/4*MIN(1,MAX(0,(V$5-$H$26+1)/$T$26))*IF(V$5=$H$26,DelivFactor,IF(AND(V$5&gt;$H$26,V$5&lt;$H$26+$F$26),1,IF(V$5=$H$26+$F$26,1-DelivFactor,0)))</f>
        <v>300</v>
      </c>
      <c r="W105" s="120" t="n">
        <f aca="false">(1-$I$26)*(1-$J$26)*$D$26*$E$26/4*MIN(1,MAX(0,(W$5-$H$26+1)/$T$26))*IF(W$5=$H$26,DelivFactor,IF(AND(W$5&gt;$H$26,W$5&lt;$H$26+$F$26),1,IF(W$5=$H$26+$F$26,1-DelivFactor,0)))</f>
        <v>300</v>
      </c>
      <c r="X105" s="120" t="n">
        <f aca="false">(1-$I$26)*(1-$J$26)*$D$26*$E$26/4*MIN(1,MAX(0,(X$5-$H$26+1)/$T$26))*IF(X$5=$H$26,DelivFactor,IF(AND(X$5&gt;$H$26,X$5&lt;$H$26+$F$26),1,IF(X$5=$H$26+$F$26,1-DelivFactor,0)))</f>
        <v>300</v>
      </c>
      <c r="Y105" s="120" t="n">
        <f aca="false">(1-$I$26)*(1-$J$26)*$D$26*$E$26/4*MIN(1,MAX(0,(Y$5-$H$26+1)/$T$26))*IF(Y$5=$H$26,DelivFactor,IF(AND(Y$5&gt;$H$26,Y$5&lt;$H$26+$F$26),1,IF(Y$5=$H$26+$F$26,1-DelivFactor,0)))</f>
        <v>300</v>
      </c>
      <c r="Z105" s="120" t="n">
        <f aca="false">(1-$I$26)*(1-$J$26)*$D$26*$E$26/4*MIN(1,MAX(0,(Z$5-$H$26+1)/$T$26))*IF(Z$5=$H$26,DelivFactor,IF(AND(Z$5&gt;$H$26,Z$5&lt;$H$26+$F$26),1,IF(Z$5=$H$26+$F$26,1-DelivFactor,0)))</f>
        <v>300</v>
      </c>
      <c r="AA105" s="120" t="n">
        <f aca="false">(1-$I$26)*(1-$J$26)*$D$26*$E$26/4*MIN(1,MAX(0,(AA$5-$H$26+1)/$T$26))*IF(AA$5=$H$26,DelivFactor,IF(AND(AA$5&gt;$H$26,AA$5&lt;$H$26+$F$26),1,IF(AA$5=$H$26+$F$26,1-DelivFactor,0)))</f>
        <v>300</v>
      </c>
      <c r="AB105" s="120" t="n">
        <f aca="false">(1-$I$26)*(1-$J$26)*$D$26*$E$26/4*MIN(1,MAX(0,(AB$5-$H$26+1)/$T$26))*IF(AB$5=$H$26,DelivFactor,IF(AND(AB$5&gt;$H$26,AB$5&lt;$H$26+$F$26),1,IF(AB$5=$H$26+$F$26,1-DelivFactor,0)))</f>
        <v>300</v>
      </c>
      <c r="AC105" s="120" t="n">
        <f aca="false">(1-$I$26)*(1-$J$26)*$D$26*$E$26/4*MIN(1,MAX(0,(AC$5-$H$26+1)/$T$26))*IF(AC$5=$H$26,DelivFactor,IF(AND(AC$5&gt;$H$26,AC$5&lt;$H$26+$F$26),1,IF(AC$5=$H$26+$F$26,1-DelivFactor,0)))</f>
        <v>300</v>
      </c>
      <c r="AD105" s="120" t="n">
        <f aca="false">(1-$I$26)*(1-$J$26)*$D$26*$E$26/4*MIN(1,MAX(0,(AD$5-$H$26+1)/$T$26))*IF(AD$5=$H$26,DelivFactor,IF(AND(AD$5&gt;$H$26,AD$5&lt;$H$26+$F$26),1,IF(AD$5=$H$26+$F$26,1-DelivFactor,0)))</f>
        <v>300</v>
      </c>
      <c r="AE105" s="120" t="n">
        <f aca="false">(1-$I$26)*(1-$J$26)*$D$26*$E$26/4*MIN(1,MAX(0,(AE$5-$H$26+1)/$T$26))*IF(AE$5=$H$26,DelivFactor,IF(AND(AE$5&gt;$H$26,AE$5&lt;$H$26+$F$26),1,IF(AE$5=$H$26+$F$26,1-DelivFactor,0)))</f>
        <v>300</v>
      </c>
      <c r="AF105" s="120" t="n">
        <f aca="false">(1-$I$26)*(1-$J$26)*$D$26*$E$26/4*MIN(1,MAX(0,(AF$5-$H$26+1)/$T$26))*IF(AF$5=$H$26,DelivFactor,IF(AND(AF$5&gt;$H$26,AF$5&lt;$H$26+$F$26),1,IF(AF$5=$H$26+$F$26,1-DelivFactor,0)))</f>
        <v>300</v>
      </c>
      <c r="AG105" s="120" t="n">
        <f aca="false">(1-$I$26)*(1-$J$26)*$D$26*$E$26/4*MIN(1,MAX(0,(AG$5-$H$26+1)/$T$26))*IF(AG$5=$H$26,DelivFactor,IF(AND(AG$5&gt;$H$26,AG$5&lt;$H$26+$F$26),1,IF(AG$5=$H$26+$F$26,1-DelivFactor,0)))</f>
        <v>300</v>
      </c>
      <c r="AI105" s="120" t="n">
        <f aca="false">SUMIF($F$7:$AG$7,AI$7,$F105:$AG105)</f>
        <v>0</v>
      </c>
      <c r="AJ105" s="120" t="n">
        <f aca="false">SUMIF($F$7:$AG$7,AJ$7,$F105:$AG105)</f>
        <v>0</v>
      </c>
      <c r="AK105" s="120" t="n">
        <f aca="false">SUMIF($F$7:$AG$7,AK$7,$F105:$AG105)</f>
        <v>0</v>
      </c>
      <c r="AL105" s="120" t="n">
        <f aca="false">SUMIF($F$7:$AG$7,AL$7,$F105:$AG105)</f>
        <v>150</v>
      </c>
      <c r="AM105" s="120" t="n">
        <f aca="false">SUMIF($F$7:$AG$7,AM$7,$F105:$AG105)</f>
        <v>1200</v>
      </c>
      <c r="AN105" s="120" t="n">
        <f aca="false">SUMIF($F$7:$AG$7,AN$7,$F105:$AG105)</f>
        <v>1200</v>
      </c>
      <c r="AO105" s="120" t="n">
        <f aca="false">SUMIF($F$7:$AG$7,AO$7,$F105:$AG105)</f>
        <v>1200</v>
      </c>
    </row>
    <row r="106" customFormat="false" ht="15" hidden="false" customHeight="false" outlineLevel="0" collapsed="false">
      <c r="A106" s="101" t="s">
        <v>1437</v>
      </c>
      <c r="B106" s="18" t="s">
        <v>415</v>
      </c>
      <c r="C106" s="18"/>
      <c r="D106" s="18"/>
      <c r="F106" s="110" t="n">
        <f aca="false">(1-$I$26)*(1-$J$26)*$D$26*AND(F$5&gt;=$H$26,F$5&lt;$H$26+$F$26)</f>
        <v>0</v>
      </c>
      <c r="G106" s="110" t="n">
        <f aca="false">(1-$I$26)*(1-$J$26)*$D$26*AND(G$5&gt;=$H$26,G$5&lt;$H$26+$F$26)</f>
        <v>0</v>
      </c>
      <c r="H106" s="110" t="n">
        <f aca="false">(1-$I$26)*(1-$J$26)*$D$26*AND(H$5&gt;=$H$26,H$5&lt;$H$26+$F$26)</f>
        <v>0</v>
      </c>
      <c r="I106" s="110" t="n">
        <f aca="false">(1-$I$26)*(1-$J$26)*$D$26*AND(I$5&gt;=$H$26,I$5&lt;$H$26+$F$26)</f>
        <v>0</v>
      </c>
      <c r="J106" s="110" t="n">
        <f aca="false">(1-$I$26)*(1-$J$26)*$D$26*AND(J$5&gt;=$H$26,J$5&lt;$H$26+$F$26)</f>
        <v>0</v>
      </c>
      <c r="K106" s="110" t="n">
        <f aca="false">(1-$I$26)*(1-$J$26)*$D$26*AND(K$5&gt;=$H$26,K$5&lt;$H$26+$F$26)</f>
        <v>0</v>
      </c>
      <c r="L106" s="110" t="n">
        <f aca="false">(1-$I$26)*(1-$J$26)*$D$26*AND(L$5&gt;=$H$26,L$5&lt;$H$26+$F$26)</f>
        <v>0</v>
      </c>
      <c r="M106" s="110" t="n">
        <f aca="false">(1-$I$26)*(1-$J$26)*$D$26*AND(M$5&gt;=$H$26,M$5&lt;$H$26+$F$26)</f>
        <v>0</v>
      </c>
      <c r="N106" s="110" t="n">
        <f aca="false">(1-$I$26)*(1-$J$26)*$D$26*AND(N$5&gt;=$H$26,N$5&lt;$H$26+$F$26)</f>
        <v>0</v>
      </c>
      <c r="O106" s="110" t="n">
        <f aca="false">(1-$I$26)*(1-$J$26)*$D$26*AND(O$5&gt;=$H$26,O$5&lt;$H$26+$F$26)</f>
        <v>0</v>
      </c>
      <c r="P106" s="21" t="n">
        <f aca="false">(1-$I$26)*(1-$J$26)*$D$26*AND(P$5&gt;=$H$26,P$5&lt;$H$26+$F$26)</f>
        <v>0</v>
      </c>
      <c r="Q106" s="21" t="n">
        <f aca="false">(1-$I$26)*(1-$J$26)*$D$26*AND(Q$5&gt;=$H$26,Q$5&lt;$H$26+$F$26)</f>
        <v>0</v>
      </c>
      <c r="R106" s="21" t="n">
        <f aca="false">(1-$I$26)*(1-$J$26)*$D$26*AND(R$5&gt;=$H$26,R$5&lt;$H$26+$F$26)</f>
        <v>0</v>
      </c>
      <c r="S106" s="21" t="n">
        <f aca="false">(1-$I$26)*(1-$J$26)*$D$26*AND(S$5&gt;=$H$26,S$5&lt;$H$26+$F$26)</f>
        <v>0</v>
      </c>
      <c r="T106" s="21" t="n">
        <f aca="false">(1-$I$26)*(1-$J$26)*$D$26*AND(T$5&gt;=$H$26,T$5&lt;$H$26+$F$26)</f>
        <v>0</v>
      </c>
      <c r="U106" s="21" t="n">
        <f aca="false">(1-$I$26)*(1-$J$26)*$D$26*AND(U$5&gt;=$H$26,U$5&lt;$H$26+$F$26)</f>
        <v>53.3333333333333</v>
      </c>
      <c r="V106" s="21" t="n">
        <f aca="false">(1-$I$26)*(1-$J$26)*$D$26*AND(V$5&gt;=$H$26,V$5&lt;$H$26+$F$26)</f>
        <v>53.3333333333333</v>
      </c>
      <c r="W106" s="21" t="n">
        <f aca="false">(1-$I$26)*(1-$J$26)*$D$26*AND(W$5&gt;=$H$26,W$5&lt;$H$26+$F$26)</f>
        <v>53.3333333333333</v>
      </c>
      <c r="X106" s="21" t="n">
        <f aca="false">(1-$I$26)*(1-$J$26)*$D$26*AND(X$5&gt;=$H$26,X$5&lt;$H$26+$F$26)</f>
        <v>53.3333333333333</v>
      </c>
      <c r="Y106" s="21" t="n">
        <f aca="false">(1-$I$26)*(1-$J$26)*$D$26*AND(Y$5&gt;=$H$26,Y$5&lt;$H$26+$F$26)</f>
        <v>53.3333333333333</v>
      </c>
      <c r="Z106" s="21" t="n">
        <f aca="false">(1-$I$26)*(1-$J$26)*$D$26*AND(Z$5&gt;=$H$26,Z$5&lt;$H$26+$F$26)</f>
        <v>53.3333333333333</v>
      </c>
      <c r="AA106" s="21" t="n">
        <f aca="false">(1-$I$26)*(1-$J$26)*$D$26*AND(AA$5&gt;=$H$26,AA$5&lt;$H$26+$F$26)</f>
        <v>53.3333333333333</v>
      </c>
      <c r="AB106" s="21" t="n">
        <f aca="false">(1-$I$26)*(1-$J$26)*$D$26*AND(AB$5&gt;=$H$26,AB$5&lt;$H$26+$F$26)</f>
        <v>53.3333333333333</v>
      </c>
      <c r="AC106" s="21" t="n">
        <f aca="false">(1-$I$26)*(1-$J$26)*$D$26*AND(AC$5&gt;=$H$26,AC$5&lt;$H$26+$F$26)</f>
        <v>53.3333333333333</v>
      </c>
      <c r="AD106" s="21" t="n">
        <f aca="false">(1-$I$26)*(1-$J$26)*$D$26*AND(AD$5&gt;=$H$26,AD$5&lt;$H$26+$F$26)</f>
        <v>53.3333333333333</v>
      </c>
      <c r="AE106" s="21" t="n">
        <f aca="false">(1-$I$26)*(1-$J$26)*$D$26*AND(AE$5&gt;=$H$26,AE$5&lt;$H$26+$F$26)</f>
        <v>53.3333333333333</v>
      </c>
      <c r="AF106" s="21" t="n">
        <f aca="false">(1-$I$26)*(1-$J$26)*$D$26*AND(AF$5&gt;=$H$26,AF$5&lt;$H$26+$F$26)</f>
        <v>53.3333333333333</v>
      </c>
      <c r="AG106" s="21" t="n">
        <f aca="false">(1-$I$26)*(1-$J$26)*$D$26*AND(AG$5&gt;=$H$26,AG$5&lt;$H$26+$F$26)</f>
        <v>53.3333333333333</v>
      </c>
      <c r="AI106" s="21" t="n">
        <f aca="false">INDEX($F106:$AG106,1,MATCH(AI$7,$F$7:$AG$7,1))</f>
        <v>0</v>
      </c>
      <c r="AJ106" s="21" t="n">
        <f aca="false">INDEX($F106:$AG106,1,MATCH(AJ$7,$F$7:$AG$7,1))</f>
        <v>0</v>
      </c>
      <c r="AK106" s="21" t="n">
        <f aca="false">INDEX($F106:$AG106,1,MATCH(AK$7,$F$7:$AG$7,1))</f>
        <v>0</v>
      </c>
      <c r="AL106" s="21" t="n">
        <f aca="false">INDEX($F106:$AG106,1,MATCH(AL$7,$F$7:$AG$7,1))</f>
        <v>53.3333333333333</v>
      </c>
      <c r="AM106" s="21" t="n">
        <f aca="false">INDEX($F106:$AG106,1,MATCH(AM$7,$F$7:$AG$7,1))</f>
        <v>53.3333333333333</v>
      </c>
      <c r="AN106" s="21" t="n">
        <f aca="false">INDEX($F106:$AG106,1,MATCH(AN$7,$F$7:$AG$7,1))</f>
        <v>53.3333333333333</v>
      </c>
      <c r="AO106" s="21" t="n">
        <f aca="false">INDEX($F106:$AG106,1,MATCH(AO$7,$F$7:$AG$7,1))</f>
        <v>53.3333333333333</v>
      </c>
    </row>
    <row r="107" customFormat="false" ht="15" hidden="false" customHeight="false" outlineLevel="0" collapsed="false">
      <c r="A107" s="101" t="s">
        <v>1438</v>
      </c>
      <c r="B107" s="18" t="s">
        <v>400</v>
      </c>
      <c r="C107" s="18"/>
      <c r="D107" s="18"/>
      <c r="F107" s="119" t="n">
        <f aca="false">-(1-$I$26)*LD_Pct*$D$26*$E$26/4*AND(F$5&gt;=$G$26,F$5&lt;$H$26)</f>
        <v>-0</v>
      </c>
      <c r="G107" s="119" t="n">
        <f aca="false">-(1-$I$26)*LD_Pct*$D$26*$E$26/4*AND(G$5&gt;=$G$26,G$5&lt;$H$26)</f>
        <v>-0</v>
      </c>
      <c r="H107" s="119" t="n">
        <f aca="false">-(1-$I$26)*LD_Pct*$D$26*$E$26/4*AND(H$5&gt;=$G$26,H$5&lt;$H$26)</f>
        <v>-0</v>
      </c>
      <c r="I107" s="119" t="n">
        <f aca="false">-(1-$I$26)*LD_Pct*$D$26*$E$26/4*AND(I$5&gt;=$G$26,I$5&lt;$H$26)</f>
        <v>-0</v>
      </c>
      <c r="J107" s="119" t="n">
        <f aca="false">-(1-$I$26)*LD_Pct*$D$26*$E$26/4*AND(J$5&gt;=$G$26,J$5&lt;$H$26)</f>
        <v>-0</v>
      </c>
      <c r="K107" s="119" t="n">
        <f aca="false">-(1-$I$26)*LD_Pct*$D$26*$E$26/4*AND(K$5&gt;=$G$26,K$5&lt;$H$26)</f>
        <v>-0</v>
      </c>
      <c r="L107" s="119" t="n">
        <f aca="false">-(1-$I$26)*LD_Pct*$D$26*$E$26/4*AND(L$5&gt;=$G$26,L$5&lt;$H$26)</f>
        <v>-0</v>
      </c>
      <c r="M107" s="119" t="n">
        <f aca="false">-(1-$I$26)*LD_Pct*$D$26*$E$26/4*AND(M$5&gt;=$G$26,M$5&lt;$H$26)</f>
        <v>-0</v>
      </c>
      <c r="N107" s="119" t="n">
        <f aca="false">-(1-$I$26)*LD_Pct*$D$26*$E$26/4*AND(N$5&gt;=$G$26,N$5&lt;$H$26)</f>
        <v>-0</v>
      </c>
      <c r="O107" s="119" t="n">
        <f aca="false">-(1-$I$26)*LD_Pct*$D$26*$E$26/4*AND(O$5&gt;=$G$26,O$5&lt;$H$26)</f>
        <v>-0</v>
      </c>
      <c r="P107" s="120" t="n">
        <f aca="false">-(1-$I$26)*LD_Pct*$D$26*$E$26/4*AND(P$5&gt;=$G$26,P$5&lt;$H$26)</f>
        <v>-0</v>
      </c>
      <c r="Q107" s="120" t="n">
        <f aca="false">-(1-$I$26)*LD_Pct*$D$26*$E$26/4*AND(Q$5&gt;=$G$26,Q$5&lt;$H$26)</f>
        <v>-0</v>
      </c>
      <c r="R107" s="120" t="n">
        <f aca="false">-(1-$I$26)*LD_Pct*$D$26*$E$26/4*AND(R$5&gt;=$G$26,R$5&lt;$H$26)</f>
        <v>-0</v>
      </c>
      <c r="S107" s="120" t="n">
        <f aca="false">-(1-$I$26)*LD_Pct*$D$26*$E$26/4*AND(S$5&gt;=$G$26,S$5&lt;$H$26)</f>
        <v>-0</v>
      </c>
      <c r="T107" s="120" t="n">
        <f aca="false">-(1-$I$26)*LD_Pct*$D$26*$E$26/4*AND(T$5&gt;=$G$26,T$5&lt;$H$26)</f>
        <v>-0</v>
      </c>
      <c r="U107" s="120" t="n">
        <f aca="false">-(1-$I$26)*LD_Pct*$D$26*$E$26/4*AND(U$5&gt;=$G$26,U$5&lt;$H$26)</f>
        <v>-0</v>
      </c>
      <c r="V107" s="120" t="n">
        <f aca="false">-(1-$I$26)*LD_Pct*$D$26*$E$26/4*AND(V$5&gt;=$G$26,V$5&lt;$H$26)</f>
        <v>-0</v>
      </c>
      <c r="W107" s="120" t="n">
        <f aca="false">-(1-$I$26)*LD_Pct*$D$26*$E$26/4*AND(W$5&gt;=$G$26,W$5&lt;$H$26)</f>
        <v>-0</v>
      </c>
      <c r="X107" s="120" t="n">
        <f aca="false">-(1-$I$26)*LD_Pct*$D$26*$E$26/4*AND(X$5&gt;=$G$26,X$5&lt;$H$26)</f>
        <v>-0</v>
      </c>
      <c r="Y107" s="120" t="n">
        <f aca="false">-(1-$I$26)*LD_Pct*$D$26*$E$26/4*AND(Y$5&gt;=$G$26,Y$5&lt;$H$26)</f>
        <v>-0</v>
      </c>
      <c r="Z107" s="120" t="n">
        <f aca="false">-(1-$I$26)*LD_Pct*$D$26*$E$26/4*AND(Z$5&gt;=$G$26,Z$5&lt;$H$26)</f>
        <v>-0</v>
      </c>
      <c r="AA107" s="120" t="n">
        <f aca="false">-(1-$I$26)*LD_Pct*$D$26*$E$26/4*AND(AA$5&gt;=$G$26,AA$5&lt;$H$26)</f>
        <v>-0</v>
      </c>
      <c r="AB107" s="120" t="n">
        <f aca="false">-(1-$I$26)*LD_Pct*$D$26*$E$26/4*AND(AB$5&gt;=$G$26,AB$5&lt;$H$26)</f>
        <v>-0</v>
      </c>
      <c r="AC107" s="120" t="n">
        <f aca="false">-(1-$I$26)*LD_Pct*$D$26*$E$26/4*AND(AC$5&gt;=$G$26,AC$5&lt;$H$26)</f>
        <v>-0</v>
      </c>
      <c r="AD107" s="120" t="n">
        <f aca="false">-(1-$I$26)*LD_Pct*$D$26*$E$26/4*AND(AD$5&gt;=$G$26,AD$5&lt;$H$26)</f>
        <v>-0</v>
      </c>
      <c r="AE107" s="120" t="n">
        <f aca="false">-(1-$I$26)*LD_Pct*$D$26*$E$26/4*AND(AE$5&gt;=$G$26,AE$5&lt;$H$26)</f>
        <v>-0</v>
      </c>
      <c r="AF107" s="120" t="n">
        <f aca="false">-(1-$I$26)*LD_Pct*$D$26*$E$26/4*AND(AF$5&gt;=$G$26,AF$5&lt;$H$26)</f>
        <v>-0</v>
      </c>
      <c r="AG107" s="120" t="n">
        <f aca="false">-(1-$I$26)*LD_Pct*$D$26*$E$26/4*AND(AG$5&gt;=$G$26,AG$5&lt;$H$26)</f>
        <v>-0</v>
      </c>
      <c r="AI107" s="120" t="n">
        <f aca="false">SUMIF($F$7:$AG$7,AI$7,$F107:$AG107)</f>
        <v>0</v>
      </c>
      <c r="AJ107" s="120" t="n">
        <f aca="false">SUMIF($F$7:$AG$7,AJ$7,$F107:$AG107)</f>
        <v>0</v>
      </c>
      <c r="AK107" s="120" t="n">
        <f aca="false">SUMIF($F$7:$AG$7,AK$7,$F107:$AG107)</f>
        <v>0</v>
      </c>
      <c r="AL107" s="120" t="n">
        <f aca="false">SUMIF($F$7:$AG$7,AL$7,$F107:$AG107)</f>
        <v>0</v>
      </c>
      <c r="AM107" s="120" t="n">
        <f aca="false">SUMIF($F$7:$AG$7,AM$7,$F107:$AG107)</f>
        <v>0</v>
      </c>
      <c r="AN107" s="120" t="n">
        <f aca="false">SUMIF($F$7:$AG$7,AN$7,$F107:$AG107)</f>
        <v>0</v>
      </c>
      <c r="AO107" s="120" t="n">
        <f aca="false">SUMIF($F$7:$AG$7,AO$7,$F107:$AG107)</f>
        <v>0</v>
      </c>
    </row>
    <row r="108" customFormat="false" ht="15" hidden="false" customHeight="false" outlineLevel="0" collapsed="false">
      <c r="A108" s="101" t="s">
        <v>1439</v>
      </c>
      <c r="B108" s="18" t="s">
        <v>415</v>
      </c>
      <c r="C108" s="18"/>
      <c r="D108" s="18"/>
      <c r="F108" s="110" t="n">
        <f aca="false">(1-$I$26)*(1-$J$26)*$D$26*(F$5&gt;=$H$26+$F$26)</f>
        <v>0</v>
      </c>
      <c r="G108" s="110" t="n">
        <f aca="false">(1-$I$26)*(1-$J$26)*$D$26*(G$5&gt;=$H$26+$F$26)</f>
        <v>0</v>
      </c>
      <c r="H108" s="110" t="n">
        <f aca="false">(1-$I$26)*(1-$J$26)*$D$26*(H$5&gt;=$H$26+$F$26)</f>
        <v>0</v>
      </c>
      <c r="I108" s="110" t="n">
        <f aca="false">(1-$I$26)*(1-$J$26)*$D$26*(I$5&gt;=$H$26+$F$26)</f>
        <v>0</v>
      </c>
      <c r="J108" s="110" t="n">
        <f aca="false">(1-$I$26)*(1-$J$26)*$D$26*(J$5&gt;=$H$26+$F$26)</f>
        <v>0</v>
      </c>
      <c r="K108" s="110" t="n">
        <f aca="false">(1-$I$26)*(1-$J$26)*$D$26*(K$5&gt;=$H$26+$F$26)</f>
        <v>0</v>
      </c>
      <c r="L108" s="110" t="n">
        <f aca="false">(1-$I$26)*(1-$J$26)*$D$26*(L$5&gt;=$H$26+$F$26)</f>
        <v>0</v>
      </c>
      <c r="M108" s="110" t="n">
        <f aca="false">(1-$I$26)*(1-$J$26)*$D$26*(M$5&gt;=$H$26+$F$26)</f>
        <v>0</v>
      </c>
      <c r="N108" s="110" t="n">
        <f aca="false">(1-$I$26)*(1-$J$26)*$D$26*(N$5&gt;=$H$26+$F$26)</f>
        <v>0</v>
      </c>
      <c r="O108" s="110" t="n">
        <f aca="false">(1-$I$26)*(1-$J$26)*$D$26*(O$5&gt;=$H$26+$F$26)</f>
        <v>0</v>
      </c>
      <c r="P108" s="21" t="n">
        <f aca="false">(1-$I$26)*(1-$J$26)*$D$26*(P$5&gt;=$H$26+$F$26)</f>
        <v>0</v>
      </c>
      <c r="Q108" s="21" t="n">
        <f aca="false">(1-$I$26)*(1-$J$26)*$D$26*(Q$5&gt;=$H$26+$F$26)</f>
        <v>0</v>
      </c>
      <c r="R108" s="21" t="n">
        <f aca="false">(1-$I$26)*(1-$J$26)*$D$26*(R$5&gt;=$H$26+$F$26)</f>
        <v>0</v>
      </c>
      <c r="S108" s="21" t="n">
        <f aca="false">(1-$I$26)*(1-$J$26)*$D$26*(S$5&gt;=$H$26+$F$26)</f>
        <v>0</v>
      </c>
      <c r="T108" s="21" t="n">
        <f aca="false">(1-$I$26)*(1-$J$26)*$D$26*(T$5&gt;=$H$26+$F$26)</f>
        <v>0</v>
      </c>
      <c r="U108" s="21" t="n">
        <f aca="false">(1-$I$26)*(1-$J$26)*$D$26*(U$5&gt;=$H$26+$F$26)</f>
        <v>0</v>
      </c>
      <c r="V108" s="21" t="n">
        <f aca="false">(1-$I$26)*(1-$J$26)*$D$26*(V$5&gt;=$H$26+$F$26)</f>
        <v>0</v>
      </c>
      <c r="W108" s="21" t="n">
        <f aca="false">(1-$I$26)*(1-$J$26)*$D$26*(W$5&gt;=$H$26+$F$26)</f>
        <v>0</v>
      </c>
      <c r="X108" s="21" t="n">
        <f aca="false">(1-$I$26)*(1-$J$26)*$D$26*(X$5&gt;=$H$26+$F$26)</f>
        <v>0</v>
      </c>
      <c r="Y108" s="21" t="n">
        <f aca="false">(1-$I$26)*(1-$J$26)*$D$26*(Y$5&gt;=$H$26+$F$26)</f>
        <v>0</v>
      </c>
      <c r="Z108" s="21" t="n">
        <f aca="false">(1-$I$26)*(1-$J$26)*$D$26*(Z$5&gt;=$H$26+$F$26)</f>
        <v>0</v>
      </c>
      <c r="AA108" s="21" t="n">
        <f aca="false">(1-$I$26)*(1-$J$26)*$D$26*(AA$5&gt;=$H$26+$F$26)</f>
        <v>0</v>
      </c>
      <c r="AB108" s="21" t="n">
        <f aca="false">(1-$I$26)*(1-$J$26)*$D$26*(AB$5&gt;=$H$26+$F$26)</f>
        <v>0</v>
      </c>
      <c r="AC108" s="21" t="n">
        <f aca="false">(1-$I$26)*(1-$J$26)*$D$26*(AC$5&gt;=$H$26+$F$26)</f>
        <v>0</v>
      </c>
      <c r="AD108" s="21" t="n">
        <f aca="false">(1-$I$26)*(1-$J$26)*$D$26*(AD$5&gt;=$H$26+$F$26)</f>
        <v>0</v>
      </c>
      <c r="AE108" s="21" t="n">
        <f aca="false">(1-$I$26)*(1-$J$26)*$D$26*(AE$5&gt;=$H$26+$F$26)</f>
        <v>0</v>
      </c>
      <c r="AF108" s="21" t="n">
        <f aca="false">(1-$I$26)*(1-$J$26)*$D$26*(AF$5&gt;=$H$26+$F$26)</f>
        <v>0</v>
      </c>
      <c r="AG108" s="21" t="n">
        <f aca="false">(1-$I$26)*(1-$J$26)*$D$26*(AG$5&gt;=$H$26+$F$26)</f>
        <v>0</v>
      </c>
      <c r="AI108" s="21" t="n">
        <f aca="false">INDEX($F108:$AG108,1,MATCH(AI$7,$F$7:$AG$7,1))</f>
        <v>0</v>
      </c>
      <c r="AJ108" s="21" t="n">
        <f aca="false">INDEX($F108:$AG108,1,MATCH(AJ$7,$F$7:$AG$7,1))</f>
        <v>0</v>
      </c>
      <c r="AK108" s="21" t="n">
        <f aca="false">INDEX($F108:$AG108,1,MATCH(AK$7,$F$7:$AG$7,1))</f>
        <v>0</v>
      </c>
      <c r="AL108" s="21" t="n">
        <f aca="false">INDEX($F108:$AG108,1,MATCH(AL$7,$F$7:$AG$7,1))</f>
        <v>0</v>
      </c>
      <c r="AM108" s="21" t="n">
        <f aca="false">INDEX($F108:$AG108,1,MATCH(AM$7,$F$7:$AG$7,1))</f>
        <v>0</v>
      </c>
      <c r="AN108" s="21" t="n">
        <f aca="false">INDEX($F108:$AG108,1,MATCH(AN$7,$F$7:$AG$7,1))</f>
        <v>0</v>
      </c>
      <c r="AO108" s="21" t="n">
        <f aca="false">INDEX($F108:$AG108,1,MATCH(AO$7,$F$7:$AG$7,1))</f>
        <v>0</v>
      </c>
    </row>
    <row r="109" customFormat="false" ht="15" hidden="false" customHeight="false" outlineLevel="0" collapsed="false">
      <c r="A109" s="101" t="s">
        <v>1440</v>
      </c>
      <c r="B109" s="18" t="s">
        <v>400</v>
      </c>
      <c r="C109" s="18"/>
      <c r="D109" s="18" t="s">
        <v>1370</v>
      </c>
      <c r="F109" s="119" t="n">
        <f aca="false">F108*CHOOSE(MATCH($C$26,{"H";"B";"N"},0),GPUMW_H*ODc_H,GPUMW_B*ODc_B,GPUMW_N*ODc_N)*ResidUtil*Timeline!F$9*INDEX(Curve,1,MAX(1,MIN(8,INT((F$5-$H$26)/4)+1)))/1000000</f>
        <v>0</v>
      </c>
      <c r="G109" s="119" t="n">
        <f aca="false">G108*CHOOSE(MATCH($C$26,{"H";"B";"N"},0),GPUMW_H*ODc_H,GPUMW_B*ODc_B,GPUMW_N*ODc_N)*ResidUtil*Timeline!G$9*INDEX(Curve,1,MAX(1,MIN(8,INT((G$5-$H$26)/4)+1)))/1000000</f>
        <v>0</v>
      </c>
      <c r="H109" s="119" t="n">
        <f aca="false">H108*CHOOSE(MATCH($C$26,{"H";"B";"N"},0),GPUMW_H*ODc_H,GPUMW_B*ODc_B,GPUMW_N*ODc_N)*ResidUtil*Timeline!H$9*INDEX(Curve,1,MAX(1,MIN(8,INT((H$5-$H$26)/4)+1)))/1000000</f>
        <v>0</v>
      </c>
      <c r="I109" s="119" t="n">
        <f aca="false">I108*CHOOSE(MATCH($C$26,{"H";"B";"N"},0),GPUMW_H*ODc_H,GPUMW_B*ODc_B,GPUMW_N*ODc_N)*ResidUtil*Timeline!I$9*INDEX(Curve,1,MAX(1,MIN(8,INT((I$5-$H$26)/4)+1)))/1000000</f>
        <v>0</v>
      </c>
      <c r="J109" s="119" t="n">
        <f aca="false">J108*CHOOSE(MATCH($C$26,{"H";"B";"N"},0),GPUMW_H*ODc_H,GPUMW_B*ODc_B,GPUMW_N*ODc_N)*ResidUtil*Timeline!J$9*INDEX(Curve,1,MAX(1,MIN(8,INT((J$5-$H$26)/4)+1)))/1000000</f>
        <v>0</v>
      </c>
      <c r="K109" s="119" t="n">
        <f aca="false">K108*CHOOSE(MATCH($C$26,{"H";"B";"N"},0),GPUMW_H*ODc_H,GPUMW_B*ODc_B,GPUMW_N*ODc_N)*ResidUtil*Timeline!K$9*INDEX(Curve,1,MAX(1,MIN(8,INT((K$5-$H$26)/4)+1)))/1000000</f>
        <v>0</v>
      </c>
      <c r="L109" s="119" t="n">
        <f aca="false">L108*CHOOSE(MATCH($C$26,{"H";"B";"N"},0),GPUMW_H*ODc_H,GPUMW_B*ODc_B,GPUMW_N*ODc_N)*ResidUtil*Timeline!L$9*INDEX(Curve,1,MAX(1,MIN(8,INT((L$5-$H$26)/4)+1)))/1000000</f>
        <v>0</v>
      </c>
      <c r="M109" s="119" t="n">
        <f aca="false">M108*CHOOSE(MATCH($C$26,{"H";"B";"N"},0),GPUMW_H*ODc_H,GPUMW_B*ODc_B,GPUMW_N*ODc_N)*ResidUtil*Timeline!M$9*INDEX(Curve,1,MAX(1,MIN(8,INT((M$5-$H$26)/4)+1)))/1000000</f>
        <v>0</v>
      </c>
      <c r="N109" s="119" t="n">
        <f aca="false">N108*CHOOSE(MATCH($C$26,{"H";"B";"N"},0),GPUMW_H*ODc_H,GPUMW_B*ODc_B,GPUMW_N*ODc_N)*ResidUtil*Timeline!N$9*INDEX(Curve,1,MAX(1,MIN(8,INT((N$5-$H$26)/4)+1)))/1000000</f>
        <v>0</v>
      </c>
      <c r="O109" s="119" t="n">
        <f aca="false">O108*CHOOSE(MATCH($C$26,{"H";"B";"N"},0),GPUMW_H*ODc_H,GPUMW_B*ODc_B,GPUMW_N*ODc_N)*ResidUtil*Timeline!O$9*INDEX(Curve,1,MAX(1,MIN(8,INT((O$5-$H$26)/4)+1)))/1000000</f>
        <v>0</v>
      </c>
      <c r="P109" s="120" t="n">
        <f aca="false">P108*CHOOSE(MATCH($C$26,{"H";"B";"N"},0),GPUMW_H*ODc_H,GPUMW_B*ODc_B,GPUMW_N*ODc_N)*ResidUtil*Timeline!P$9*INDEX(Curve,1,MAX(1,MIN(8,INT((P$5-$H$26)/4)+1)))/1000000</f>
        <v>0</v>
      </c>
      <c r="Q109" s="120" t="n">
        <f aca="false">Q108*CHOOSE(MATCH($C$26,{"H";"B";"N"},0),GPUMW_H*ODc_H,GPUMW_B*ODc_B,GPUMW_N*ODc_N)*ResidUtil*Timeline!Q$9*INDEX(Curve,1,MAX(1,MIN(8,INT((Q$5-$H$26)/4)+1)))/1000000</f>
        <v>0</v>
      </c>
      <c r="R109" s="120" t="n">
        <f aca="false">R108*CHOOSE(MATCH($C$26,{"H";"B";"N"},0),GPUMW_H*ODc_H,GPUMW_B*ODc_B,GPUMW_N*ODc_N)*ResidUtil*Timeline!R$9*INDEX(Curve,1,MAX(1,MIN(8,INT((R$5-$H$26)/4)+1)))/1000000</f>
        <v>0</v>
      </c>
      <c r="S109" s="120" t="n">
        <f aca="false">S108*CHOOSE(MATCH($C$26,{"H";"B";"N"},0),GPUMW_H*ODc_H,GPUMW_B*ODc_B,GPUMW_N*ODc_N)*ResidUtil*Timeline!S$9*INDEX(Curve,1,MAX(1,MIN(8,INT((S$5-$H$26)/4)+1)))/1000000</f>
        <v>0</v>
      </c>
      <c r="T109" s="120" t="n">
        <f aca="false">T108*CHOOSE(MATCH($C$26,{"H";"B";"N"},0),GPUMW_H*ODc_H,GPUMW_B*ODc_B,GPUMW_N*ODc_N)*ResidUtil*Timeline!T$9*INDEX(Curve,1,MAX(1,MIN(8,INT((T$5-$H$26)/4)+1)))/1000000</f>
        <v>0</v>
      </c>
      <c r="U109" s="120" t="n">
        <f aca="false">U108*CHOOSE(MATCH($C$26,{"H";"B";"N"},0),GPUMW_H*ODc_H,GPUMW_B*ODc_B,GPUMW_N*ODc_N)*ResidUtil*Timeline!U$9*INDEX(Curve,1,MAX(1,MIN(8,INT((U$5-$H$26)/4)+1)))/1000000</f>
        <v>0</v>
      </c>
      <c r="V109" s="120" t="n">
        <f aca="false">V108*CHOOSE(MATCH($C$26,{"H";"B";"N"},0),GPUMW_H*ODc_H,GPUMW_B*ODc_B,GPUMW_N*ODc_N)*ResidUtil*Timeline!V$9*INDEX(Curve,1,MAX(1,MIN(8,INT((V$5-$H$26)/4)+1)))/1000000</f>
        <v>0</v>
      </c>
      <c r="W109" s="120" t="n">
        <f aca="false">W108*CHOOSE(MATCH($C$26,{"H";"B";"N"},0),GPUMW_H*ODc_H,GPUMW_B*ODc_B,GPUMW_N*ODc_N)*ResidUtil*Timeline!W$9*INDEX(Curve,1,MAX(1,MIN(8,INT((W$5-$H$26)/4)+1)))/1000000</f>
        <v>0</v>
      </c>
      <c r="X109" s="120" t="n">
        <f aca="false">X108*CHOOSE(MATCH($C$26,{"H";"B";"N"},0),GPUMW_H*ODc_H,GPUMW_B*ODc_B,GPUMW_N*ODc_N)*ResidUtil*Timeline!X$9*INDEX(Curve,1,MAX(1,MIN(8,INT((X$5-$H$26)/4)+1)))/1000000</f>
        <v>0</v>
      </c>
      <c r="Y109" s="120" t="n">
        <f aca="false">Y108*CHOOSE(MATCH($C$26,{"H";"B";"N"},0),GPUMW_H*ODc_H,GPUMW_B*ODc_B,GPUMW_N*ODc_N)*ResidUtil*Timeline!Y$9*INDEX(Curve,1,MAX(1,MIN(8,INT((Y$5-$H$26)/4)+1)))/1000000</f>
        <v>0</v>
      </c>
      <c r="Z109" s="120" t="n">
        <f aca="false">Z108*CHOOSE(MATCH($C$26,{"H";"B";"N"},0),GPUMW_H*ODc_H,GPUMW_B*ODc_B,GPUMW_N*ODc_N)*ResidUtil*Timeline!Z$9*INDEX(Curve,1,MAX(1,MIN(8,INT((Z$5-$H$26)/4)+1)))/1000000</f>
        <v>0</v>
      </c>
      <c r="AA109" s="120" t="n">
        <f aca="false">AA108*CHOOSE(MATCH($C$26,{"H";"B";"N"},0),GPUMW_H*ODc_H,GPUMW_B*ODc_B,GPUMW_N*ODc_N)*ResidUtil*Timeline!AA$9*INDEX(Curve,1,MAX(1,MIN(8,INT((AA$5-$H$26)/4)+1)))/1000000</f>
        <v>0</v>
      </c>
      <c r="AB109" s="120" t="n">
        <f aca="false">AB108*CHOOSE(MATCH($C$26,{"H";"B";"N"},0),GPUMW_H*ODc_H,GPUMW_B*ODc_B,GPUMW_N*ODc_N)*ResidUtil*Timeline!AB$9*INDEX(Curve,1,MAX(1,MIN(8,INT((AB$5-$H$26)/4)+1)))/1000000</f>
        <v>0</v>
      </c>
      <c r="AC109" s="120" t="n">
        <f aca="false">AC108*CHOOSE(MATCH($C$26,{"H";"B";"N"},0),GPUMW_H*ODc_H,GPUMW_B*ODc_B,GPUMW_N*ODc_N)*ResidUtil*Timeline!AC$9*INDEX(Curve,1,MAX(1,MIN(8,INT((AC$5-$H$26)/4)+1)))/1000000</f>
        <v>0</v>
      </c>
      <c r="AD109" s="120" t="n">
        <f aca="false">AD108*CHOOSE(MATCH($C$26,{"H";"B";"N"},0),GPUMW_H*ODc_H,GPUMW_B*ODc_B,GPUMW_N*ODc_N)*ResidUtil*Timeline!AD$9*INDEX(Curve,1,MAX(1,MIN(8,INT((AD$5-$H$26)/4)+1)))/1000000</f>
        <v>0</v>
      </c>
      <c r="AE109" s="120" t="n">
        <f aca="false">AE108*CHOOSE(MATCH($C$26,{"H";"B";"N"},0),GPUMW_H*ODc_H,GPUMW_B*ODc_B,GPUMW_N*ODc_N)*ResidUtil*Timeline!AE$9*INDEX(Curve,1,MAX(1,MIN(8,INT((AE$5-$H$26)/4)+1)))/1000000</f>
        <v>0</v>
      </c>
      <c r="AF109" s="120" t="n">
        <f aca="false">AF108*CHOOSE(MATCH($C$26,{"H";"B";"N"},0),GPUMW_H*ODc_H,GPUMW_B*ODc_B,GPUMW_N*ODc_N)*ResidUtil*Timeline!AF$9*INDEX(Curve,1,MAX(1,MIN(8,INT((AF$5-$H$26)/4)+1)))/1000000</f>
        <v>0</v>
      </c>
      <c r="AG109" s="120" t="n">
        <f aca="false">AG108*CHOOSE(MATCH($C$26,{"H";"B";"N"},0),GPUMW_H*ODc_H,GPUMW_B*ODc_B,GPUMW_N*ODc_N)*ResidUtil*Timeline!AG$9*INDEX(Curve,1,MAX(1,MIN(8,INT((AG$5-$H$26)/4)+1)))/1000000</f>
        <v>0</v>
      </c>
      <c r="AI109" s="120" t="n">
        <f aca="false">SUMIF($F$7:$AG$7,AI$7,$F109:$AG109)</f>
        <v>0</v>
      </c>
      <c r="AJ109" s="120" t="n">
        <f aca="false">SUMIF($F$7:$AG$7,AJ$7,$F109:$AG109)</f>
        <v>0</v>
      </c>
      <c r="AK109" s="120" t="n">
        <f aca="false">SUMIF($F$7:$AG$7,AK$7,$F109:$AG109)</f>
        <v>0</v>
      </c>
      <c r="AL109" s="120" t="n">
        <f aca="false">SUMIF($F$7:$AG$7,AL$7,$F109:$AG109)</f>
        <v>0</v>
      </c>
      <c r="AM109" s="120" t="n">
        <f aca="false">SUMIF($F$7:$AG$7,AM$7,$F109:$AG109)</f>
        <v>0</v>
      </c>
      <c r="AN109" s="120" t="n">
        <f aca="false">SUMIF($F$7:$AG$7,AN$7,$F109:$AG109)</f>
        <v>0</v>
      </c>
      <c r="AO109" s="120" t="n">
        <f aca="false">SUMIF($F$7:$AG$7,AO$7,$F109:$AG109)</f>
        <v>0</v>
      </c>
    </row>
    <row r="110" customFormat="false" ht="15" hidden="false" customHeight="false" outlineLevel="0" collapsed="false">
      <c r="A110" s="101" t="s">
        <v>1441</v>
      </c>
      <c r="B110" s="18" t="s">
        <v>400</v>
      </c>
      <c r="C110" s="18"/>
      <c r="D110" s="18"/>
      <c r="F110" s="119" t="n">
        <f aca="false">(1-$I$27)*(1-$J$27)*$D$27*$E$27/4*MIN(1,MAX(0,(F$5-$H$27+1)/$T$27))*IF(F$5=$H$27,DelivFactor,IF(AND(F$5&gt;$H$27,F$5&lt;$H$27+$F$27),1,IF(F$5=$H$27+$F$27,1-DelivFactor,0)))</f>
        <v>0</v>
      </c>
      <c r="G110" s="119" t="n">
        <f aca="false">(1-$I$27)*(1-$J$27)*$D$27*$E$27/4*MIN(1,MAX(0,(G$5-$H$27+1)/$T$27))*IF(G$5=$H$27,DelivFactor,IF(AND(G$5&gt;$H$27,G$5&lt;$H$27+$F$27),1,IF(G$5=$H$27+$F$27,1-DelivFactor,0)))</f>
        <v>0</v>
      </c>
      <c r="H110" s="119" t="n">
        <f aca="false">(1-$I$27)*(1-$J$27)*$D$27*$E$27/4*MIN(1,MAX(0,(H$5-$H$27+1)/$T$27))*IF(H$5=$H$27,DelivFactor,IF(AND(H$5&gt;$H$27,H$5&lt;$H$27+$F$27),1,IF(H$5=$H$27+$F$27,1-DelivFactor,0)))</f>
        <v>0</v>
      </c>
      <c r="I110" s="119" t="n">
        <f aca="false">(1-$I$27)*(1-$J$27)*$D$27*$E$27/4*MIN(1,MAX(0,(I$5-$H$27+1)/$T$27))*IF(I$5=$H$27,DelivFactor,IF(AND(I$5&gt;$H$27,I$5&lt;$H$27+$F$27),1,IF(I$5=$H$27+$F$27,1-DelivFactor,0)))</f>
        <v>0</v>
      </c>
      <c r="J110" s="119" t="n">
        <f aca="false">(1-$I$27)*(1-$J$27)*$D$27*$E$27/4*MIN(1,MAX(0,(J$5-$H$27+1)/$T$27))*IF(J$5=$H$27,DelivFactor,IF(AND(J$5&gt;$H$27,J$5&lt;$H$27+$F$27),1,IF(J$5=$H$27+$F$27,1-DelivFactor,0)))</f>
        <v>0</v>
      </c>
      <c r="K110" s="119" t="n">
        <f aca="false">(1-$I$27)*(1-$J$27)*$D$27*$E$27/4*MIN(1,MAX(0,(K$5-$H$27+1)/$T$27))*IF(K$5=$H$27,DelivFactor,IF(AND(K$5&gt;$H$27,K$5&lt;$H$27+$F$27),1,IF(K$5=$H$27+$F$27,1-DelivFactor,0)))</f>
        <v>0</v>
      </c>
      <c r="L110" s="119" t="n">
        <f aca="false">(1-$I$27)*(1-$J$27)*$D$27*$E$27/4*MIN(1,MAX(0,(L$5-$H$27+1)/$T$27))*IF(L$5=$H$27,DelivFactor,IF(AND(L$5&gt;$H$27,L$5&lt;$H$27+$F$27),1,IF(L$5=$H$27+$F$27,1-DelivFactor,0)))</f>
        <v>0</v>
      </c>
      <c r="M110" s="119" t="n">
        <f aca="false">(1-$I$27)*(1-$J$27)*$D$27*$E$27/4*MIN(1,MAX(0,(M$5-$H$27+1)/$T$27))*IF(M$5=$H$27,DelivFactor,IF(AND(M$5&gt;$H$27,M$5&lt;$H$27+$F$27),1,IF(M$5=$H$27+$F$27,1-DelivFactor,0)))</f>
        <v>0</v>
      </c>
      <c r="N110" s="119" t="n">
        <f aca="false">(1-$I$27)*(1-$J$27)*$D$27*$E$27/4*MIN(1,MAX(0,(N$5-$H$27+1)/$T$27))*IF(N$5=$H$27,DelivFactor,IF(AND(N$5&gt;$H$27,N$5&lt;$H$27+$F$27),1,IF(N$5=$H$27+$F$27,1-DelivFactor,0)))</f>
        <v>0</v>
      </c>
      <c r="O110" s="119" t="n">
        <f aca="false">(1-$I$27)*(1-$J$27)*$D$27*$E$27/4*MIN(1,MAX(0,(O$5-$H$27+1)/$T$27))*IF(O$5=$H$27,DelivFactor,IF(AND(O$5&gt;$H$27,O$5&lt;$H$27+$F$27),1,IF(O$5=$H$27+$F$27,1-DelivFactor,0)))</f>
        <v>0</v>
      </c>
      <c r="P110" s="120" t="n">
        <f aca="false">(1-$I$27)*(1-$J$27)*$D$27*$E$27/4*MIN(1,MAX(0,(P$5-$H$27+1)/$T$27))*IF(P$5=$H$27,DelivFactor,IF(AND(P$5&gt;$H$27,P$5&lt;$H$27+$F$27),1,IF(P$5=$H$27+$F$27,1-DelivFactor,0)))</f>
        <v>0</v>
      </c>
      <c r="Q110" s="120" t="n">
        <f aca="false">(1-$I$27)*(1-$J$27)*$D$27*$E$27/4*MIN(1,MAX(0,(Q$5-$H$27+1)/$T$27))*IF(Q$5=$H$27,DelivFactor,IF(AND(Q$5&gt;$H$27,Q$5&lt;$H$27+$F$27),1,IF(Q$5=$H$27+$F$27,1-DelivFactor,0)))</f>
        <v>0</v>
      </c>
      <c r="R110" s="120" t="n">
        <f aca="false">(1-$I$27)*(1-$J$27)*$D$27*$E$27/4*MIN(1,MAX(0,(R$5-$H$27+1)/$T$27))*IF(R$5=$H$27,DelivFactor,IF(AND(R$5&gt;$H$27,R$5&lt;$H$27+$F$27),1,IF(R$5=$H$27+$F$27,1-DelivFactor,0)))</f>
        <v>0</v>
      </c>
      <c r="S110" s="120" t="n">
        <f aca="false">(1-$I$27)*(1-$J$27)*$D$27*$E$27/4*MIN(1,MAX(0,(S$5-$H$27+1)/$T$27))*IF(S$5=$H$27,DelivFactor,IF(AND(S$5&gt;$H$27,S$5&lt;$H$27+$F$27),1,IF(S$5=$H$27+$F$27,1-DelivFactor,0)))</f>
        <v>0</v>
      </c>
      <c r="T110" s="120" t="n">
        <f aca="false">(1-$I$27)*(1-$J$27)*$D$27*$E$27/4*MIN(1,MAX(0,(T$5-$H$27+1)/$T$27))*IF(T$5=$H$27,DelivFactor,IF(AND(T$5&gt;$H$27,T$5&lt;$H$27+$F$27),1,IF(T$5=$H$27+$F$27,1-DelivFactor,0)))</f>
        <v>0</v>
      </c>
      <c r="U110" s="120" t="n">
        <f aca="false">(1-$I$27)*(1-$J$27)*$D$27*$E$27/4*MIN(1,MAX(0,(U$5-$H$27+1)/$T$27))*IF(U$5=$H$27,DelivFactor,IF(AND(U$5&gt;$H$27,U$5&lt;$H$27+$F$27),1,IF(U$5=$H$27+$F$27,1-DelivFactor,0)))</f>
        <v>0</v>
      </c>
      <c r="V110" s="120" t="n">
        <f aca="false">(1-$I$27)*(1-$J$27)*$D$27*$E$27/4*MIN(1,MAX(0,(V$5-$H$27+1)/$T$27))*IF(V$5=$H$27,DelivFactor,IF(AND(V$5&gt;$H$27,V$5&lt;$H$27+$F$27),1,IF(V$5=$H$27+$F$27,1-DelivFactor,0)))</f>
        <v>0</v>
      </c>
      <c r="W110" s="120" t="n">
        <f aca="false">(1-$I$27)*(1-$J$27)*$D$27*$E$27/4*MIN(1,MAX(0,(W$5-$H$27+1)/$T$27))*IF(W$5=$H$27,DelivFactor,IF(AND(W$5&gt;$H$27,W$5&lt;$H$27+$F$27),1,IF(W$5=$H$27+$F$27,1-DelivFactor,0)))</f>
        <v>0</v>
      </c>
      <c r="X110" s="120" t="n">
        <f aca="false">(1-$I$27)*(1-$J$27)*$D$27*$E$27/4*MIN(1,MAX(0,(X$5-$H$27+1)/$T$27))*IF(X$5=$H$27,DelivFactor,IF(AND(X$5&gt;$H$27,X$5&lt;$H$27+$F$27),1,IF(X$5=$H$27+$F$27,1-DelivFactor,0)))</f>
        <v>0</v>
      </c>
      <c r="Y110" s="120" t="n">
        <f aca="false">(1-$I$27)*(1-$J$27)*$D$27*$E$27/4*MIN(1,MAX(0,(Y$5-$H$27+1)/$T$27))*IF(Y$5=$H$27,DelivFactor,IF(AND(Y$5&gt;$H$27,Y$5&lt;$H$27+$F$27),1,IF(Y$5=$H$27+$F$27,1-DelivFactor,0)))</f>
        <v>0</v>
      </c>
      <c r="Z110" s="120" t="n">
        <f aca="false">(1-$I$27)*(1-$J$27)*$D$27*$E$27/4*MIN(1,MAX(0,(Z$5-$H$27+1)/$T$27))*IF(Z$5=$H$27,DelivFactor,IF(AND(Z$5&gt;$H$27,Z$5&lt;$H$27+$F$27),1,IF(Z$5=$H$27+$F$27,1-DelivFactor,0)))</f>
        <v>0</v>
      </c>
      <c r="AA110" s="120" t="n">
        <f aca="false">(1-$I$27)*(1-$J$27)*$D$27*$E$27/4*MIN(1,MAX(0,(AA$5-$H$27+1)/$T$27))*IF(AA$5=$H$27,DelivFactor,IF(AND(AA$5&gt;$H$27,AA$5&lt;$H$27+$F$27),1,IF(AA$5=$H$27+$F$27,1-DelivFactor,0)))</f>
        <v>0</v>
      </c>
      <c r="AB110" s="120" t="n">
        <f aca="false">(1-$I$27)*(1-$J$27)*$D$27*$E$27/4*MIN(1,MAX(0,(AB$5-$H$27+1)/$T$27))*IF(AB$5=$H$27,DelivFactor,IF(AND(AB$5&gt;$H$27,AB$5&lt;$H$27+$F$27),1,IF(AB$5=$H$27+$F$27,1-DelivFactor,0)))</f>
        <v>0</v>
      </c>
      <c r="AC110" s="120" t="n">
        <f aca="false">(1-$I$27)*(1-$J$27)*$D$27*$E$27/4*MIN(1,MAX(0,(AC$5-$H$27+1)/$T$27))*IF(AC$5=$H$27,DelivFactor,IF(AND(AC$5&gt;$H$27,AC$5&lt;$H$27+$F$27),1,IF(AC$5=$H$27+$F$27,1-DelivFactor,0)))</f>
        <v>0</v>
      </c>
      <c r="AD110" s="120" t="n">
        <f aca="false">(1-$I$27)*(1-$J$27)*$D$27*$E$27/4*MIN(1,MAX(0,(AD$5-$H$27+1)/$T$27))*IF(AD$5=$H$27,DelivFactor,IF(AND(AD$5&gt;$H$27,AD$5&lt;$H$27+$F$27),1,IF(AD$5=$H$27+$F$27,1-DelivFactor,0)))</f>
        <v>0</v>
      </c>
      <c r="AE110" s="120" t="n">
        <f aca="false">(1-$I$27)*(1-$J$27)*$D$27*$E$27/4*MIN(1,MAX(0,(AE$5-$H$27+1)/$T$27))*IF(AE$5=$H$27,DelivFactor,IF(AND(AE$5&gt;$H$27,AE$5&lt;$H$27+$F$27),1,IF(AE$5=$H$27+$F$27,1-DelivFactor,0)))</f>
        <v>0</v>
      </c>
      <c r="AF110" s="120" t="n">
        <f aca="false">(1-$I$27)*(1-$J$27)*$D$27*$E$27/4*MIN(1,MAX(0,(AF$5-$H$27+1)/$T$27))*IF(AF$5=$H$27,DelivFactor,IF(AND(AF$5&gt;$H$27,AF$5&lt;$H$27+$F$27),1,IF(AF$5=$H$27+$F$27,1-DelivFactor,0)))</f>
        <v>0</v>
      </c>
      <c r="AG110" s="120" t="n">
        <f aca="false">(1-$I$27)*(1-$J$27)*$D$27*$E$27/4*MIN(1,MAX(0,(AG$5-$H$27+1)/$T$27))*IF(AG$5=$H$27,DelivFactor,IF(AND(AG$5&gt;$H$27,AG$5&lt;$H$27+$F$27),1,IF(AG$5=$H$27+$F$27,1-DelivFactor,0)))</f>
        <v>0</v>
      </c>
      <c r="AI110" s="120" t="n">
        <f aca="false">SUMIF($F$7:$AG$7,AI$7,$F110:$AG110)</f>
        <v>0</v>
      </c>
      <c r="AJ110" s="120" t="n">
        <f aca="false">SUMIF($F$7:$AG$7,AJ$7,$F110:$AG110)</f>
        <v>0</v>
      </c>
      <c r="AK110" s="120" t="n">
        <f aca="false">SUMIF($F$7:$AG$7,AK$7,$F110:$AG110)</f>
        <v>0</v>
      </c>
      <c r="AL110" s="120" t="n">
        <f aca="false">SUMIF($F$7:$AG$7,AL$7,$F110:$AG110)</f>
        <v>0</v>
      </c>
      <c r="AM110" s="120" t="n">
        <f aca="false">SUMIF($F$7:$AG$7,AM$7,$F110:$AG110)</f>
        <v>0</v>
      </c>
      <c r="AN110" s="120" t="n">
        <f aca="false">SUMIF($F$7:$AG$7,AN$7,$F110:$AG110)</f>
        <v>0</v>
      </c>
      <c r="AO110" s="120" t="n">
        <f aca="false">SUMIF($F$7:$AG$7,AO$7,$F110:$AG110)</f>
        <v>0</v>
      </c>
    </row>
    <row r="111" customFormat="false" ht="15" hidden="false" customHeight="false" outlineLevel="0" collapsed="false">
      <c r="A111" s="101" t="s">
        <v>1442</v>
      </c>
      <c r="B111" s="18" t="s">
        <v>415</v>
      </c>
      <c r="C111" s="18"/>
      <c r="D111" s="18"/>
      <c r="F111" s="110" t="n">
        <f aca="false">(1-$I$27)*(1-$J$27)*$D$27*AND(F$5&gt;=$H$27,F$5&lt;$H$27+$F$27)</f>
        <v>0</v>
      </c>
      <c r="G111" s="110" t="n">
        <f aca="false">(1-$I$27)*(1-$J$27)*$D$27*AND(G$5&gt;=$H$27,G$5&lt;$H$27+$F$27)</f>
        <v>0</v>
      </c>
      <c r="H111" s="110" t="n">
        <f aca="false">(1-$I$27)*(1-$J$27)*$D$27*AND(H$5&gt;=$H$27,H$5&lt;$H$27+$F$27)</f>
        <v>0</v>
      </c>
      <c r="I111" s="110" t="n">
        <f aca="false">(1-$I$27)*(1-$J$27)*$D$27*AND(I$5&gt;=$H$27,I$5&lt;$H$27+$F$27)</f>
        <v>0</v>
      </c>
      <c r="J111" s="110" t="n">
        <f aca="false">(1-$I$27)*(1-$J$27)*$D$27*AND(J$5&gt;=$H$27,J$5&lt;$H$27+$F$27)</f>
        <v>0</v>
      </c>
      <c r="K111" s="110" t="n">
        <f aca="false">(1-$I$27)*(1-$J$27)*$D$27*AND(K$5&gt;=$H$27,K$5&lt;$H$27+$F$27)</f>
        <v>0</v>
      </c>
      <c r="L111" s="110" t="n">
        <f aca="false">(1-$I$27)*(1-$J$27)*$D$27*AND(L$5&gt;=$H$27,L$5&lt;$H$27+$F$27)</f>
        <v>0</v>
      </c>
      <c r="M111" s="110" t="n">
        <f aca="false">(1-$I$27)*(1-$J$27)*$D$27*AND(M$5&gt;=$H$27,M$5&lt;$H$27+$F$27)</f>
        <v>0</v>
      </c>
      <c r="N111" s="110" t="n">
        <f aca="false">(1-$I$27)*(1-$J$27)*$D$27*AND(N$5&gt;=$H$27,N$5&lt;$H$27+$F$27)</f>
        <v>0</v>
      </c>
      <c r="O111" s="110" t="n">
        <f aca="false">(1-$I$27)*(1-$J$27)*$D$27*AND(O$5&gt;=$H$27,O$5&lt;$H$27+$F$27)</f>
        <v>0</v>
      </c>
      <c r="P111" s="21" t="n">
        <f aca="false">(1-$I$27)*(1-$J$27)*$D$27*AND(P$5&gt;=$H$27,P$5&lt;$H$27+$F$27)</f>
        <v>0</v>
      </c>
      <c r="Q111" s="21" t="n">
        <f aca="false">(1-$I$27)*(1-$J$27)*$D$27*AND(Q$5&gt;=$H$27,Q$5&lt;$H$27+$F$27)</f>
        <v>0</v>
      </c>
      <c r="R111" s="21" t="n">
        <f aca="false">(1-$I$27)*(1-$J$27)*$D$27*AND(R$5&gt;=$H$27,R$5&lt;$H$27+$F$27)</f>
        <v>0</v>
      </c>
      <c r="S111" s="21" t="n">
        <f aca="false">(1-$I$27)*(1-$J$27)*$D$27*AND(S$5&gt;=$H$27,S$5&lt;$H$27+$F$27)</f>
        <v>0</v>
      </c>
      <c r="T111" s="21" t="n">
        <f aca="false">(1-$I$27)*(1-$J$27)*$D$27*AND(T$5&gt;=$H$27,T$5&lt;$H$27+$F$27)</f>
        <v>0</v>
      </c>
      <c r="U111" s="21" t="n">
        <f aca="false">(1-$I$27)*(1-$J$27)*$D$27*AND(U$5&gt;=$H$27,U$5&lt;$H$27+$F$27)</f>
        <v>0</v>
      </c>
      <c r="V111" s="21" t="n">
        <f aca="false">(1-$I$27)*(1-$J$27)*$D$27*AND(V$5&gt;=$H$27,V$5&lt;$H$27+$F$27)</f>
        <v>0</v>
      </c>
      <c r="W111" s="21" t="n">
        <f aca="false">(1-$I$27)*(1-$J$27)*$D$27*AND(W$5&gt;=$H$27,W$5&lt;$H$27+$F$27)</f>
        <v>0</v>
      </c>
      <c r="X111" s="21" t="n">
        <f aca="false">(1-$I$27)*(1-$J$27)*$D$27*AND(X$5&gt;=$H$27,X$5&lt;$H$27+$F$27)</f>
        <v>0</v>
      </c>
      <c r="Y111" s="21" t="n">
        <f aca="false">(1-$I$27)*(1-$J$27)*$D$27*AND(Y$5&gt;=$H$27,Y$5&lt;$H$27+$F$27)</f>
        <v>0</v>
      </c>
      <c r="Z111" s="21" t="n">
        <f aca="false">(1-$I$27)*(1-$J$27)*$D$27*AND(Z$5&gt;=$H$27,Z$5&lt;$H$27+$F$27)</f>
        <v>0</v>
      </c>
      <c r="AA111" s="21" t="n">
        <f aca="false">(1-$I$27)*(1-$J$27)*$D$27*AND(AA$5&gt;=$H$27,AA$5&lt;$H$27+$F$27)</f>
        <v>0</v>
      </c>
      <c r="AB111" s="21" t="n">
        <f aca="false">(1-$I$27)*(1-$J$27)*$D$27*AND(AB$5&gt;=$H$27,AB$5&lt;$H$27+$F$27)</f>
        <v>0</v>
      </c>
      <c r="AC111" s="21" t="n">
        <f aca="false">(1-$I$27)*(1-$J$27)*$D$27*AND(AC$5&gt;=$H$27,AC$5&lt;$H$27+$F$27)</f>
        <v>0</v>
      </c>
      <c r="AD111" s="21" t="n">
        <f aca="false">(1-$I$27)*(1-$J$27)*$D$27*AND(AD$5&gt;=$H$27,AD$5&lt;$H$27+$F$27)</f>
        <v>0</v>
      </c>
      <c r="AE111" s="21" t="n">
        <f aca="false">(1-$I$27)*(1-$J$27)*$D$27*AND(AE$5&gt;=$H$27,AE$5&lt;$H$27+$F$27)</f>
        <v>0</v>
      </c>
      <c r="AF111" s="21" t="n">
        <f aca="false">(1-$I$27)*(1-$J$27)*$D$27*AND(AF$5&gt;=$H$27,AF$5&lt;$H$27+$F$27)</f>
        <v>0</v>
      </c>
      <c r="AG111" s="21" t="n">
        <f aca="false">(1-$I$27)*(1-$J$27)*$D$27*AND(AG$5&gt;=$H$27,AG$5&lt;$H$27+$F$27)</f>
        <v>0</v>
      </c>
      <c r="AI111" s="21" t="n">
        <f aca="false">INDEX($F111:$AG111,1,MATCH(AI$7,$F$7:$AG$7,1))</f>
        <v>0</v>
      </c>
      <c r="AJ111" s="21" t="n">
        <f aca="false">INDEX($F111:$AG111,1,MATCH(AJ$7,$F$7:$AG$7,1))</f>
        <v>0</v>
      </c>
      <c r="AK111" s="21" t="n">
        <f aca="false">INDEX($F111:$AG111,1,MATCH(AK$7,$F$7:$AG$7,1))</f>
        <v>0</v>
      </c>
      <c r="AL111" s="21" t="n">
        <f aca="false">INDEX($F111:$AG111,1,MATCH(AL$7,$F$7:$AG$7,1))</f>
        <v>0</v>
      </c>
      <c r="AM111" s="21" t="n">
        <f aca="false">INDEX($F111:$AG111,1,MATCH(AM$7,$F$7:$AG$7,1))</f>
        <v>0</v>
      </c>
      <c r="AN111" s="21" t="n">
        <f aca="false">INDEX($F111:$AG111,1,MATCH(AN$7,$F$7:$AG$7,1))</f>
        <v>0</v>
      </c>
      <c r="AO111" s="21" t="n">
        <f aca="false">INDEX($F111:$AG111,1,MATCH(AO$7,$F$7:$AG$7,1))</f>
        <v>0</v>
      </c>
    </row>
    <row r="112" customFormat="false" ht="15" hidden="false" customHeight="false" outlineLevel="0" collapsed="false">
      <c r="A112" s="101" t="s">
        <v>1443</v>
      </c>
      <c r="B112" s="18" t="s">
        <v>400</v>
      </c>
      <c r="C112" s="18"/>
      <c r="D112" s="18"/>
      <c r="F112" s="119" t="n">
        <f aca="false">-(1-$I$27)*LD_Pct*$D$27*$E$27/4*AND(F$5&gt;=$G$27,F$5&lt;$H$27)</f>
        <v>-0</v>
      </c>
      <c r="G112" s="119" t="n">
        <f aca="false">-(1-$I$27)*LD_Pct*$D$27*$E$27/4*AND(G$5&gt;=$G$27,G$5&lt;$H$27)</f>
        <v>-0</v>
      </c>
      <c r="H112" s="119" t="n">
        <f aca="false">-(1-$I$27)*LD_Pct*$D$27*$E$27/4*AND(H$5&gt;=$G$27,H$5&lt;$H$27)</f>
        <v>-0</v>
      </c>
      <c r="I112" s="119" t="n">
        <f aca="false">-(1-$I$27)*LD_Pct*$D$27*$E$27/4*AND(I$5&gt;=$G$27,I$5&lt;$H$27)</f>
        <v>-0</v>
      </c>
      <c r="J112" s="119" t="n">
        <f aca="false">-(1-$I$27)*LD_Pct*$D$27*$E$27/4*AND(J$5&gt;=$G$27,J$5&lt;$H$27)</f>
        <v>-0</v>
      </c>
      <c r="K112" s="119" t="n">
        <f aca="false">-(1-$I$27)*LD_Pct*$D$27*$E$27/4*AND(K$5&gt;=$G$27,K$5&lt;$H$27)</f>
        <v>-0</v>
      </c>
      <c r="L112" s="119" t="n">
        <f aca="false">-(1-$I$27)*LD_Pct*$D$27*$E$27/4*AND(L$5&gt;=$G$27,L$5&lt;$H$27)</f>
        <v>-0</v>
      </c>
      <c r="M112" s="119" t="n">
        <f aca="false">-(1-$I$27)*LD_Pct*$D$27*$E$27/4*AND(M$5&gt;=$G$27,M$5&lt;$H$27)</f>
        <v>-0</v>
      </c>
      <c r="N112" s="119" t="n">
        <f aca="false">-(1-$I$27)*LD_Pct*$D$27*$E$27/4*AND(N$5&gt;=$G$27,N$5&lt;$H$27)</f>
        <v>-0</v>
      </c>
      <c r="O112" s="119" t="n">
        <f aca="false">-(1-$I$27)*LD_Pct*$D$27*$E$27/4*AND(O$5&gt;=$G$27,O$5&lt;$H$27)</f>
        <v>-0</v>
      </c>
      <c r="P112" s="120" t="n">
        <f aca="false">-(1-$I$27)*LD_Pct*$D$27*$E$27/4*AND(P$5&gt;=$G$27,P$5&lt;$H$27)</f>
        <v>-0</v>
      </c>
      <c r="Q112" s="120" t="n">
        <f aca="false">-(1-$I$27)*LD_Pct*$D$27*$E$27/4*AND(Q$5&gt;=$G$27,Q$5&lt;$H$27)</f>
        <v>-0</v>
      </c>
      <c r="R112" s="120" t="n">
        <f aca="false">-(1-$I$27)*LD_Pct*$D$27*$E$27/4*AND(R$5&gt;=$G$27,R$5&lt;$H$27)</f>
        <v>-0</v>
      </c>
      <c r="S112" s="120" t="n">
        <f aca="false">-(1-$I$27)*LD_Pct*$D$27*$E$27/4*AND(S$5&gt;=$G$27,S$5&lt;$H$27)</f>
        <v>-0</v>
      </c>
      <c r="T112" s="120" t="n">
        <f aca="false">-(1-$I$27)*LD_Pct*$D$27*$E$27/4*AND(T$5&gt;=$G$27,T$5&lt;$H$27)</f>
        <v>-0</v>
      </c>
      <c r="U112" s="120" t="n">
        <f aca="false">-(1-$I$27)*LD_Pct*$D$27*$E$27/4*AND(U$5&gt;=$G$27,U$5&lt;$H$27)</f>
        <v>-0</v>
      </c>
      <c r="V112" s="120" t="n">
        <f aca="false">-(1-$I$27)*LD_Pct*$D$27*$E$27/4*AND(V$5&gt;=$G$27,V$5&lt;$H$27)</f>
        <v>-0</v>
      </c>
      <c r="W112" s="120" t="n">
        <f aca="false">-(1-$I$27)*LD_Pct*$D$27*$E$27/4*AND(W$5&gt;=$G$27,W$5&lt;$H$27)</f>
        <v>-0</v>
      </c>
      <c r="X112" s="120" t="n">
        <f aca="false">-(1-$I$27)*LD_Pct*$D$27*$E$27/4*AND(X$5&gt;=$G$27,X$5&lt;$H$27)</f>
        <v>-0</v>
      </c>
      <c r="Y112" s="120" t="n">
        <f aca="false">-(1-$I$27)*LD_Pct*$D$27*$E$27/4*AND(Y$5&gt;=$G$27,Y$5&lt;$H$27)</f>
        <v>-0</v>
      </c>
      <c r="Z112" s="120" t="n">
        <f aca="false">-(1-$I$27)*LD_Pct*$D$27*$E$27/4*AND(Z$5&gt;=$G$27,Z$5&lt;$H$27)</f>
        <v>-0</v>
      </c>
      <c r="AA112" s="120" t="n">
        <f aca="false">-(1-$I$27)*LD_Pct*$D$27*$E$27/4*AND(AA$5&gt;=$G$27,AA$5&lt;$H$27)</f>
        <v>-0</v>
      </c>
      <c r="AB112" s="120" t="n">
        <f aca="false">-(1-$I$27)*LD_Pct*$D$27*$E$27/4*AND(AB$5&gt;=$G$27,AB$5&lt;$H$27)</f>
        <v>-0</v>
      </c>
      <c r="AC112" s="120" t="n">
        <f aca="false">-(1-$I$27)*LD_Pct*$D$27*$E$27/4*AND(AC$5&gt;=$G$27,AC$5&lt;$H$27)</f>
        <v>-0</v>
      </c>
      <c r="AD112" s="120" t="n">
        <f aca="false">-(1-$I$27)*LD_Pct*$D$27*$E$27/4*AND(AD$5&gt;=$G$27,AD$5&lt;$H$27)</f>
        <v>-0</v>
      </c>
      <c r="AE112" s="120" t="n">
        <f aca="false">-(1-$I$27)*LD_Pct*$D$27*$E$27/4*AND(AE$5&gt;=$G$27,AE$5&lt;$H$27)</f>
        <v>-0</v>
      </c>
      <c r="AF112" s="120" t="n">
        <f aca="false">-(1-$I$27)*LD_Pct*$D$27*$E$27/4*AND(AF$5&gt;=$G$27,AF$5&lt;$H$27)</f>
        <v>-0</v>
      </c>
      <c r="AG112" s="120" t="n">
        <f aca="false">-(1-$I$27)*LD_Pct*$D$27*$E$27/4*AND(AG$5&gt;=$G$27,AG$5&lt;$H$27)</f>
        <v>-0</v>
      </c>
      <c r="AI112" s="120" t="n">
        <f aca="false">SUMIF($F$7:$AG$7,AI$7,$F112:$AG112)</f>
        <v>0</v>
      </c>
      <c r="AJ112" s="120" t="n">
        <f aca="false">SUMIF($F$7:$AG$7,AJ$7,$F112:$AG112)</f>
        <v>0</v>
      </c>
      <c r="AK112" s="120" t="n">
        <f aca="false">SUMIF($F$7:$AG$7,AK$7,$F112:$AG112)</f>
        <v>0</v>
      </c>
      <c r="AL112" s="120" t="n">
        <f aca="false">SUMIF($F$7:$AG$7,AL$7,$F112:$AG112)</f>
        <v>0</v>
      </c>
      <c r="AM112" s="120" t="n">
        <f aca="false">SUMIF($F$7:$AG$7,AM$7,$F112:$AG112)</f>
        <v>0</v>
      </c>
      <c r="AN112" s="120" t="n">
        <f aca="false">SUMIF($F$7:$AG$7,AN$7,$F112:$AG112)</f>
        <v>0</v>
      </c>
      <c r="AO112" s="120" t="n">
        <f aca="false">SUMIF($F$7:$AG$7,AO$7,$F112:$AG112)</f>
        <v>0</v>
      </c>
    </row>
    <row r="113" customFormat="false" ht="15" hidden="false" customHeight="false" outlineLevel="0" collapsed="false">
      <c r="A113" s="101" t="s">
        <v>1444</v>
      </c>
      <c r="B113" s="18" t="s">
        <v>415</v>
      </c>
      <c r="C113" s="18"/>
      <c r="D113" s="18"/>
      <c r="F113" s="110" t="n">
        <f aca="false">(1-$I$27)*(1-$J$27)*$D$27*(F$5&gt;=$H$27+$F$27)</f>
        <v>0</v>
      </c>
      <c r="G113" s="110" t="n">
        <f aca="false">(1-$I$27)*(1-$J$27)*$D$27*(G$5&gt;=$H$27+$F$27)</f>
        <v>0</v>
      </c>
      <c r="H113" s="110" t="n">
        <f aca="false">(1-$I$27)*(1-$J$27)*$D$27*(H$5&gt;=$H$27+$F$27)</f>
        <v>0</v>
      </c>
      <c r="I113" s="110" t="n">
        <f aca="false">(1-$I$27)*(1-$J$27)*$D$27*(I$5&gt;=$H$27+$F$27)</f>
        <v>0</v>
      </c>
      <c r="J113" s="110" t="n">
        <f aca="false">(1-$I$27)*(1-$J$27)*$D$27*(J$5&gt;=$H$27+$F$27)</f>
        <v>0</v>
      </c>
      <c r="K113" s="110" t="n">
        <f aca="false">(1-$I$27)*(1-$J$27)*$D$27*(K$5&gt;=$H$27+$F$27)</f>
        <v>0</v>
      </c>
      <c r="L113" s="110" t="n">
        <f aca="false">(1-$I$27)*(1-$J$27)*$D$27*(L$5&gt;=$H$27+$F$27)</f>
        <v>0</v>
      </c>
      <c r="M113" s="110" t="n">
        <f aca="false">(1-$I$27)*(1-$J$27)*$D$27*(M$5&gt;=$H$27+$F$27)</f>
        <v>0</v>
      </c>
      <c r="N113" s="110" t="n">
        <f aca="false">(1-$I$27)*(1-$J$27)*$D$27*(N$5&gt;=$H$27+$F$27)</f>
        <v>0</v>
      </c>
      <c r="O113" s="110" t="n">
        <f aca="false">(1-$I$27)*(1-$J$27)*$D$27*(O$5&gt;=$H$27+$F$27)</f>
        <v>0</v>
      </c>
      <c r="P113" s="21" t="n">
        <f aca="false">(1-$I$27)*(1-$J$27)*$D$27*(P$5&gt;=$H$27+$F$27)</f>
        <v>0</v>
      </c>
      <c r="Q113" s="21" t="n">
        <f aca="false">(1-$I$27)*(1-$J$27)*$D$27*(Q$5&gt;=$H$27+$F$27)</f>
        <v>0</v>
      </c>
      <c r="R113" s="21" t="n">
        <f aca="false">(1-$I$27)*(1-$J$27)*$D$27*(R$5&gt;=$H$27+$F$27)</f>
        <v>0</v>
      </c>
      <c r="S113" s="21" t="n">
        <f aca="false">(1-$I$27)*(1-$J$27)*$D$27*(S$5&gt;=$H$27+$F$27)</f>
        <v>0</v>
      </c>
      <c r="T113" s="21" t="n">
        <f aca="false">(1-$I$27)*(1-$J$27)*$D$27*(T$5&gt;=$H$27+$F$27)</f>
        <v>0</v>
      </c>
      <c r="U113" s="21" t="n">
        <f aca="false">(1-$I$27)*(1-$J$27)*$D$27*(U$5&gt;=$H$27+$F$27)</f>
        <v>0</v>
      </c>
      <c r="V113" s="21" t="n">
        <f aca="false">(1-$I$27)*(1-$J$27)*$D$27*(V$5&gt;=$H$27+$F$27)</f>
        <v>0</v>
      </c>
      <c r="W113" s="21" t="n">
        <f aca="false">(1-$I$27)*(1-$J$27)*$D$27*(W$5&gt;=$H$27+$F$27)</f>
        <v>0</v>
      </c>
      <c r="X113" s="21" t="n">
        <f aca="false">(1-$I$27)*(1-$J$27)*$D$27*(X$5&gt;=$H$27+$F$27)</f>
        <v>0</v>
      </c>
      <c r="Y113" s="21" t="n">
        <f aca="false">(1-$I$27)*(1-$J$27)*$D$27*(Y$5&gt;=$H$27+$F$27)</f>
        <v>0</v>
      </c>
      <c r="Z113" s="21" t="n">
        <f aca="false">(1-$I$27)*(1-$J$27)*$D$27*(Z$5&gt;=$H$27+$F$27)</f>
        <v>0</v>
      </c>
      <c r="AA113" s="21" t="n">
        <f aca="false">(1-$I$27)*(1-$J$27)*$D$27*(AA$5&gt;=$H$27+$F$27)</f>
        <v>0</v>
      </c>
      <c r="AB113" s="21" t="n">
        <f aca="false">(1-$I$27)*(1-$J$27)*$D$27*(AB$5&gt;=$H$27+$F$27)</f>
        <v>0</v>
      </c>
      <c r="AC113" s="21" t="n">
        <f aca="false">(1-$I$27)*(1-$J$27)*$D$27*(AC$5&gt;=$H$27+$F$27)</f>
        <v>0</v>
      </c>
      <c r="AD113" s="21" t="n">
        <f aca="false">(1-$I$27)*(1-$J$27)*$D$27*(AD$5&gt;=$H$27+$F$27)</f>
        <v>0</v>
      </c>
      <c r="AE113" s="21" t="n">
        <f aca="false">(1-$I$27)*(1-$J$27)*$D$27*(AE$5&gt;=$H$27+$F$27)</f>
        <v>0</v>
      </c>
      <c r="AF113" s="21" t="n">
        <f aca="false">(1-$I$27)*(1-$J$27)*$D$27*(AF$5&gt;=$H$27+$F$27)</f>
        <v>0</v>
      </c>
      <c r="AG113" s="21" t="n">
        <f aca="false">(1-$I$27)*(1-$J$27)*$D$27*(AG$5&gt;=$H$27+$F$27)</f>
        <v>0</v>
      </c>
      <c r="AI113" s="21" t="n">
        <f aca="false">INDEX($F113:$AG113,1,MATCH(AI$7,$F$7:$AG$7,1))</f>
        <v>0</v>
      </c>
      <c r="AJ113" s="21" t="n">
        <f aca="false">INDEX($F113:$AG113,1,MATCH(AJ$7,$F$7:$AG$7,1))</f>
        <v>0</v>
      </c>
      <c r="AK113" s="21" t="n">
        <f aca="false">INDEX($F113:$AG113,1,MATCH(AK$7,$F$7:$AG$7,1))</f>
        <v>0</v>
      </c>
      <c r="AL113" s="21" t="n">
        <f aca="false">INDEX($F113:$AG113,1,MATCH(AL$7,$F$7:$AG$7,1))</f>
        <v>0</v>
      </c>
      <c r="AM113" s="21" t="n">
        <f aca="false">INDEX($F113:$AG113,1,MATCH(AM$7,$F$7:$AG$7,1))</f>
        <v>0</v>
      </c>
      <c r="AN113" s="21" t="n">
        <f aca="false">INDEX($F113:$AG113,1,MATCH(AN$7,$F$7:$AG$7,1))</f>
        <v>0</v>
      </c>
      <c r="AO113" s="21" t="n">
        <f aca="false">INDEX($F113:$AG113,1,MATCH(AO$7,$F$7:$AG$7,1))</f>
        <v>0</v>
      </c>
    </row>
    <row r="114" customFormat="false" ht="15" hidden="false" customHeight="false" outlineLevel="0" collapsed="false">
      <c r="A114" s="101" t="s">
        <v>1445</v>
      </c>
      <c r="B114" s="18" t="s">
        <v>400</v>
      </c>
      <c r="C114" s="18"/>
      <c r="D114" s="18" t="s">
        <v>1370</v>
      </c>
      <c r="F114" s="119" t="n">
        <f aca="false">F113*CHOOSE(MATCH($C$27,{"H";"B";"N"},0),GPUMW_H*ODc_H,GPUMW_B*ODc_B,GPUMW_N*ODc_N)*ResidUtil*Timeline!F$9*INDEX(Curve,1,MAX(1,MIN(8,INT((F$5-$H$27)/4)+1)))/1000000</f>
        <v>0</v>
      </c>
      <c r="G114" s="119" t="n">
        <f aca="false">G113*CHOOSE(MATCH($C$27,{"H";"B";"N"},0),GPUMW_H*ODc_H,GPUMW_B*ODc_B,GPUMW_N*ODc_N)*ResidUtil*Timeline!G$9*INDEX(Curve,1,MAX(1,MIN(8,INT((G$5-$H$27)/4)+1)))/1000000</f>
        <v>0</v>
      </c>
      <c r="H114" s="119" t="n">
        <f aca="false">H113*CHOOSE(MATCH($C$27,{"H";"B";"N"},0),GPUMW_H*ODc_H,GPUMW_B*ODc_B,GPUMW_N*ODc_N)*ResidUtil*Timeline!H$9*INDEX(Curve,1,MAX(1,MIN(8,INT((H$5-$H$27)/4)+1)))/1000000</f>
        <v>0</v>
      </c>
      <c r="I114" s="119" t="n">
        <f aca="false">I113*CHOOSE(MATCH($C$27,{"H";"B";"N"},0),GPUMW_H*ODc_H,GPUMW_B*ODc_B,GPUMW_N*ODc_N)*ResidUtil*Timeline!I$9*INDEX(Curve,1,MAX(1,MIN(8,INT((I$5-$H$27)/4)+1)))/1000000</f>
        <v>0</v>
      </c>
      <c r="J114" s="119" t="n">
        <f aca="false">J113*CHOOSE(MATCH($C$27,{"H";"B";"N"},0),GPUMW_H*ODc_H,GPUMW_B*ODc_B,GPUMW_N*ODc_N)*ResidUtil*Timeline!J$9*INDEX(Curve,1,MAX(1,MIN(8,INT((J$5-$H$27)/4)+1)))/1000000</f>
        <v>0</v>
      </c>
      <c r="K114" s="119" t="n">
        <f aca="false">K113*CHOOSE(MATCH($C$27,{"H";"B";"N"},0),GPUMW_H*ODc_H,GPUMW_B*ODc_B,GPUMW_N*ODc_N)*ResidUtil*Timeline!K$9*INDEX(Curve,1,MAX(1,MIN(8,INT((K$5-$H$27)/4)+1)))/1000000</f>
        <v>0</v>
      </c>
      <c r="L114" s="119" t="n">
        <f aca="false">L113*CHOOSE(MATCH($C$27,{"H";"B";"N"},0),GPUMW_H*ODc_H,GPUMW_B*ODc_B,GPUMW_N*ODc_N)*ResidUtil*Timeline!L$9*INDEX(Curve,1,MAX(1,MIN(8,INT((L$5-$H$27)/4)+1)))/1000000</f>
        <v>0</v>
      </c>
      <c r="M114" s="119" t="n">
        <f aca="false">M113*CHOOSE(MATCH($C$27,{"H";"B";"N"},0),GPUMW_H*ODc_H,GPUMW_B*ODc_B,GPUMW_N*ODc_N)*ResidUtil*Timeline!M$9*INDEX(Curve,1,MAX(1,MIN(8,INT((M$5-$H$27)/4)+1)))/1000000</f>
        <v>0</v>
      </c>
      <c r="N114" s="119" t="n">
        <f aca="false">N113*CHOOSE(MATCH($C$27,{"H";"B";"N"},0),GPUMW_H*ODc_H,GPUMW_B*ODc_B,GPUMW_N*ODc_N)*ResidUtil*Timeline!N$9*INDEX(Curve,1,MAX(1,MIN(8,INT((N$5-$H$27)/4)+1)))/1000000</f>
        <v>0</v>
      </c>
      <c r="O114" s="119" t="n">
        <f aca="false">O113*CHOOSE(MATCH($C$27,{"H";"B";"N"},0),GPUMW_H*ODc_H,GPUMW_B*ODc_B,GPUMW_N*ODc_N)*ResidUtil*Timeline!O$9*INDEX(Curve,1,MAX(1,MIN(8,INT((O$5-$H$27)/4)+1)))/1000000</f>
        <v>0</v>
      </c>
      <c r="P114" s="120" t="n">
        <f aca="false">P113*CHOOSE(MATCH($C$27,{"H";"B";"N"},0),GPUMW_H*ODc_H,GPUMW_B*ODc_B,GPUMW_N*ODc_N)*ResidUtil*Timeline!P$9*INDEX(Curve,1,MAX(1,MIN(8,INT((P$5-$H$27)/4)+1)))/1000000</f>
        <v>0</v>
      </c>
      <c r="Q114" s="120" t="n">
        <f aca="false">Q113*CHOOSE(MATCH($C$27,{"H";"B";"N"},0),GPUMW_H*ODc_H,GPUMW_B*ODc_B,GPUMW_N*ODc_N)*ResidUtil*Timeline!Q$9*INDEX(Curve,1,MAX(1,MIN(8,INT((Q$5-$H$27)/4)+1)))/1000000</f>
        <v>0</v>
      </c>
      <c r="R114" s="120" t="n">
        <f aca="false">R113*CHOOSE(MATCH($C$27,{"H";"B";"N"},0),GPUMW_H*ODc_H,GPUMW_B*ODc_B,GPUMW_N*ODc_N)*ResidUtil*Timeline!R$9*INDEX(Curve,1,MAX(1,MIN(8,INT((R$5-$H$27)/4)+1)))/1000000</f>
        <v>0</v>
      </c>
      <c r="S114" s="120" t="n">
        <f aca="false">S113*CHOOSE(MATCH($C$27,{"H";"B";"N"},0),GPUMW_H*ODc_H,GPUMW_B*ODc_B,GPUMW_N*ODc_N)*ResidUtil*Timeline!S$9*INDEX(Curve,1,MAX(1,MIN(8,INT((S$5-$H$27)/4)+1)))/1000000</f>
        <v>0</v>
      </c>
      <c r="T114" s="120" t="n">
        <f aca="false">T113*CHOOSE(MATCH($C$27,{"H";"B";"N"},0),GPUMW_H*ODc_H,GPUMW_B*ODc_B,GPUMW_N*ODc_N)*ResidUtil*Timeline!T$9*INDEX(Curve,1,MAX(1,MIN(8,INT((T$5-$H$27)/4)+1)))/1000000</f>
        <v>0</v>
      </c>
      <c r="U114" s="120" t="n">
        <f aca="false">U113*CHOOSE(MATCH($C$27,{"H";"B";"N"},0),GPUMW_H*ODc_H,GPUMW_B*ODc_B,GPUMW_N*ODc_N)*ResidUtil*Timeline!U$9*INDEX(Curve,1,MAX(1,MIN(8,INT((U$5-$H$27)/4)+1)))/1000000</f>
        <v>0</v>
      </c>
      <c r="V114" s="120" t="n">
        <f aca="false">V113*CHOOSE(MATCH($C$27,{"H";"B";"N"},0),GPUMW_H*ODc_H,GPUMW_B*ODc_B,GPUMW_N*ODc_N)*ResidUtil*Timeline!V$9*INDEX(Curve,1,MAX(1,MIN(8,INT((V$5-$H$27)/4)+1)))/1000000</f>
        <v>0</v>
      </c>
      <c r="W114" s="120" t="n">
        <f aca="false">W113*CHOOSE(MATCH($C$27,{"H";"B";"N"},0),GPUMW_H*ODc_H,GPUMW_B*ODc_B,GPUMW_N*ODc_N)*ResidUtil*Timeline!W$9*INDEX(Curve,1,MAX(1,MIN(8,INT((W$5-$H$27)/4)+1)))/1000000</f>
        <v>0</v>
      </c>
      <c r="X114" s="120" t="n">
        <f aca="false">X113*CHOOSE(MATCH($C$27,{"H";"B";"N"},0),GPUMW_H*ODc_H,GPUMW_B*ODc_B,GPUMW_N*ODc_N)*ResidUtil*Timeline!X$9*INDEX(Curve,1,MAX(1,MIN(8,INT((X$5-$H$27)/4)+1)))/1000000</f>
        <v>0</v>
      </c>
      <c r="Y114" s="120" t="n">
        <f aca="false">Y113*CHOOSE(MATCH($C$27,{"H";"B";"N"},0),GPUMW_H*ODc_H,GPUMW_B*ODc_B,GPUMW_N*ODc_N)*ResidUtil*Timeline!Y$9*INDEX(Curve,1,MAX(1,MIN(8,INT((Y$5-$H$27)/4)+1)))/1000000</f>
        <v>0</v>
      </c>
      <c r="Z114" s="120" t="n">
        <f aca="false">Z113*CHOOSE(MATCH($C$27,{"H";"B";"N"},0),GPUMW_H*ODc_H,GPUMW_B*ODc_B,GPUMW_N*ODc_N)*ResidUtil*Timeline!Z$9*INDEX(Curve,1,MAX(1,MIN(8,INT((Z$5-$H$27)/4)+1)))/1000000</f>
        <v>0</v>
      </c>
      <c r="AA114" s="120" t="n">
        <f aca="false">AA113*CHOOSE(MATCH($C$27,{"H";"B";"N"},0),GPUMW_H*ODc_H,GPUMW_B*ODc_B,GPUMW_N*ODc_N)*ResidUtil*Timeline!AA$9*INDEX(Curve,1,MAX(1,MIN(8,INT((AA$5-$H$27)/4)+1)))/1000000</f>
        <v>0</v>
      </c>
      <c r="AB114" s="120" t="n">
        <f aca="false">AB113*CHOOSE(MATCH($C$27,{"H";"B";"N"},0),GPUMW_H*ODc_H,GPUMW_B*ODc_B,GPUMW_N*ODc_N)*ResidUtil*Timeline!AB$9*INDEX(Curve,1,MAX(1,MIN(8,INT((AB$5-$H$27)/4)+1)))/1000000</f>
        <v>0</v>
      </c>
      <c r="AC114" s="120" t="n">
        <f aca="false">AC113*CHOOSE(MATCH($C$27,{"H";"B";"N"},0),GPUMW_H*ODc_H,GPUMW_B*ODc_B,GPUMW_N*ODc_N)*ResidUtil*Timeline!AC$9*INDEX(Curve,1,MAX(1,MIN(8,INT((AC$5-$H$27)/4)+1)))/1000000</f>
        <v>0</v>
      </c>
      <c r="AD114" s="120" t="n">
        <f aca="false">AD113*CHOOSE(MATCH($C$27,{"H";"B";"N"},0),GPUMW_H*ODc_H,GPUMW_B*ODc_B,GPUMW_N*ODc_N)*ResidUtil*Timeline!AD$9*INDEX(Curve,1,MAX(1,MIN(8,INT((AD$5-$H$27)/4)+1)))/1000000</f>
        <v>0</v>
      </c>
      <c r="AE114" s="120" t="n">
        <f aca="false">AE113*CHOOSE(MATCH($C$27,{"H";"B";"N"},0),GPUMW_H*ODc_H,GPUMW_B*ODc_B,GPUMW_N*ODc_N)*ResidUtil*Timeline!AE$9*INDEX(Curve,1,MAX(1,MIN(8,INT((AE$5-$H$27)/4)+1)))/1000000</f>
        <v>0</v>
      </c>
      <c r="AF114" s="120" t="n">
        <f aca="false">AF113*CHOOSE(MATCH($C$27,{"H";"B";"N"},0),GPUMW_H*ODc_H,GPUMW_B*ODc_B,GPUMW_N*ODc_N)*ResidUtil*Timeline!AF$9*INDEX(Curve,1,MAX(1,MIN(8,INT((AF$5-$H$27)/4)+1)))/1000000</f>
        <v>0</v>
      </c>
      <c r="AG114" s="120" t="n">
        <f aca="false">AG113*CHOOSE(MATCH($C$27,{"H";"B";"N"},0),GPUMW_H*ODc_H,GPUMW_B*ODc_B,GPUMW_N*ODc_N)*ResidUtil*Timeline!AG$9*INDEX(Curve,1,MAX(1,MIN(8,INT((AG$5-$H$27)/4)+1)))/1000000</f>
        <v>0</v>
      </c>
      <c r="AI114" s="120" t="n">
        <f aca="false">SUMIF($F$7:$AG$7,AI$7,$F114:$AG114)</f>
        <v>0</v>
      </c>
      <c r="AJ114" s="120" t="n">
        <f aca="false">SUMIF($F$7:$AG$7,AJ$7,$F114:$AG114)</f>
        <v>0</v>
      </c>
      <c r="AK114" s="120" t="n">
        <f aca="false">SUMIF($F$7:$AG$7,AK$7,$F114:$AG114)</f>
        <v>0</v>
      </c>
      <c r="AL114" s="120" t="n">
        <f aca="false">SUMIF($F$7:$AG$7,AL$7,$F114:$AG114)</f>
        <v>0</v>
      </c>
      <c r="AM114" s="120" t="n">
        <f aca="false">SUMIF($F$7:$AG$7,AM$7,$F114:$AG114)</f>
        <v>0</v>
      </c>
      <c r="AN114" s="120" t="n">
        <f aca="false">SUMIF($F$7:$AG$7,AN$7,$F114:$AG114)</f>
        <v>0</v>
      </c>
      <c r="AO114" s="120" t="n">
        <f aca="false">SUMIF($F$7:$AG$7,AO$7,$F114:$AG114)</f>
        <v>0</v>
      </c>
    </row>
    <row r="115" customFormat="false" ht="15" hidden="false" customHeight="false" outlineLevel="0" collapsed="false">
      <c r="A115" s="101" t="s">
        <v>1446</v>
      </c>
      <c r="B115" s="18" t="s">
        <v>400</v>
      </c>
      <c r="C115" s="18"/>
      <c r="D115" s="18"/>
      <c r="F115" s="119" t="n">
        <f aca="false">(1-$I$28)*(1-$J$28)*$D$28*$E$28/4*MIN(1,MAX(0,(F$5-$H$28+1)/$T$28))*IF(F$5=$H$28,DelivFactor,IF(AND(F$5&gt;$H$28,F$5&lt;$H$28+$F$28),1,IF(F$5=$H$28+$F$28,1-DelivFactor,0)))</f>
        <v>0</v>
      </c>
      <c r="G115" s="119" t="n">
        <f aca="false">(1-$I$28)*(1-$J$28)*$D$28*$E$28/4*MIN(1,MAX(0,(G$5-$H$28+1)/$T$28))*IF(G$5=$H$28,DelivFactor,IF(AND(G$5&gt;$H$28,G$5&lt;$H$28+$F$28),1,IF(G$5=$H$28+$F$28,1-DelivFactor,0)))</f>
        <v>0</v>
      </c>
      <c r="H115" s="119" t="n">
        <f aca="false">(1-$I$28)*(1-$J$28)*$D$28*$E$28/4*MIN(1,MAX(0,(H$5-$H$28+1)/$T$28))*IF(H$5=$H$28,DelivFactor,IF(AND(H$5&gt;$H$28,H$5&lt;$H$28+$F$28),1,IF(H$5=$H$28+$F$28,1-DelivFactor,0)))</f>
        <v>0</v>
      </c>
      <c r="I115" s="119" t="n">
        <f aca="false">(1-$I$28)*(1-$J$28)*$D$28*$E$28/4*MIN(1,MAX(0,(I$5-$H$28+1)/$T$28))*IF(I$5=$H$28,DelivFactor,IF(AND(I$5&gt;$H$28,I$5&lt;$H$28+$F$28),1,IF(I$5=$H$28+$F$28,1-DelivFactor,0)))</f>
        <v>0</v>
      </c>
      <c r="J115" s="119" t="n">
        <f aca="false">(1-$I$28)*(1-$J$28)*$D$28*$E$28/4*MIN(1,MAX(0,(J$5-$H$28+1)/$T$28))*IF(J$5=$H$28,DelivFactor,IF(AND(J$5&gt;$H$28,J$5&lt;$H$28+$F$28),1,IF(J$5=$H$28+$F$28,1-DelivFactor,0)))</f>
        <v>0</v>
      </c>
      <c r="K115" s="119" t="n">
        <f aca="false">(1-$I$28)*(1-$J$28)*$D$28*$E$28/4*MIN(1,MAX(0,(K$5-$H$28+1)/$T$28))*IF(K$5=$H$28,DelivFactor,IF(AND(K$5&gt;$H$28,K$5&lt;$H$28+$F$28),1,IF(K$5=$H$28+$F$28,1-DelivFactor,0)))</f>
        <v>0</v>
      </c>
      <c r="L115" s="119" t="n">
        <f aca="false">(1-$I$28)*(1-$J$28)*$D$28*$E$28/4*MIN(1,MAX(0,(L$5-$H$28+1)/$T$28))*IF(L$5=$H$28,DelivFactor,IF(AND(L$5&gt;$H$28,L$5&lt;$H$28+$F$28),1,IF(L$5=$H$28+$F$28,1-DelivFactor,0)))</f>
        <v>0</v>
      </c>
      <c r="M115" s="119" t="n">
        <f aca="false">(1-$I$28)*(1-$J$28)*$D$28*$E$28/4*MIN(1,MAX(0,(M$5-$H$28+1)/$T$28))*IF(M$5=$H$28,DelivFactor,IF(AND(M$5&gt;$H$28,M$5&lt;$H$28+$F$28),1,IF(M$5=$H$28+$F$28,1-DelivFactor,0)))</f>
        <v>0</v>
      </c>
      <c r="N115" s="119" t="n">
        <f aca="false">(1-$I$28)*(1-$J$28)*$D$28*$E$28/4*MIN(1,MAX(0,(N$5-$H$28+1)/$T$28))*IF(N$5=$H$28,DelivFactor,IF(AND(N$5&gt;$H$28,N$5&lt;$H$28+$F$28),1,IF(N$5=$H$28+$F$28,1-DelivFactor,0)))</f>
        <v>0</v>
      </c>
      <c r="O115" s="119" t="n">
        <f aca="false">(1-$I$28)*(1-$J$28)*$D$28*$E$28/4*MIN(1,MAX(0,(O$5-$H$28+1)/$T$28))*IF(O$5=$H$28,DelivFactor,IF(AND(O$5&gt;$H$28,O$5&lt;$H$28+$F$28),1,IF(O$5=$H$28+$F$28,1-DelivFactor,0)))</f>
        <v>0</v>
      </c>
      <c r="P115" s="120" t="n">
        <f aca="false">(1-$I$28)*(1-$J$28)*$D$28*$E$28/4*MIN(1,MAX(0,(P$5-$H$28+1)/$T$28))*IF(P$5=$H$28,DelivFactor,IF(AND(P$5&gt;$H$28,P$5&lt;$H$28+$F$28),1,IF(P$5=$H$28+$F$28,1-DelivFactor,0)))</f>
        <v>0</v>
      </c>
      <c r="Q115" s="120" t="n">
        <f aca="false">(1-$I$28)*(1-$J$28)*$D$28*$E$28/4*MIN(1,MAX(0,(Q$5-$H$28+1)/$T$28))*IF(Q$5=$H$28,DelivFactor,IF(AND(Q$5&gt;$H$28,Q$5&lt;$H$28+$F$28),1,IF(Q$5=$H$28+$F$28,1-DelivFactor,0)))</f>
        <v>0</v>
      </c>
      <c r="R115" s="120" t="n">
        <f aca="false">(1-$I$28)*(1-$J$28)*$D$28*$E$28/4*MIN(1,MAX(0,(R$5-$H$28+1)/$T$28))*IF(R$5=$H$28,DelivFactor,IF(AND(R$5&gt;$H$28,R$5&lt;$H$28+$F$28),1,IF(R$5=$H$28+$F$28,1-DelivFactor,0)))</f>
        <v>0</v>
      </c>
      <c r="S115" s="120" t="n">
        <f aca="false">(1-$I$28)*(1-$J$28)*$D$28*$E$28/4*MIN(1,MAX(0,(S$5-$H$28+1)/$T$28))*IF(S$5=$H$28,DelivFactor,IF(AND(S$5&gt;$H$28,S$5&lt;$H$28+$F$28),1,IF(S$5=$H$28+$F$28,1-DelivFactor,0)))</f>
        <v>0</v>
      </c>
      <c r="T115" s="120" t="n">
        <f aca="false">(1-$I$28)*(1-$J$28)*$D$28*$E$28/4*MIN(1,MAX(0,(T$5-$H$28+1)/$T$28))*IF(T$5=$H$28,DelivFactor,IF(AND(T$5&gt;$H$28,T$5&lt;$H$28+$F$28),1,IF(T$5=$H$28+$F$28,1-DelivFactor,0)))</f>
        <v>0</v>
      </c>
      <c r="U115" s="120" t="n">
        <f aca="false">(1-$I$28)*(1-$J$28)*$D$28*$E$28/4*MIN(1,MAX(0,(U$5-$H$28+1)/$T$28))*IF(U$5=$H$28,DelivFactor,IF(AND(U$5&gt;$H$28,U$5&lt;$H$28+$F$28),1,IF(U$5=$H$28+$F$28,1-DelivFactor,0)))</f>
        <v>0</v>
      </c>
      <c r="V115" s="120" t="n">
        <f aca="false">(1-$I$28)*(1-$J$28)*$D$28*$E$28/4*MIN(1,MAX(0,(V$5-$H$28+1)/$T$28))*IF(V$5=$H$28,DelivFactor,IF(AND(V$5&gt;$H$28,V$5&lt;$H$28+$F$28),1,IF(V$5=$H$28+$F$28,1-DelivFactor,0)))</f>
        <v>0</v>
      </c>
      <c r="W115" s="120" t="n">
        <f aca="false">(1-$I$28)*(1-$J$28)*$D$28*$E$28/4*MIN(1,MAX(0,(W$5-$H$28+1)/$T$28))*IF(W$5=$H$28,DelivFactor,IF(AND(W$5&gt;$H$28,W$5&lt;$H$28+$F$28),1,IF(W$5=$H$28+$F$28,1-DelivFactor,0)))</f>
        <v>0</v>
      </c>
      <c r="X115" s="120" t="n">
        <f aca="false">(1-$I$28)*(1-$J$28)*$D$28*$E$28/4*MIN(1,MAX(0,(X$5-$H$28+1)/$T$28))*IF(X$5=$H$28,DelivFactor,IF(AND(X$5&gt;$H$28,X$5&lt;$H$28+$F$28),1,IF(X$5=$H$28+$F$28,1-DelivFactor,0)))</f>
        <v>0</v>
      </c>
      <c r="Y115" s="120" t="n">
        <f aca="false">(1-$I$28)*(1-$J$28)*$D$28*$E$28/4*MIN(1,MAX(0,(Y$5-$H$28+1)/$T$28))*IF(Y$5=$H$28,DelivFactor,IF(AND(Y$5&gt;$H$28,Y$5&lt;$H$28+$F$28),1,IF(Y$5=$H$28+$F$28,1-DelivFactor,0)))</f>
        <v>0</v>
      </c>
      <c r="Z115" s="120" t="n">
        <f aca="false">(1-$I$28)*(1-$J$28)*$D$28*$E$28/4*MIN(1,MAX(0,(Z$5-$H$28+1)/$T$28))*IF(Z$5=$H$28,DelivFactor,IF(AND(Z$5&gt;$H$28,Z$5&lt;$H$28+$F$28),1,IF(Z$5=$H$28+$F$28,1-DelivFactor,0)))</f>
        <v>0</v>
      </c>
      <c r="AA115" s="120" t="n">
        <f aca="false">(1-$I$28)*(1-$J$28)*$D$28*$E$28/4*MIN(1,MAX(0,(AA$5-$H$28+1)/$T$28))*IF(AA$5=$H$28,DelivFactor,IF(AND(AA$5&gt;$H$28,AA$5&lt;$H$28+$F$28),1,IF(AA$5=$H$28+$F$28,1-DelivFactor,0)))</f>
        <v>0</v>
      </c>
      <c r="AB115" s="120" t="n">
        <f aca="false">(1-$I$28)*(1-$J$28)*$D$28*$E$28/4*MIN(1,MAX(0,(AB$5-$H$28+1)/$T$28))*IF(AB$5=$H$28,DelivFactor,IF(AND(AB$5&gt;$H$28,AB$5&lt;$H$28+$F$28),1,IF(AB$5=$H$28+$F$28,1-DelivFactor,0)))</f>
        <v>0</v>
      </c>
      <c r="AC115" s="120" t="n">
        <f aca="false">(1-$I$28)*(1-$J$28)*$D$28*$E$28/4*MIN(1,MAX(0,(AC$5-$H$28+1)/$T$28))*IF(AC$5=$H$28,DelivFactor,IF(AND(AC$5&gt;$H$28,AC$5&lt;$H$28+$F$28),1,IF(AC$5=$H$28+$F$28,1-DelivFactor,0)))</f>
        <v>0</v>
      </c>
      <c r="AD115" s="120" t="n">
        <f aca="false">(1-$I$28)*(1-$J$28)*$D$28*$E$28/4*MIN(1,MAX(0,(AD$5-$H$28+1)/$T$28))*IF(AD$5=$H$28,DelivFactor,IF(AND(AD$5&gt;$H$28,AD$5&lt;$H$28+$F$28),1,IF(AD$5=$H$28+$F$28,1-DelivFactor,0)))</f>
        <v>0</v>
      </c>
      <c r="AE115" s="120" t="n">
        <f aca="false">(1-$I$28)*(1-$J$28)*$D$28*$E$28/4*MIN(1,MAX(0,(AE$5-$H$28+1)/$T$28))*IF(AE$5=$H$28,DelivFactor,IF(AND(AE$5&gt;$H$28,AE$5&lt;$H$28+$F$28),1,IF(AE$5=$H$28+$F$28,1-DelivFactor,0)))</f>
        <v>0</v>
      </c>
      <c r="AF115" s="120" t="n">
        <f aca="false">(1-$I$28)*(1-$J$28)*$D$28*$E$28/4*MIN(1,MAX(0,(AF$5-$H$28+1)/$T$28))*IF(AF$5=$H$28,DelivFactor,IF(AND(AF$5&gt;$H$28,AF$5&lt;$H$28+$F$28),1,IF(AF$5=$H$28+$F$28,1-DelivFactor,0)))</f>
        <v>0</v>
      </c>
      <c r="AG115" s="120" t="n">
        <f aca="false">(1-$I$28)*(1-$J$28)*$D$28*$E$28/4*MIN(1,MAX(0,(AG$5-$H$28+1)/$T$28))*IF(AG$5=$H$28,DelivFactor,IF(AND(AG$5&gt;$H$28,AG$5&lt;$H$28+$F$28),1,IF(AG$5=$H$28+$F$28,1-DelivFactor,0)))</f>
        <v>0</v>
      </c>
      <c r="AI115" s="120" t="n">
        <f aca="false">SUMIF($F$7:$AG$7,AI$7,$F115:$AG115)</f>
        <v>0</v>
      </c>
      <c r="AJ115" s="120" t="n">
        <f aca="false">SUMIF($F$7:$AG$7,AJ$7,$F115:$AG115)</f>
        <v>0</v>
      </c>
      <c r="AK115" s="120" t="n">
        <f aca="false">SUMIF($F$7:$AG$7,AK$7,$F115:$AG115)</f>
        <v>0</v>
      </c>
      <c r="AL115" s="120" t="n">
        <f aca="false">SUMIF($F$7:$AG$7,AL$7,$F115:$AG115)</f>
        <v>0</v>
      </c>
      <c r="AM115" s="120" t="n">
        <f aca="false">SUMIF($F$7:$AG$7,AM$7,$F115:$AG115)</f>
        <v>0</v>
      </c>
      <c r="AN115" s="120" t="n">
        <f aca="false">SUMIF($F$7:$AG$7,AN$7,$F115:$AG115)</f>
        <v>0</v>
      </c>
      <c r="AO115" s="120" t="n">
        <f aca="false">SUMIF($F$7:$AG$7,AO$7,$F115:$AG115)</f>
        <v>0</v>
      </c>
    </row>
    <row r="116" customFormat="false" ht="15" hidden="false" customHeight="false" outlineLevel="0" collapsed="false">
      <c r="A116" s="101" t="s">
        <v>1447</v>
      </c>
      <c r="B116" s="18" t="s">
        <v>415</v>
      </c>
      <c r="C116" s="18"/>
      <c r="D116" s="18"/>
      <c r="F116" s="110" t="n">
        <f aca="false">(1-$I$28)*(1-$J$28)*$D$28*AND(F$5&gt;=$H$28,F$5&lt;$H$28+$F$28)</f>
        <v>0</v>
      </c>
      <c r="G116" s="110" t="n">
        <f aca="false">(1-$I$28)*(1-$J$28)*$D$28*AND(G$5&gt;=$H$28,G$5&lt;$H$28+$F$28)</f>
        <v>0</v>
      </c>
      <c r="H116" s="110" t="n">
        <f aca="false">(1-$I$28)*(1-$J$28)*$D$28*AND(H$5&gt;=$H$28,H$5&lt;$H$28+$F$28)</f>
        <v>0</v>
      </c>
      <c r="I116" s="110" t="n">
        <f aca="false">(1-$I$28)*(1-$J$28)*$D$28*AND(I$5&gt;=$H$28,I$5&lt;$H$28+$F$28)</f>
        <v>0</v>
      </c>
      <c r="J116" s="110" t="n">
        <f aca="false">(1-$I$28)*(1-$J$28)*$D$28*AND(J$5&gt;=$H$28,J$5&lt;$H$28+$F$28)</f>
        <v>0</v>
      </c>
      <c r="K116" s="110" t="n">
        <f aca="false">(1-$I$28)*(1-$J$28)*$D$28*AND(K$5&gt;=$H$28,K$5&lt;$H$28+$F$28)</f>
        <v>0</v>
      </c>
      <c r="L116" s="110" t="n">
        <f aca="false">(1-$I$28)*(1-$J$28)*$D$28*AND(L$5&gt;=$H$28,L$5&lt;$H$28+$F$28)</f>
        <v>0</v>
      </c>
      <c r="M116" s="110" t="n">
        <f aca="false">(1-$I$28)*(1-$J$28)*$D$28*AND(M$5&gt;=$H$28,M$5&lt;$H$28+$F$28)</f>
        <v>0</v>
      </c>
      <c r="N116" s="110" t="n">
        <f aca="false">(1-$I$28)*(1-$J$28)*$D$28*AND(N$5&gt;=$H$28,N$5&lt;$H$28+$F$28)</f>
        <v>0</v>
      </c>
      <c r="O116" s="110" t="n">
        <f aca="false">(1-$I$28)*(1-$J$28)*$D$28*AND(O$5&gt;=$H$28,O$5&lt;$H$28+$F$28)</f>
        <v>0</v>
      </c>
      <c r="P116" s="21" t="n">
        <f aca="false">(1-$I$28)*(1-$J$28)*$D$28*AND(P$5&gt;=$H$28,P$5&lt;$H$28+$F$28)</f>
        <v>0</v>
      </c>
      <c r="Q116" s="21" t="n">
        <f aca="false">(1-$I$28)*(1-$J$28)*$D$28*AND(Q$5&gt;=$H$28,Q$5&lt;$H$28+$F$28)</f>
        <v>0</v>
      </c>
      <c r="R116" s="21" t="n">
        <f aca="false">(1-$I$28)*(1-$J$28)*$D$28*AND(R$5&gt;=$H$28,R$5&lt;$H$28+$F$28)</f>
        <v>0</v>
      </c>
      <c r="S116" s="21" t="n">
        <f aca="false">(1-$I$28)*(1-$J$28)*$D$28*AND(S$5&gt;=$H$28,S$5&lt;$H$28+$F$28)</f>
        <v>0</v>
      </c>
      <c r="T116" s="21" t="n">
        <f aca="false">(1-$I$28)*(1-$J$28)*$D$28*AND(T$5&gt;=$H$28,T$5&lt;$H$28+$F$28)</f>
        <v>0</v>
      </c>
      <c r="U116" s="21" t="n">
        <f aca="false">(1-$I$28)*(1-$J$28)*$D$28*AND(U$5&gt;=$H$28,U$5&lt;$H$28+$F$28)</f>
        <v>0</v>
      </c>
      <c r="V116" s="21" t="n">
        <f aca="false">(1-$I$28)*(1-$J$28)*$D$28*AND(V$5&gt;=$H$28,V$5&lt;$H$28+$F$28)</f>
        <v>0</v>
      </c>
      <c r="W116" s="21" t="n">
        <f aca="false">(1-$I$28)*(1-$J$28)*$D$28*AND(W$5&gt;=$H$28,W$5&lt;$H$28+$F$28)</f>
        <v>0</v>
      </c>
      <c r="X116" s="21" t="n">
        <f aca="false">(1-$I$28)*(1-$J$28)*$D$28*AND(X$5&gt;=$H$28,X$5&lt;$H$28+$F$28)</f>
        <v>0</v>
      </c>
      <c r="Y116" s="21" t="n">
        <f aca="false">(1-$I$28)*(1-$J$28)*$D$28*AND(Y$5&gt;=$H$28,Y$5&lt;$H$28+$F$28)</f>
        <v>0</v>
      </c>
      <c r="Z116" s="21" t="n">
        <f aca="false">(1-$I$28)*(1-$J$28)*$D$28*AND(Z$5&gt;=$H$28,Z$5&lt;$H$28+$F$28)</f>
        <v>0</v>
      </c>
      <c r="AA116" s="21" t="n">
        <f aca="false">(1-$I$28)*(1-$J$28)*$D$28*AND(AA$5&gt;=$H$28,AA$5&lt;$H$28+$F$28)</f>
        <v>0</v>
      </c>
      <c r="AB116" s="21" t="n">
        <f aca="false">(1-$I$28)*(1-$J$28)*$D$28*AND(AB$5&gt;=$H$28,AB$5&lt;$H$28+$F$28)</f>
        <v>0</v>
      </c>
      <c r="AC116" s="21" t="n">
        <f aca="false">(1-$I$28)*(1-$J$28)*$D$28*AND(AC$5&gt;=$H$28,AC$5&lt;$H$28+$F$28)</f>
        <v>0</v>
      </c>
      <c r="AD116" s="21" t="n">
        <f aca="false">(1-$I$28)*(1-$J$28)*$D$28*AND(AD$5&gt;=$H$28,AD$5&lt;$H$28+$F$28)</f>
        <v>0</v>
      </c>
      <c r="AE116" s="21" t="n">
        <f aca="false">(1-$I$28)*(1-$J$28)*$D$28*AND(AE$5&gt;=$H$28,AE$5&lt;$H$28+$F$28)</f>
        <v>0</v>
      </c>
      <c r="AF116" s="21" t="n">
        <f aca="false">(1-$I$28)*(1-$J$28)*$D$28*AND(AF$5&gt;=$H$28,AF$5&lt;$H$28+$F$28)</f>
        <v>0</v>
      </c>
      <c r="AG116" s="21" t="n">
        <f aca="false">(1-$I$28)*(1-$J$28)*$D$28*AND(AG$5&gt;=$H$28,AG$5&lt;$H$28+$F$28)</f>
        <v>0</v>
      </c>
      <c r="AI116" s="21" t="n">
        <f aca="false">INDEX($F116:$AG116,1,MATCH(AI$7,$F$7:$AG$7,1))</f>
        <v>0</v>
      </c>
      <c r="AJ116" s="21" t="n">
        <f aca="false">INDEX($F116:$AG116,1,MATCH(AJ$7,$F$7:$AG$7,1))</f>
        <v>0</v>
      </c>
      <c r="AK116" s="21" t="n">
        <f aca="false">INDEX($F116:$AG116,1,MATCH(AK$7,$F$7:$AG$7,1))</f>
        <v>0</v>
      </c>
      <c r="AL116" s="21" t="n">
        <f aca="false">INDEX($F116:$AG116,1,MATCH(AL$7,$F$7:$AG$7,1))</f>
        <v>0</v>
      </c>
      <c r="AM116" s="21" t="n">
        <f aca="false">INDEX($F116:$AG116,1,MATCH(AM$7,$F$7:$AG$7,1))</f>
        <v>0</v>
      </c>
      <c r="AN116" s="21" t="n">
        <f aca="false">INDEX($F116:$AG116,1,MATCH(AN$7,$F$7:$AG$7,1))</f>
        <v>0</v>
      </c>
      <c r="AO116" s="21" t="n">
        <f aca="false">INDEX($F116:$AG116,1,MATCH(AO$7,$F$7:$AG$7,1))</f>
        <v>0</v>
      </c>
    </row>
    <row r="117" customFormat="false" ht="15" hidden="false" customHeight="false" outlineLevel="0" collapsed="false">
      <c r="A117" s="101" t="s">
        <v>1448</v>
      </c>
      <c r="B117" s="18" t="s">
        <v>400</v>
      </c>
      <c r="C117" s="18"/>
      <c r="D117" s="18"/>
      <c r="F117" s="119" t="n">
        <f aca="false">-(1-$I$28)*LD_Pct*$D$28*$E$28/4*AND(F$5&gt;=$G$28,F$5&lt;$H$28)</f>
        <v>-0</v>
      </c>
      <c r="G117" s="119" t="n">
        <f aca="false">-(1-$I$28)*LD_Pct*$D$28*$E$28/4*AND(G$5&gt;=$G$28,G$5&lt;$H$28)</f>
        <v>-0</v>
      </c>
      <c r="H117" s="119" t="n">
        <f aca="false">-(1-$I$28)*LD_Pct*$D$28*$E$28/4*AND(H$5&gt;=$G$28,H$5&lt;$H$28)</f>
        <v>-0</v>
      </c>
      <c r="I117" s="119" t="n">
        <f aca="false">-(1-$I$28)*LD_Pct*$D$28*$E$28/4*AND(I$5&gt;=$G$28,I$5&lt;$H$28)</f>
        <v>-0</v>
      </c>
      <c r="J117" s="119" t="n">
        <f aca="false">-(1-$I$28)*LD_Pct*$D$28*$E$28/4*AND(J$5&gt;=$G$28,J$5&lt;$H$28)</f>
        <v>-0</v>
      </c>
      <c r="K117" s="119" t="n">
        <f aca="false">-(1-$I$28)*LD_Pct*$D$28*$E$28/4*AND(K$5&gt;=$G$28,K$5&lt;$H$28)</f>
        <v>-0</v>
      </c>
      <c r="L117" s="119" t="n">
        <f aca="false">-(1-$I$28)*LD_Pct*$D$28*$E$28/4*AND(L$5&gt;=$G$28,L$5&lt;$H$28)</f>
        <v>-0</v>
      </c>
      <c r="M117" s="119" t="n">
        <f aca="false">-(1-$I$28)*LD_Pct*$D$28*$E$28/4*AND(M$5&gt;=$G$28,M$5&lt;$H$28)</f>
        <v>-0</v>
      </c>
      <c r="N117" s="119" t="n">
        <f aca="false">-(1-$I$28)*LD_Pct*$D$28*$E$28/4*AND(N$5&gt;=$G$28,N$5&lt;$H$28)</f>
        <v>-0</v>
      </c>
      <c r="O117" s="119" t="n">
        <f aca="false">-(1-$I$28)*LD_Pct*$D$28*$E$28/4*AND(O$5&gt;=$G$28,O$5&lt;$H$28)</f>
        <v>-0</v>
      </c>
      <c r="P117" s="120" t="n">
        <f aca="false">-(1-$I$28)*LD_Pct*$D$28*$E$28/4*AND(P$5&gt;=$G$28,P$5&lt;$H$28)</f>
        <v>-0</v>
      </c>
      <c r="Q117" s="120" t="n">
        <f aca="false">-(1-$I$28)*LD_Pct*$D$28*$E$28/4*AND(Q$5&gt;=$G$28,Q$5&lt;$H$28)</f>
        <v>-0</v>
      </c>
      <c r="R117" s="120" t="n">
        <f aca="false">-(1-$I$28)*LD_Pct*$D$28*$E$28/4*AND(R$5&gt;=$G$28,R$5&lt;$H$28)</f>
        <v>-0</v>
      </c>
      <c r="S117" s="120" t="n">
        <f aca="false">-(1-$I$28)*LD_Pct*$D$28*$E$28/4*AND(S$5&gt;=$G$28,S$5&lt;$H$28)</f>
        <v>-0</v>
      </c>
      <c r="T117" s="120" t="n">
        <f aca="false">-(1-$I$28)*LD_Pct*$D$28*$E$28/4*AND(T$5&gt;=$G$28,T$5&lt;$H$28)</f>
        <v>-0</v>
      </c>
      <c r="U117" s="120" t="n">
        <f aca="false">-(1-$I$28)*LD_Pct*$D$28*$E$28/4*AND(U$5&gt;=$G$28,U$5&lt;$H$28)</f>
        <v>-0</v>
      </c>
      <c r="V117" s="120" t="n">
        <f aca="false">-(1-$I$28)*LD_Pct*$D$28*$E$28/4*AND(V$5&gt;=$G$28,V$5&lt;$H$28)</f>
        <v>-0</v>
      </c>
      <c r="W117" s="120" t="n">
        <f aca="false">-(1-$I$28)*LD_Pct*$D$28*$E$28/4*AND(W$5&gt;=$G$28,W$5&lt;$H$28)</f>
        <v>-0</v>
      </c>
      <c r="X117" s="120" t="n">
        <f aca="false">-(1-$I$28)*LD_Pct*$D$28*$E$28/4*AND(X$5&gt;=$G$28,X$5&lt;$H$28)</f>
        <v>-0</v>
      </c>
      <c r="Y117" s="120" t="n">
        <f aca="false">-(1-$I$28)*LD_Pct*$D$28*$E$28/4*AND(Y$5&gt;=$G$28,Y$5&lt;$H$28)</f>
        <v>-0</v>
      </c>
      <c r="Z117" s="120" t="n">
        <f aca="false">-(1-$I$28)*LD_Pct*$D$28*$E$28/4*AND(Z$5&gt;=$G$28,Z$5&lt;$H$28)</f>
        <v>-0</v>
      </c>
      <c r="AA117" s="120" t="n">
        <f aca="false">-(1-$I$28)*LD_Pct*$D$28*$E$28/4*AND(AA$5&gt;=$G$28,AA$5&lt;$H$28)</f>
        <v>-0</v>
      </c>
      <c r="AB117" s="120" t="n">
        <f aca="false">-(1-$I$28)*LD_Pct*$D$28*$E$28/4*AND(AB$5&gt;=$G$28,AB$5&lt;$H$28)</f>
        <v>-0</v>
      </c>
      <c r="AC117" s="120" t="n">
        <f aca="false">-(1-$I$28)*LD_Pct*$D$28*$E$28/4*AND(AC$5&gt;=$G$28,AC$5&lt;$H$28)</f>
        <v>-0</v>
      </c>
      <c r="AD117" s="120" t="n">
        <f aca="false">-(1-$I$28)*LD_Pct*$D$28*$E$28/4*AND(AD$5&gt;=$G$28,AD$5&lt;$H$28)</f>
        <v>-0</v>
      </c>
      <c r="AE117" s="120" t="n">
        <f aca="false">-(1-$I$28)*LD_Pct*$D$28*$E$28/4*AND(AE$5&gt;=$G$28,AE$5&lt;$H$28)</f>
        <v>-0</v>
      </c>
      <c r="AF117" s="120" t="n">
        <f aca="false">-(1-$I$28)*LD_Pct*$D$28*$E$28/4*AND(AF$5&gt;=$G$28,AF$5&lt;$H$28)</f>
        <v>-0</v>
      </c>
      <c r="AG117" s="120" t="n">
        <f aca="false">-(1-$I$28)*LD_Pct*$D$28*$E$28/4*AND(AG$5&gt;=$G$28,AG$5&lt;$H$28)</f>
        <v>-0</v>
      </c>
      <c r="AI117" s="120" t="n">
        <f aca="false">SUMIF($F$7:$AG$7,AI$7,$F117:$AG117)</f>
        <v>0</v>
      </c>
      <c r="AJ117" s="120" t="n">
        <f aca="false">SUMIF($F$7:$AG$7,AJ$7,$F117:$AG117)</f>
        <v>0</v>
      </c>
      <c r="AK117" s="120" t="n">
        <f aca="false">SUMIF($F$7:$AG$7,AK$7,$F117:$AG117)</f>
        <v>0</v>
      </c>
      <c r="AL117" s="120" t="n">
        <f aca="false">SUMIF($F$7:$AG$7,AL$7,$F117:$AG117)</f>
        <v>0</v>
      </c>
      <c r="AM117" s="120" t="n">
        <f aca="false">SUMIF($F$7:$AG$7,AM$7,$F117:$AG117)</f>
        <v>0</v>
      </c>
      <c r="AN117" s="120" t="n">
        <f aca="false">SUMIF($F$7:$AG$7,AN$7,$F117:$AG117)</f>
        <v>0</v>
      </c>
      <c r="AO117" s="120" t="n">
        <f aca="false">SUMIF($F$7:$AG$7,AO$7,$F117:$AG117)</f>
        <v>0</v>
      </c>
    </row>
    <row r="118" customFormat="false" ht="15" hidden="false" customHeight="false" outlineLevel="0" collapsed="false">
      <c r="A118" s="101" t="s">
        <v>1449</v>
      </c>
      <c r="B118" s="18" t="s">
        <v>415</v>
      </c>
      <c r="C118" s="18"/>
      <c r="D118" s="18"/>
      <c r="F118" s="110" t="n">
        <f aca="false">(1-$I$28)*(1-$J$28)*$D$28*(F$5&gt;=$H$28+$F$28)</f>
        <v>0</v>
      </c>
      <c r="G118" s="110" t="n">
        <f aca="false">(1-$I$28)*(1-$J$28)*$D$28*(G$5&gt;=$H$28+$F$28)</f>
        <v>0</v>
      </c>
      <c r="H118" s="110" t="n">
        <f aca="false">(1-$I$28)*(1-$J$28)*$D$28*(H$5&gt;=$H$28+$F$28)</f>
        <v>0</v>
      </c>
      <c r="I118" s="110" t="n">
        <f aca="false">(1-$I$28)*(1-$J$28)*$D$28*(I$5&gt;=$H$28+$F$28)</f>
        <v>0</v>
      </c>
      <c r="J118" s="110" t="n">
        <f aca="false">(1-$I$28)*(1-$J$28)*$D$28*(J$5&gt;=$H$28+$F$28)</f>
        <v>0</v>
      </c>
      <c r="K118" s="110" t="n">
        <f aca="false">(1-$I$28)*(1-$J$28)*$D$28*(K$5&gt;=$H$28+$F$28)</f>
        <v>0</v>
      </c>
      <c r="L118" s="110" t="n">
        <f aca="false">(1-$I$28)*(1-$J$28)*$D$28*(L$5&gt;=$H$28+$F$28)</f>
        <v>0</v>
      </c>
      <c r="M118" s="110" t="n">
        <f aca="false">(1-$I$28)*(1-$J$28)*$D$28*(M$5&gt;=$H$28+$F$28)</f>
        <v>0</v>
      </c>
      <c r="N118" s="110" t="n">
        <f aca="false">(1-$I$28)*(1-$J$28)*$D$28*(N$5&gt;=$H$28+$F$28)</f>
        <v>0</v>
      </c>
      <c r="O118" s="110" t="n">
        <f aca="false">(1-$I$28)*(1-$J$28)*$D$28*(O$5&gt;=$H$28+$F$28)</f>
        <v>0</v>
      </c>
      <c r="P118" s="21" t="n">
        <f aca="false">(1-$I$28)*(1-$J$28)*$D$28*(P$5&gt;=$H$28+$F$28)</f>
        <v>0</v>
      </c>
      <c r="Q118" s="21" t="n">
        <f aca="false">(1-$I$28)*(1-$J$28)*$D$28*(Q$5&gt;=$H$28+$F$28)</f>
        <v>0</v>
      </c>
      <c r="R118" s="21" t="n">
        <f aca="false">(1-$I$28)*(1-$J$28)*$D$28*(R$5&gt;=$H$28+$F$28)</f>
        <v>0</v>
      </c>
      <c r="S118" s="21" t="n">
        <f aca="false">(1-$I$28)*(1-$J$28)*$D$28*(S$5&gt;=$H$28+$F$28)</f>
        <v>0</v>
      </c>
      <c r="T118" s="21" t="n">
        <f aca="false">(1-$I$28)*(1-$J$28)*$D$28*(T$5&gt;=$H$28+$F$28)</f>
        <v>0</v>
      </c>
      <c r="U118" s="21" t="n">
        <f aca="false">(1-$I$28)*(1-$J$28)*$D$28*(U$5&gt;=$H$28+$F$28)</f>
        <v>0</v>
      </c>
      <c r="V118" s="21" t="n">
        <f aca="false">(1-$I$28)*(1-$J$28)*$D$28*(V$5&gt;=$H$28+$F$28)</f>
        <v>0</v>
      </c>
      <c r="W118" s="21" t="n">
        <f aca="false">(1-$I$28)*(1-$J$28)*$D$28*(W$5&gt;=$H$28+$F$28)</f>
        <v>0</v>
      </c>
      <c r="X118" s="21" t="n">
        <f aca="false">(1-$I$28)*(1-$J$28)*$D$28*(X$5&gt;=$H$28+$F$28)</f>
        <v>0</v>
      </c>
      <c r="Y118" s="21" t="n">
        <f aca="false">(1-$I$28)*(1-$J$28)*$D$28*(Y$5&gt;=$H$28+$F$28)</f>
        <v>0</v>
      </c>
      <c r="Z118" s="21" t="n">
        <f aca="false">(1-$I$28)*(1-$J$28)*$D$28*(Z$5&gt;=$H$28+$F$28)</f>
        <v>0</v>
      </c>
      <c r="AA118" s="21" t="n">
        <f aca="false">(1-$I$28)*(1-$J$28)*$D$28*(AA$5&gt;=$H$28+$F$28)</f>
        <v>0</v>
      </c>
      <c r="AB118" s="21" t="n">
        <f aca="false">(1-$I$28)*(1-$J$28)*$D$28*(AB$5&gt;=$H$28+$F$28)</f>
        <v>0</v>
      </c>
      <c r="AC118" s="21" t="n">
        <f aca="false">(1-$I$28)*(1-$J$28)*$D$28*(AC$5&gt;=$H$28+$F$28)</f>
        <v>0</v>
      </c>
      <c r="AD118" s="21" t="n">
        <f aca="false">(1-$I$28)*(1-$J$28)*$D$28*(AD$5&gt;=$H$28+$F$28)</f>
        <v>0</v>
      </c>
      <c r="AE118" s="21" t="n">
        <f aca="false">(1-$I$28)*(1-$J$28)*$D$28*(AE$5&gt;=$H$28+$F$28)</f>
        <v>0</v>
      </c>
      <c r="AF118" s="21" t="n">
        <f aca="false">(1-$I$28)*(1-$J$28)*$D$28*(AF$5&gt;=$H$28+$F$28)</f>
        <v>0</v>
      </c>
      <c r="AG118" s="21" t="n">
        <f aca="false">(1-$I$28)*(1-$J$28)*$D$28*(AG$5&gt;=$H$28+$F$28)</f>
        <v>0</v>
      </c>
      <c r="AI118" s="21" t="n">
        <f aca="false">INDEX($F118:$AG118,1,MATCH(AI$7,$F$7:$AG$7,1))</f>
        <v>0</v>
      </c>
      <c r="AJ118" s="21" t="n">
        <f aca="false">INDEX($F118:$AG118,1,MATCH(AJ$7,$F$7:$AG$7,1))</f>
        <v>0</v>
      </c>
      <c r="AK118" s="21" t="n">
        <f aca="false">INDEX($F118:$AG118,1,MATCH(AK$7,$F$7:$AG$7,1))</f>
        <v>0</v>
      </c>
      <c r="AL118" s="21" t="n">
        <f aca="false">INDEX($F118:$AG118,1,MATCH(AL$7,$F$7:$AG$7,1))</f>
        <v>0</v>
      </c>
      <c r="AM118" s="21" t="n">
        <f aca="false">INDEX($F118:$AG118,1,MATCH(AM$7,$F$7:$AG$7,1))</f>
        <v>0</v>
      </c>
      <c r="AN118" s="21" t="n">
        <f aca="false">INDEX($F118:$AG118,1,MATCH(AN$7,$F$7:$AG$7,1))</f>
        <v>0</v>
      </c>
      <c r="AO118" s="21" t="n">
        <f aca="false">INDEX($F118:$AG118,1,MATCH(AO$7,$F$7:$AG$7,1))</f>
        <v>0</v>
      </c>
    </row>
    <row r="119" customFormat="false" ht="15" hidden="false" customHeight="false" outlineLevel="0" collapsed="false">
      <c r="A119" s="101" t="s">
        <v>1450</v>
      </c>
      <c r="B119" s="18" t="s">
        <v>400</v>
      </c>
      <c r="C119" s="18"/>
      <c r="D119" s="18" t="s">
        <v>1370</v>
      </c>
      <c r="F119" s="119" t="n">
        <f aca="false">F118*CHOOSE(MATCH($C$28,{"H";"B";"N"},0),GPUMW_H*ODc_H,GPUMW_B*ODc_B,GPUMW_N*ODc_N)*ResidUtil*Timeline!F$9*INDEX(Curve,1,MAX(1,MIN(8,INT((F$5-$H$28)/4)+1)))/1000000</f>
        <v>0</v>
      </c>
      <c r="G119" s="119" t="n">
        <f aca="false">G118*CHOOSE(MATCH($C$28,{"H";"B";"N"},0),GPUMW_H*ODc_H,GPUMW_B*ODc_B,GPUMW_N*ODc_N)*ResidUtil*Timeline!G$9*INDEX(Curve,1,MAX(1,MIN(8,INT((G$5-$H$28)/4)+1)))/1000000</f>
        <v>0</v>
      </c>
      <c r="H119" s="119" t="n">
        <f aca="false">H118*CHOOSE(MATCH($C$28,{"H";"B";"N"},0),GPUMW_H*ODc_H,GPUMW_B*ODc_B,GPUMW_N*ODc_N)*ResidUtil*Timeline!H$9*INDEX(Curve,1,MAX(1,MIN(8,INT((H$5-$H$28)/4)+1)))/1000000</f>
        <v>0</v>
      </c>
      <c r="I119" s="119" t="n">
        <f aca="false">I118*CHOOSE(MATCH($C$28,{"H";"B";"N"},0),GPUMW_H*ODc_H,GPUMW_B*ODc_B,GPUMW_N*ODc_N)*ResidUtil*Timeline!I$9*INDEX(Curve,1,MAX(1,MIN(8,INT((I$5-$H$28)/4)+1)))/1000000</f>
        <v>0</v>
      </c>
      <c r="J119" s="119" t="n">
        <f aca="false">J118*CHOOSE(MATCH($C$28,{"H";"B";"N"},0),GPUMW_H*ODc_H,GPUMW_B*ODc_B,GPUMW_N*ODc_N)*ResidUtil*Timeline!J$9*INDEX(Curve,1,MAX(1,MIN(8,INT((J$5-$H$28)/4)+1)))/1000000</f>
        <v>0</v>
      </c>
      <c r="K119" s="119" t="n">
        <f aca="false">K118*CHOOSE(MATCH($C$28,{"H";"B";"N"},0),GPUMW_H*ODc_H,GPUMW_B*ODc_B,GPUMW_N*ODc_N)*ResidUtil*Timeline!K$9*INDEX(Curve,1,MAX(1,MIN(8,INT((K$5-$H$28)/4)+1)))/1000000</f>
        <v>0</v>
      </c>
      <c r="L119" s="119" t="n">
        <f aca="false">L118*CHOOSE(MATCH($C$28,{"H";"B";"N"},0),GPUMW_H*ODc_H,GPUMW_B*ODc_B,GPUMW_N*ODc_N)*ResidUtil*Timeline!L$9*INDEX(Curve,1,MAX(1,MIN(8,INT((L$5-$H$28)/4)+1)))/1000000</f>
        <v>0</v>
      </c>
      <c r="M119" s="119" t="n">
        <f aca="false">M118*CHOOSE(MATCH($C$28,{"H";"B";"N"},0),GPUMW_H*ODc_H,GPUMW_B*ODc_B,GPUMW_N*ODc_N)*ResidUtil*Timeline!M$9*INDEX(Curve,1,MAX(1,MIN(8,INT((M$5-$H$28)/4)+1)))/1000000</f>
        <v>0</v>
      </c>
      <c r="N119" s="119" t="n">
        <f aca="false">N118*CHOOSE(MATCH($C$28,{"H";"B";"N"},0),GPUMW_H*ODc_H,GPUMW_B*ODc_B,GPUMW_N*ODc_N)*ResidUtil*Timeline!N$9*INDEX(Curve,1,MAX(1,MIN(8,INT((N$5-$H$28)/4)+1)))/1000000</f>
        <v>0</v>
      </c>
      <c r="O119" s="119" t="n">
        <f aca="false">O118*CHOOSE(MATCH($C$28,{"H";"B";"N"},0),GPUMW_H*ODc_H,GPUMW_B*ODc_B,GPUMW_N*ODc_N)*ResidUtil*Timeline!O$9*INDEX(Curve,1,MAX(1,MIN(8,INT((O$5-$H$28)/4)+1)))/1000000</f>
        <v>0</v>
      </c>
      <c r="P119" s="120" t="n">
        <f aca="false">P118*CHOOSE(MATCH($C$28,{"H";"B";"N"},0),GPUMW_H*ODc_H,GPUMW_B*ODc_B,GPUMW_N*ODc_N)*ResidUtil*Timeline!P$9*INDEX(Curve,1,MAX(1,MIN(8,INT((P$5-$H$28)/4)+1)))/1000000</f>
        <v>0</v>
      </c>
      <c r="Q119" s="120" t="n">
        <f aca="false">Q118*CHOOSE(MATCH($C$28,{"H";"B";"N"},0),GPUMW_H*ODc_H,GPUMW_B*ODc_B,GPUMW_N*ODc_N)*ResidUtil*Timeline!Q$9*INDEX(Curve,1,MAX(1,MIN(8,INT((Q$5-$H$28)/4)+1)))/1000000</f>
        <v>0</v>
      </c>
      <c r="R119" s="120" t="n">
        <f aca="false">R118*CHOOSE(MATCH($C$28,{"H";"B";"N"},0),GPUMW_H*ODc_H,GPUMW_B*ODc_B,GPUMW_N*ODc_N)*ResidUtil*Timeline!R$9*INDEX(Curve,1,MAX(1,MIN(8,INT((R$5-$H$28)/4)+1)))/1000000</f>
        <v>0</v>
      </c>
      <c r="S119" s="120" t="n">
        <f aca="false">S118*CHOOSE(MATCH($C$28,{"H";"B";"N"},0),GPUMW_H*ODc_H,GPUMW_B*ODc_B,GPUMW_N*ODc_N)*ResidUtil*Timeline!S$9*INDEX(Curve,1,MAX(1,MIN(8,INT((S$5-$H$28)/4)+1)))/1000000</f>
        <v>0</v>
      </c>
      <c r="T119" s="120" t="n">
        <f aca="false">T118*CHOOSE(MATCH($C$28,{"H";"B";"N"},0),GPUMW_H*ODc_H,GPUMW_B*ODc_B,GPUMW_N*ODc_N)*ResidUtil*Timeline!T$9*INDEX(Curve,1,MAX(1,MIN(8,INT((T$5-$H$28)/4)+1)))/1000000</f>
        <v>0</v>
      </c>
      <c r="U119" s="120" t="n">
        <f aca="false">U118*CHOOSE(MATCH($C$28,{"H";"B";"N"},0),GPUMW_H*ODc_H,GPUMW_B*ODc_B,GPUMW_N*ODc_N)*ResidUtil*Timeline!U$9*INDEX(Curve,1,MAX(1,MIN(8,INT((U$5-$H$28)/4)+1)))/1000000</f>
        <v>0</v>
      </c>
      <c r="V119" s="120" t="n">
        <f aca="false">V118*CHOOSE(MATCH($C$28,{"H";"B";"N"},0),GPUMW_H*ODc_H,GPUMW_B*ODc_B,GPUMW_N*ODc_N)*ResidUtil*Timeline!V$9*INDEX(Curve,1,MAX(1,MIN(8,INT((V$5-$H$28)/4)+1)))/1000000</f>
        <v>0</v>
      </c>
      <c r="W119" s="120" t="n">
        <f aca="false">W118*CHOOSE(MATCH($C$28,{"H";"B";"N"},0),GPUMW_H*ODc_H,GPUMW_B*ODc_B,GPUMW_N*ODc_N)*ResidUtil*Timeline!W$9*INDEX(Curve,1,MAX(1,MIN(8,INT((W$5-$H$28)/4)+1)))/1000000</f>
        <v>0</v>
      </c>
      <c r="X119" s="120" t="n">
        <f aca="false">X118*CHOOSE(MATCH($C$28,{"H";"B";"N"},0),GPUMW_H*ODc_H,GPUMW_B*ODc_B,GPUMW_N*ODc_N)*ResidUtil*Timeline!X$9*INDEX(Curve,1,MAX(1,MIN(8,INT((X$5-$H$28)/4)+1)))/1000000</f>
        <v>0</v>
      </c>
      <c r="Y119" s="120" t="n">
        <f aca="false">Y118*CHOOSE(MATCH($C$28,{"H";"B";"N"},0),GPUMW_H*ODc_H,GPUMW_B*ODc_B,GPUMW_N*ODc_N)*ResidUtil*Timeline!Y$9*INDEX(Curve,1,MAX(1,MIN(8,INT((Y$5-$H$28)/4)+1)))/1000000</f>
        <v>0</v>
      </c>
      <c r="Z119" s="120" t="n">
        <f aca="false">Z118*CHOOSE(MATCH($C$28,{"H";"B";"N"},0),GPUMW_H*ODc_H,GPUMW_B*ODc_B,GPUMW_N*ODc_N)*ResidUtil*Timeline!Z$9*INDEX(Curve,1,MAX(1,MIN(8,INT((Z$5-$H$28)/4)+1)))/1000000</f>
        <v>0</v>
      </c>
      <c r="AA119" s="120" t="n">
        <f aca="false">AA118*CHOOSE(MATCH($C$28,{"H";"B";"N"},0),GPUMW_H*ODc_H,GPUMW_B*ODc_B,GPUMW_N*ODc_N)*ResidUtil*Timeline!AA$9*INDEX(Curve,1,MAX(1,MIN(8,INT((AA$5-$H$28)/4)+1)))/1000000</f>
        <v>0</v>
      </c>
      <c r="AB119" s="120" t="n">
        <f aca="false">AB118*CHOOSE(MATCH($C$28,{"H";"B";"N"},0),GPUMW_H*ODc_H,GPUMW_B*ODc_B,GPUMW_N*ODc_N)*ResidUtil*Timeline!AB$9*INDEX(Curve,1,MAX(1,MIN(8,INT((AB$5-$H$28)/4)+1)))/1000000</f>
        <v>0</v>
      </c>
      <c r="AC119" s="120" t="n">
        <f aca="false">AC118*CHOOSE(MATCH($C$28,{"H";"B";"N"},0),GPUMW_H*ODc_H,GPUMW_B*ODc_B,GPUMW_N*ODc_N)*ResidUtil*Timeline!AC$9*INDEX(Curve,1,MAX(1,MIN(8,INT((AC$5-$H$28)/4)+1)))/1000000</f>
        <v>0</v>
      </c>
      <c r="AD119" s="120" t="n">
        <f aca="false">AD118*CHOOSE(MATCH($C$28,{"H";"B";"N"},0),GPUMW_H*ODc_H,GPUMW_B*ODc_B,GPUMW_N*ODc_N)*ResidUtil*Timeline!AD$9*INDEX(Curve,1,MAX(1,MIN(8,INT((AD$5-$H$28)/4)+1)))/1000000</f>
        <v>0</v>
      </c>
      <c r="AE119" s="120" t="n">
        <f aca="false">AE118*CHOOSE(MATCH($C$28,{"H";"B";"N"},0),GPUMW_H*ODc_H,GPUMW_B*ODc_B,GPUMW_N*ODc_N)*ResidUtil*Timeline!AE$9*INDEX(Curve,1,MAX(1,MIN(8,INT((AE$5-$H$28)/4)+1)))/1000000</f>
        <v>0</v>
      </c>
      <c r="AF119" s="120" t="n">
        <f aca="false">AF118*CHOOSE(MATCH($C$28,{"H";"B";"N"},0),GPUMW_H*ODc_H,GPUMW_B*ODc_B,GPUMW_N*ODc_N)*ResidUtil*Timeline!AF$9*INDEX(Curve,1,MAX(1,MIN(8,INT((AF$5-$H$28)/4)+1)))/1000000</f>
        <v>0</v>
      </c>
      <c r="AG119" s="120" t="n">
        <f aca="false">AG118*CHOOSE(MATCH($C$28,{"H";"B";"N"},0),GPUMW_H*ODc_H,GPUMW_B*ODc_B,GPUMW_N*ODc_N)*ResidUtil*Timeline!AG$9*INDEX(Curve,1,MAX(1,MIN(8,INT((AG$5-$H$28)/4)+1)))/1000000</f>
        <v>0</v>
      </c>
      <c r="AI119" s="120" t="n">
        <f aca="false">SUMIF($F$7:$AG$7,AI$7,$F119:$AG119)</f>
        <v>0</v>
      </c>
      <c r="AJ119" s="120" t="n">
        <f aca="false">SUMIF($F$7:$AG$7,AJ$7,$F119:$AG119)</f>
        <v>0</v>
      </c>
      <c r="AK119" s="120" t="n">
        <f aca="false">SUMIF($F$7:$AG$7,AK$7,$F119:$AG119)</f>
        <v>0</v>
      </c>
      <c r="AL119" s="120" t="n">
        <f aca="false">SUMIF($F$7:$AG$7,AL$7,$F119:$AG119)</f>
        <v>0</v>
      </c>
      <c r="AM119" s="120" t="n">
        <f aca="false">SUMIF($F$7:$AG$7,AM$7,$F119:$AG119)</f>
        <v>0</v>
      </c>
      <c r="AN119" s="120" t="n">
        <f aca="false">SUMIF($F$7:$AG$7,AN$7,$F119:$AG119)</f>
        <v>0</v>
      </c>
      <c r="AO119" s="120" t="n">
        <f aca="false">SUMIF($F$7:$AG$7,AO$7,$F119:$AG119)</f>
        <v>0</v>
      </c>
    </row>
    <row r="120" customFormat="false" ht="15" hidden="false" customHeight="false" outlineLevel="0" collapsed="false">
      <c r="A120" s="101" t="s">
        <v>1451</v>
      </c>
      <c r="B120" s="18" t="s">
        <v>400</v>
      </c>
      <c r="C120" s="18"/>
      <c r="D120" s="18"/>
      <c r="F120" s="119" t="n">
        <f aca="false">(1-$I$29)*(1-$J$29)*$D$29*$E$29/4*MIN(1,MAX(0,(F$5-$H$29+1)/$T$29))*IF(F$5=$H$29,DelivFactor,IF(AND(F$5&gt;$H$29,F$5&lt;$H$29+$F$29),1,IF(F$5=$H$29+$F$29,1-DelivFactor,0)))</f>
        <v>0</v>
      </c>
      <c r="G120" s="119" t="n">
        <f aca="false">(1-$I$29)*(1-$J$29)*$D$29*$E$29/4*MIN(1,MAX(0,(G$5-$H$29+1)/$T$29))*IF(G$5=$H$29,DelivFactor,IF(AND(G$5&gt;$H$29,G$5&lt;$H$29+$F$29),1,IF(G$5=$H$29+$F$29,1-DelivFactor,0)))</f>
        <v>0</v>
      </c>
      <c r="H120" s="119" t="n">
        <f aca="false">(1-$I$29)*(1-$J$29)*$D$29*$E$29/4*MIN(1,MAX(0,(H$5-$H$29+1)/$T$29))*IF(H$5=$H$29,DelivFactor,IF(AND(H$5&gt;$H$29,H$5&lt;$H$29+$F$29),1,IF(H$5=$H$29+$F$29,1-DelivFactor,0)))</f>
        <v>0</v>
      </c>
      <c r="I120" s="119" t="n">
        <f aca="false">(1-$I$29)*(1-$J$29)*$D$29*$E$29/4*MIN(1,MAX(0,(I$5-$H$29+1)/$T$29))*IF(I$5=$H$29,DelivFactor,IF(AND(I$5&gt;$H$29,I$5&lt;$H$29+$F$29),1,IF(I$5=$H$29+$F$29,1-DelivFactor,0)))</f>
        <v>0</v>
      </c>
      <c r="J120" s="119" t="n">
        <f aca="false">(1-$I$29)*(1-$J$29)*$D$29*$E$29/4*MIN(1,MAX(0,(J$5-$H$29+1)/$T$29))*IF(J$5=$H$29,DelivFactor,IF(AND(J$5&gt;$H$29,J$5&lt;$H$29+$F$29),1,IF(J$5=$H$29+$F$29,1-DelivFactor,0)))</f>
        <v>0</v>
      </c>
      <c r="K120" s="119" t="n">
        <f aca="false">(1-$I$29)*(1-$J$29)*$D$29*$E$29/4*MIN(1,MAX(0,(K$5-$H$29+1)/$T$29))*IF(K$5=$H$29,DelivFactor,IF(AND(K$5&gt;$H$29,K$5&lt;$H$29+$F$29),1,IF(K$5=$H$29+$F$29,1-DelivFactor,0)))</f>
        <v>0</v>
      </c>
      <c r="L120" s="119" t="n">
        <f aca="false">(1-$I$29)*(1-$J$29)*$D$29*$E$29/4*MIN(1,MAX(0,(L$5-$H$29+1)/$T$29))*IF(L$5=$H$29,DelivFactor,IF(AND(L$5&gt;$H$29,L$5&lt;$H$29+$F$29),1,IF(L$5=$H$29+$F$29,1-DelivFactor,0)))</f>
        <v>0</v>
      </c>
      <c r="M120" s="119" t="n">
        <f aca="false">(1-$I$29)*(1-$J$29)*$D$29*$E$29/4*MIN(1,MAX(0,(M$5-$H$29+1)/$T$29))*IF(M$5=$H$29,DelivFactor,IF(AND(M$5&gt;$H$29,M$5&lt;$H$29+$F$29),1,IF(M$5=$H$29+$F$29,1-DelivFactor,0)))</f>
        <v>0</v>
      </c>
      <c r="N120" s="119" t="n">
        <f aca="false">(1-$I$29)*(1-$J$29)*$D$29*$E$29/4*MIN(1,MAX(0,(N$5-$H$29+1)/$T$29))*IF(N$5=$H$29,DelivFactor,IF(AND(N$5&gt;$H$29,N$5&lt;$H$29+$F$29),1,IF(N$5=$H$29+$F$29,1-DelivFactor,0)))</f>
        <v>0</v>
      </c>
      <c r="O120" s="119" t="n">
        <f aca="false">(1-$I$29)*(1-$J$29)*$D$29*$E$29/4*MIN(1,MAX(0,(O$5-$H$29+1)/$T$29))*IF(O$5=$H$29,DelivFactor,IF(AND(O$5&gt;$H$29,O$5&lt;$H$29+$F$29),1,IF(O$5=$H$29+$F$29,1-DelivFactor,0)))</f>
        <v>0</v>
      </c>
      <c r="P120" s="120" t="n">
        <f aca="false">(1-$I$29)*(1-$J$29)*$D$29*$E$29/4*MIN(1,MAX(0,(P$5-$H$29+1)/$T$29))*IF(P$5=$H$29,DelivFactor,IF(AND(P$5&gt;$H$29,P$5&lt;$H$29+$F$29),1,IF(P$5=$H$29+$F$29,1-DelivFactor,0)))</f>
        <v>0</v>
      </c>
      <c r="Q120" s="120" t="n">
        <f aca="false">(1-$I$29)*(1-$J$29)*$D$29*$E$29/4*MIN(1,MAX(0,(Q$5-$H$29+1)/$T$29))*IF(Q$5=$H$29,DelivFactor,IF(AND(Q$5&gt;$H$29,Q$5&lt;$H$29+$F$29),1,IF(Q$5=$H$29+$F$29,1-DelivFactor,0)))</f>
        <v>0</v>
      </c>
      <c r="R120" s="120" t="n">
        <f aca="false">(1-$I$29)*(1-$J$29)*$D$29*$E$29/4*MIN(1,MAX(0,(R$5-$H$29+1)/$T$29))*IF(R$5=$H$29,DelivFactor,IF(AND(R$5&gt;$H$29,R$5&lt;$H$29+$F$29),1,IF(R$5=$H$29+$F$29,1-DelivFactor,0)))</f>
        <v>0</v>
      </c>
      <c r="S120" s="120" t="n">
        <f aca="false">(1-$I$29)*(1-$J$29)*$D$29*$E$29/4*MIN(1,MAX(0,(S$5-$H$29+1)/$T$29))*IF(S$5=$H$29,DelivFactor,IF(AND(S$5&gt;$H$29,S$5&lt;$H$29+$F$29),1,IF(S$5=$H$29+$F$29,1-DelivFactor,0)))</f>
        <v>0</v>
      </c>
      <c r="T120" s="120" t="n">
        <f aca="false">(1-$I$29)*(1-$J$29)*$D$29*$E$29/4*MIN(1,MAX(0,(T$5-$H$29+1)/$T$29))*IF(T$5=$H$29,DelivFactor,IF(AND(T$5&gt;$H$29,T$5&lt;$H$29+$F$29),1,IF(T$5=$H$29+$F$29,1-DelivFactor,0)))</f>
        <v>0</v>
      </c>
      <c r="U120" s="120" t="n">
        <f aca="false">(1-$I$29)*(1-$J$29)*$D$29*$E$29/4*MIN(1,MAX(0,(U$5-$H$29+1)/$T$29))*IF(U$5=$H$29,DelivFactor,IF(AND(U$5&gt;$H$29,U$5&lt;$H$29+$F$29),1,IF(U$5=$H$29+$F$29,1-DelivFactor,0)))</f>
        <v>0</v>
      </c>
      <c r="V120" s="120" t="n">
        <f aca="false">(1-$I$29)*(1-$J$29)*$D$29*$E$29/4*MIN(1,MAX(0,(V$5-$H$29+1)/$T$29))*IF(V$5=$H$29,DelivFactor,IF(AND(V$5&gt;$H$29,V$5&lt;$H$29+$F$29),1,IF(V$5=$H$29+$F$29,1-DelivFactor,0)))</f>
        <v>0</v>
      </c>
      <c r="W120" s="120" t="n">
        <f aca="false">(1-$I$29)*(1-$J$29)*$D$29*$E$29/4*MIN(1,MAX(0,(W$5-$H$29+1)/$T$29))*IF(W$5=$H$29,DelivFactor,IF(AND(W$5&gt;$H$29,W$5&lt;$H$29+$F$29),1,IF(W$5=$H$29+$F$29,1-DelivFactor,0)))</f>
        <v>0</v>
      </c>
      <c r="X120" s="120" t="n">
        <f aca="false">(1-$I$29)*(1-$J$29)*$D$29*$E$29/4*MIN(1,MAX(0,(X$5-$H$29+1)/$T$29))*IF(X$5=$H$29,DelivFactor,IF(AND(X$5&gt;$H$29,X$5&lt;$H$29+$F$29),1,IF(X$5=$H$29+$F$29,1-DelivFactor,0)))</f>
        <v>0</v>
      </c>
      <c r="Y120" s="120" t="n">
        <f aca="false">(1-$I$29)*(1-$J$29)*$D$29*$E$29/4*MIN(1,MAX(0,(Y$5-$H$29+1)/$T$29))*IF(Y$5=$H$29,DelivFactor,IF(AND(Y$5&gt;$H$29,Y$5&lt;$H$29+$F$29),1,IF(Y$5=$H$29+$F$29,1-DelivFactor,0)))</f>
        <v>0</v>
      </c>
      <c r="Z120" s="120" t="n">
        <f aca="false">(1-$I$29)*(1-$J$29)*$D$29*$E$29/4*MIN(1,MAX(0,(Z$5-$H$29+1)/$T$29))*IF(Z$5=$H$29,DelivFactor,IF(AND(Z$5&gt;$H$29,Z$5&lt;$H$29+$F$29),1,IF(Z$5=$H$29+$F$29,1-DelivFactor,0)))</f>
        <v>0</v>
      </c>
      <c r="AA120" s="120" t="n">
        <f aca="false">(1-$I$29)*(1-$J$29)*$D$29*$E$29/4*MIN(1,MAX(0,(AA$5-$H$29+1)/$T$29))*IF(AA$5=$H$29,DelivFactor,IF(AND(AA$5&gt;$H$29,AA$5&lt;$H$29+$F$29),1,IF(AA$5=$H$29+$F$29,1-DelivFactor,0)))</f>
        <v>0</v>
      </c>
      <c r="AB120" s="120" t="n">
        <f aca="false">(1-$I$29)*(1-$J$29)*$D$29*$E$29/4*MIN(1,MAX(0,(AB$5-$H$29+1)/$T$29))*IF(AB$5=$H$29,DelivFactor,IF(AND(AB$5&gt;$H$29,AB$5&lt;$H$29+$F$29),1,IF(AB$5=$H$29+$F$29,1-DelivFactor,0)))</f>
        <v>0</v>
      </c>
      <c r="AC120" s="120" t="n">
        <f aca="false">(1-$I$29)*(1-$J$29)*$D$29*$E$29/4*MIN(1,MAX(0,(AC$5-$H$29+1)/$T$29))*IF(AC$5=$H$29,DelivFactor,IF(AND(AC$5&gt;$H$29,AC$5&lt;$H$29+$F$29),1,IF(AC$5=$H$29+$F$29,1-DelivFactor,0)))</f>
        <v>0</v>
      </c>
      <c r="AD120" s="120" t="n">
        <f aca="false">(1-$I$29)*(1-$J$29)*$D$29*$E$29/4*MIN(1,MAX(0,(AD$5-$H$29+1)/$T$29))*IF(AD$5=$H$29,DelivFactor,IF(AND(AD$5&gt;$H$29,AD$5&lt;$H$29+$F$29),1,IF(AD$5=$H$29+$F$29,1-DelivFactor,0)))</f>
        <v>0</v>
      </c>
      <c r="AE120" s="120" t="n">
        <f aca="false">(1-$I$29)*(1-$J$29)*$D$29*$E$29/4*MIN(1,MAX(0,(AE$5-$H$29+1)/$T$29))*IF(AE$5=$H$29,DelivFactor,IF(AND(AE$5&gt;$H$29,AE$5&lt;$H$29+$F$29),1,IF(AE$5=$H$29+$F$29,1-DelivFactor,0)))</f>
        <v>0</v>
      </c>
      <c r="AF120" s="120" t="n">
        <f aca="false">(1-$I$29)*(1-$J$29)*$D$29*$E$29/4*MIN(1,MAX(0,(AF$5-$H$29+1)/$T$29))*IF(AF$5=$H$29,DelivFactor,IF(AND(AF$5&gt;$H$29,AF$5&lt;$H$29+$F$29),1,IF(AF$5=$H$29+$F$29,1-DelivFactor,0)))</f>
        <v>0</v>
      </c>
      <c r="AG120" s="120" t="n">
        <f aca="false">(1-$I$29)*(1-$J$29)*$D$29*$E$29/4*MIN(1,MAX(0,(AG$5-$H$29+1)/$T$29))*IF(AG$5=$H$29,DelivFactor,IF(AND(AG$5&gt;$H$29,AG$5&lt;$H$29+$F$29),1,IF(AG$5=$H$29+$F$29,1-DelivFactor,0)))</f>
        <v>0</v>
      </c>
      <c r="AI120" s="120" t="n">
        <f aca="false">SUMIF($F$7:$AG$7,AI$7,$F120:$AG120)</f>
        <v>0</v>
      </c>
      <c r="AJ120" s="120" t="n">
        <f aca="false">SUMIF($F$7:$AG$7,AJ$7,$F120:$AG120)</f>
        <v>0</v>
      </c>
      <c r="AK120" s="120" t="n">
        <f aca="false">SUMIF($F$7:$AG$7,AK$7,$F120:$AG120)</f>
        <v>0</v>
      </c>
      <c r="AL120" s="120" t="n">
        <f aca="false">SUMIF($F$7:$AG$7,AL$7,$F120:$AG120)</f>
        <v>0</v>
      </c>
      <c r="AM120" s="120" t="n">
        <f aca="false">SUMIF($F$7:$AG$7,AM$7,$F120:$AG120)</f>
        <v>0</v>
      </c>
      <c r="AN120" s="120" t="n">
        <f aca="false">SUMIF($F$7:$AG$7,AN$7,$F120:$AG120)</f>
        <v>0</v>
      </c>
      <c r="AO120" s="120" t="n">
        <f aca="false">SUMIF($F$7:$AG$7,AO$7,$F120:$AG120)</f>
        <v>0</v>
      </c>
    </row>
    <row r="121" customFormat="false" ht="15" hidden="false" customHeight="false" outlineLevel="0" collapsed="false">
      <c r="A121" s="101" t="s">
        <v>1452</v>
      </c>
      <c r="B121" s="18" t="s">
        <v>415</v>
      </c>
      <c r="C121" s="18"/>
      <c r="D121" s="18"/>
      <c r="F121" s="110" t="n">
        <f aca="false">(1-$I$29)*(1-$J$29)*$D$29*AND(F$5&gt;=$H$29,F$5&lt;$H$29+$F$29)</f>
        <v>0</v>
      </c>
      <c r="G121" s="110" t="n">
        <f aca="false">(1-$I$29)*(1-$J$29)*$D$29*AND(G$5&gt;=$H$29,G$5&lt;$H$29+$F$29)</f>
        <v>0</v>
      </c>
      <c r="H121" s="110" t="n">
        <f aca="false">(1-$I$29)*(1-$J$29)*$D$29*AND(H$5&gt;=$H$29,H$5&lt;$H$29+$F$29)</f>
        <v>0</v>
      </c>
      <c r="I121" s="110" t="n">
        <f aca="false">(1-$I$29)*(1-$J$29)*$D$29*AND(I$5&gt;=$H$29,I$5&lt;$H$29+$F$29)</f>
        <v>0</v>
      </c>
      <c r="J121" s="110" t="n">
        <f aca="false">(1-$I$29)*(1-$J$29)*$D$29*AND(J$5&gt;=$H$29,J$5&lt;$H$29+$F$29)</f>
        <v>0</v>
      </c>
      <c r="K121" s="110" t="n">
        <f aca="false">(1-$I$29)*(1-$J$29)*$D$29*AND(K$5&gt;=$H$29,K$5&lt;$H$29+$F$29)</f>
        <v>0</v>
      </c>
      <c r="L121" s="110" t="n">
        <f aca="false">(1-$I$29)*(1-$J$29)*$D$29*AND(L$5&gt;=$H$29,L$5&lt;$H$29+$F$29)</f>
        <v>0</v>
      </c>
      <c r="M121" s="110" t="n">
        <f aca="false">(1-$I$29)*(1-$J$29)*$D$29*AND(M$5&gt;=$H$29,M$5&lt;$H$29+$F$29)</f>
        <v>0</v>
      </c>
      <c r="N121" s="110" t="n">
        <f aca="false">(1-$I$29)*(1-$J$29)*$D$29*AND(N$5&gt;=$H$29,N$5&lt;$H$29+$F$29)</f>
        <v>0</v>
      </c>
      <c r="O121" s="110" t="n">
        <f aca="false">(1-$I$29)*(1-$J$29)*$D$29*AND(O$5&gt;=$H$29,O$5&lt;$H$29+$F$29)</f>
        <v>0</v>
      </c>
      <c r="P121" s="21" t="n">
        <f aca="false">(1-$I$29)*(1-$J$29)*$D$29*AND(P$5&gt;=$H$29,P$5&lt;$H$29+$F$29)</f>
        <v>0</v>
      </c>
      <c r="Q121" s="21" t="n">
        <f aca="false">(1-$I$29)*(1-$J$29)*$D$29*AND(Q$5&gt;=$H$29,Q$5&lt;$H$29+$F$29)</f>
        <v>0</v>
      </c>
      <c r="R121" s="21" t="n">
        <f aca="false">(1-$I$29)*(1-$J$29)*$D$29*AND(R$5&gt;=$H$29,R$5&lt;$H$29+$F$29)</f>
        <v>0</v>
      </c>
      <c r="S121" s="21" t="n">
        <f aca="false">(1-$I$29)*(1-$J$29)*$D$29*AND(S$5&gt;=$H$29,S$5&lt;$H$29+$F$29)</f>
        <v>0</v>
      </c>
      <c r="T121" s="21" t="n">
        <f aca="false">(1-$I$29)*(1-$J$29)*$D$29*AND(T$5&gt;=$H$29,T$5&lt;$H$29+$F$29)</f>
        <v>0</v>
      </c>
      <c r="U121" s="21" t="n">
        <f aca="false">(1-$I$29)*(1-$J$29)*$D$29*AND(U$5&gt;=$H$29,U$5&lt;$H$29+$F$29)</f>
        <v>0</v>
      </c>
      <c r="V121" s="21" t="n">
        <f aca="false">(1-$I$29)*(1-$J$29)*$D$29*AND(V$5&gt;=$H$29,V$5&lt;$H$29+$F$29)</f>
        <v>0</v>
      </c>
      <c r="W121" s="21" t="n">
        <f aca="false">(1-$I$29)*(1-$J$29)*$D$29*AND(W$5&gt;=$H$29,W$5&lt;$H$29+$F$29)</f>
        <v>0</v>
      </c>
      <c r="X121" s="21" t="n">
        <f aca="false">(1-$I$29)*(1-$J$29)*$D$29*AND(X$5&gt;=$H$29,X$5&lt;$H$29+$F$29)</f>
        <v>0</v>
      </c>
      <c r="Y121" s="21" t="n">
        <f aca="false">(1-$I$29)*(1-$J$29)*$D$29*AND(Y$5&gt;=$H$29,Y$5&lt;$H$29+$F$29)</f>
        <v>0</v>
      </c>
      <c r="Z121" s="21" t="n">
        <f aca="false">(1-$I$29)*(1-$J$29)*$D$29*AND(Z$5&gt;=$H$29,Z$5&lt;$H$29+$F$29)</f>
        <v>0</v>
      </c>
      <c r="AA121" s="21" t="n">
        <f aca="false">(1-$I$29)*(1-$J$29)*$D$29*AND(AA$5&gt;=$H$29,AA$5&lt;$H$29+$F$29)</f>
        <v>0</v>
      </c>
      <c r="AB121" s="21" t="n">
        <f aca="false">(1-$I$29)*(1-$J$29)*$D$29*AND(AB$5&gt;=$H$29,AB$5&lt;$H$29+$F$29)</f>
        <v>0</v>
      </c>
      <c r="AC121" s="21" t="n">
        <f aca="false">(1-$I$29)*(1-$J$29)*$D$29*AND(AC$5&gt;=$H$29,AC$5&lt;$H$29+$F$29)</f>
        <v>0</v>
      </c>
      <c r="AD121" s="21" t="n">
        <f aca="false">(1-$I$29)*(1-$J$29)*$D$29*AND(AD$5&gt;=$H$29,AD$5&lt;$H$29+$F$29)</f>
        <v>0</v>
      </c>
      <c r="AE121" s="21" t="n">
        <f aca="false">(1-$I$29)*(1-$J$29)*$D$29*AND(AE$5&gt;=$H$29,AE$5&lt;$H$29+$F$29)</f>
        <v>0</v>
      </c>
      <c r="AF121" s="21" t="n">
        <f aca="false">(1-$I$29)*(1-$J$29)*$D$29*AND(AF$5&gt;=$H$29,AF$5&lt;$H$29+$F$29)</f>
        <v>0</v>
      </c>
      <c r="AG121" s="21" t="n">
        <f aca="false">(1-$I$29)*(1-$J$29)*$D$29*AND(AG$5&gt;=$H$29,AG$5&lt;$H$29+$F$29)</f>
        <v>0</v>
      </c>
      <c r="AI121" s="21" t="n">
        <f aca="false">INDEX($F121:$AG121,1,MATCH(AI$7,$F$7:$AG$7,1))</f>
        <v>0</v>
      </c>
      <c r="AJ121" s="21" t="n">
        <f aca="false">INDEX($F121:$AG121,1,MATCH(AJ$7,$F$7:$AG$7,1))</f>
        <v>0</v>
      </c>
      <c r="AK121" s="21" t="n">
        <f aca="false">INDEX($F121:$AG121,1,MATCH(AK$7,$F$7:$AG$7,1))</f>
        <v>0</v>
      </c>
      <c r="AL121" s="21" t="n">
        <f aca="false">INDEX($F121:$AG121,1,MATCH(AL$7,$F$7:$AG$7,1))</f>
        <v>0</v>
      </c>
      <c r="AM121" s="21" t="n">
        <f aca="false">INDEX($F121:$AG121,1,MATCH(AM$7,$F$7:$AG$7,1))</f>
        <v>0</v>
      </c>
      <c r="AN121" s="21" t="n">
        <f aca="false">INDEX($F121:$AG121,1,MATCH(AN$7,$F$7:$AG$7,1))</f>
        <v>0</v>
      </c>
      <c r="AO121" s="21" t="n">
        <f aca="false">INDEX($F121:$AG121,1,MATCH(AO$7,$F$7:$AG$7,1))</f>
        <v>0</v>
      </c>
    </row>
    <row r="122" customFormat="false" ht="15" hidden="false" customHeight="false" outlineLevel="0" collapsed="false">
      <c r="A122" s="101" t="s">
        <v>1453</v>
      </c>
      <c r="B122" s="18" t="s">
        <v>400</v>
      </c>
      <c r="C122" s="18"/>
      <c r="D122" s="18"/>
      <c r="F122" s="119" t="n">
        <f aca="false">-(1-$I$29)*LD_Pct*$D$29*$E$29/4*AND(F$5&gt;=$G$29,F$5&lt;$H$29)</f>
        <v>-0</v>
      </c>
      <c r="G122" s="119" t="n">
        <f aca="false">-(1-$I$29)*LD_Pct*$D$29*$E$29/4*AND(G$5&gt;=$G$29,G$5&lt;$H$29)</f>
        <v>-0</v>
      </c>
      <c r="H122" s="119" t="n">
        <f aca="false">-(1-$I$29)*LD_Pct*$D$29*$E$29/4*AND(H$5&gt;=$G$29,H$5&lt;$H$29)</f>
        <v>-0</v>
      </c>
      <c r="I122" s="119" t="n">
        <f aca="false">-(1-$I$29)*LD_Pct*$D$29*$E$29/4*AND(I$5&gt;=$G$29,I$5&lt;$H$29)</f>
        <v>-0</v>
      </c>
      <c r="J122" s="119" t="n">
        <f aca="false">-(1-$I$29)*LD_Pct*$D$29*$E$29/4*AND(J$5&gt;=$G$29,J$5&lt;$H$29)</f>
        <v>-0</v>
      </c>
      <c r="K122" s="119" t="n">
        <f aca="false">-(1-$I$29)*LD_Pct*$D$29*$E$29/4*AND(K$5&gt;=$G$29,K$5&lt;$H$29)</f>
        <v>-0</v>
      </c>
      <c r="L122" s="119" t="n">
        <f aca="false">-(1-$I$29)*LD_Pct*$D$29*$E$29/4*AND(L$5&gt;=$G$29,L$5&lt;$H$29)</f>
        <v>-0</v>
      </c>
      <c r="M122" s="119" t="n">
        <f aca="false">-(1-$I$29)*LD_Pct*$D$29*$E$29/4*AND(M$5&gt;=$G$29,M$5&lt;$H$29)</f>
        <v>-0</v>
      </c>
      <c r="N122" s="119" t="n">
        <f aca="false">-(1-$I$29)*LD_Pct*$D$29*$E$29/4*AND(N$5&gt;=$G$29,N$5&lt;$H$29)</f>
        <v>-0</v>
      </c>
      <c r="O122" s="119" t="n">
        <f aca="false">-(1-$I$29)*LD_Pct*$D$29*$E$29/4*AND(O$5&gt;=$G$29,O$5&lt;$H$29)</f>
        <v>-0</v>
      </c>
      <c r="P122" s="120" t="n">
        <f aca="false">-(1-$I$29)*LD_Pct*$D$29*$E$29/4*AND(P$5&gt;=$G$29,P$5&lt;$H$29)</f>
        <v>-0</v>
      </c>
      <c r="Q122" s="120" t="n">
        <f aca="false">-(1-$I$29)*LD_Pct*$D$29*$E$29/4*AND(Q$5&gt;=$G$29,Q$5&lt;$H$29)</f>
        <v>-0</v>
      </c>
      <c r="R122" s="120" t="n">
        <f aca="false">-(1-$I$29)*LD_Pct*$D$29*$E$29/4*AND(R$5&gt;=$G$29,R$5&lt;$H$29)</f>
        <v>-0</v>
      </c>
      <c r="S122" s="120" t="n">
        <f aca="false">-(1-$I$29)*LD_Pct*$D$29*$E$29/4*AND(S$5&gt;=$G$29,S$5&lt;$H$29)</f>
        <v>-0</v>
      </c>
      <c r="T122" s="120" t="n">
        <f aca="false">-(1-$I$29)*LD_Pct*$D$29*$E$29/4*AND(T$5&gt;=$G$29,T$5&lt;$H$29)</f>
        <v>-0</v>
      </c>
      <c r="U122" s="120" t="n">
        <f aca="false">-(1-$I$29)*LD_Pct*$D$29*$E$29/4*AND(U$5&gt;=$G$29,U$5&lt;$H$29)</f>
        <v>-0</v>
      </c>
      <c r="V122" s="120" t="n">
        <f aca="false">-(1-$I$29)*LD_Pct*$D$29*$E$29/4*AND(V$5&gt;=$G$29,V$5&lt;$H$29)</f>
        <v>-0</v>
      </c>
      <c r="W122" s="120" t="n">
        <f aca="false">-(1-$I$29)*LD_Pct*$D$29*$E$29/4*AND(W$5&gt;=$G$29,W$5&lt;$H$29)</f>
        <v>-0</v>
      </c>
      <c r="X122" s="120" t="n">
        <f aca="false">-(1-$I$29)*LD_Pct*$D$29*$E$29/4*AND(X$5&gt;=$G$29,X$5&lt;$H$29)</f>
        <v>-0</v>
      </c>
      <c r="Y122" s="120" t="n">
        <f aca="false">-(1-$I$29)*LD_Pct*$D$29*$E$29/4*AND(Y$5&gt;=$G$29,Y$5&lt;$H$29)</f>
        <v>-0</v>
      </c>
      <c r="Z122" s="120" t="n">
        <f aca="false">-(1-$I$29)*LD_Pct*$D$29*$E$29/4*AND(Z$5&gt;=$G$29,Z$5&lt;$H$29)</f>
        <v>-0</v>
      </c>
      <c r="AA122" s="120" t="n">
        <f aca="false">-(1-$I$29)*LD_Pct*$D$29*$E$29/4*AND(AA$5&gt;=$G$29,AA$5&lt;$H$29)</f>
        <v>-0</v>
      </c>
      <c r="AB122" s="120" t="n">
        <f aca="false">-(1-$I$29)*LD_Pct*$D$29*$E$29/4*AND(AB$5&gt;=$G$29,AB$5&lt;$H$29)</f>
        <v>-0</v>
      </c>
      <c r="AC122" s="120" t="n">
        <f aca="false">-(1-$I$29)*LD_Pct*$D$29*$E$29/4*AND(AC$5&gt;=$G$29,AC$5&lt;$H$29)</f>
        <v>-0</v>
      </c>
      <c r="AD122" s="120" t="n">
        <f aca="false">-(1-$I$29)*LD_Pct*$D$29*$E$29/4*AND(AD$5&gt;=$G$29,AD$5&lt;$H$29)</f>
        <v>-0</v>
      </c>
      <c r="AE122" s="120" t="n">
        <f aca="false">-(1-$I$29)*LD_Pct*$D$29*$E$29/4*AND(AE$5&gt;=$G$29,AE$5&lt;$H$29)</f>
        <v>-0</v>
      </c>
      <c r="AF122" s="120" t="n">
        <f aca="false">-(1-$I$29)*LD_Pct*$D$29*$E$29/4*AND(AF$5&gt;=$G$29,AF$5&lt;$H$29)</f>
        <v>-0</v>
      </c>
      <c r="AG122" s="120" t="n">
        <f aca="false">-(1-$I$29)*LD_Pct*$D$29*$E$29/4*AND(AG$5&gt;=$G$29,AG$5&lt;$H$29)</f>
        <v>-0</v>
      </c>
      <c r="AI122" s="120" t="n">
        <f aca="false">SUMIF($F$7:$AG$7,AI$7,$F122:$AG122)</f>
        <v>0</v>
      </c>
      <c r="AJ122" s="120" t="n">
        <f aca="false">SUMIF($F$7:$AG$7,AJ$7,$F122:$AG122)</f>
        <v>0</v>
      </c>
      <c r="AK122" s="120" t="n">
        <f aca="false">SUMIF($F$7:$AG$7,AK$7,$F122:$AG122)</f>
        <v>0</v>
      </c>
      <c r="AL122" s="120" t="n">
        <f aca="false">SUMIF($F$7:$AG$7,AL$7,$F122:$AG122)</f>
        <v>0</v>
      </c>
      <c r="AM122" s="120" t="n">
        <f aca="false">SUMIF($F$7:$AG$7,AM$7,$F122:$AG122)</f>
        <v>0</v>
      </c>
      <c r="AN122" s="120" t="n">
        <f aca="false">SUMIF($F$7:$AG$7,AN$7,$F122:$AG122)</f>
        <v>0</v>
      </c>
      <c r="AO122" s="120" t="n">
        <f aca="false">SUMIF($F$7:$AG$7,AO$7,$F122:$AG122)</f>
        <v>0</v>
      </c>
    </row>
    <row r="123" customFormat="false" ht="15" hidden="false" customHeight="false" outlineLevel="0" collapsed="false">
      <c r="A123" s="101" t="s">
        <v>1454</v>
      </c>
      <c r="B123" s="18" t="s">
        <v>415</v>
      </c>
      <c r="C123" s="18"/>
      <c r="D123" s="18"/>
      <c r="F123" s="110" t="n">
        <f aca="false">(1-$I$29)*(1-$J$29)*$D$29*(F$5&gt;=$H$29+$F$29)</f>
        <v>0</v>
      </c>
      <c r="G123" s="110" t="n">
        <f aca="false">(1-$I$29)*(1-$J$29)*$D$29*(G$5&gt;=$H$29+$F$29)</f>
        <v>0</v>
      </c>
      <c r="H123" s="110" t="n">
        <f aca="false">(1-$I$29)*(1-$J$29)*$D$29*(H$5&gt;=$H$29+$F$29)</f>
        <v>0</v>
      </c>
      <c r="I123" s="110" t="n">
        <f aca="false">(1-$I$29)*(1-$J$29)*$D$29*(I$5&gt;=$H$29+$F$29)</f>
        <v>0</v>
      </c>
      <c r="J123" s="110" t="n">
        <f aca="false">(1-$I$29)*(1-$J$29)*$D$29*(J$5&gt;=$H$29+$F$29)</f>
        <v>0</v>
      </c>
      <c r="K123" s="110" t="n">
        <f aca="false">(1-$I$29)*(1-$J$29)*$D$29*(K$5&gt;=$H$29+$F$29)</f>
        <v>0</v>
      </c>
      <c r="L123" s="110" t="n">
        <f aca="false">(1-$I$29)*(1-$J$29)*$D$29*(L$5&gt;=$H$29+$F$29)</f>
        <v>0</v>
      </c>
      <c r="M123" s="110" t="n">
        <f aca="false">(1-$I$29)*(1-$J$29)*$D$29*(M$5&gt;=$H$29+$F$29)</f>
        <v>0</v>
      </c>
      <c r="N123" s="110" t="n">
        <f aca="false">(1-$I$29)*(1-$J$29)*$D$29*(N$5&gt;=$H$29+$F$29)</f>
        <v>0</v>
      </c>
      <c r="O123" s="110" t="n">
        <f aca="false">(1-$I$29)*(1-$J$29)*$D$29*(O$5&gt;=$H$29+$F$29)</f>
        <v>0</v>
      </c>
      <c r="P123" s="21" t="n">
        <f aca="false">(1-$I$29)*(1-$J$29)*$D$29*(P$5&gt;=$H$29+$F$29)</f>
        <v>0</v>
      </c>
      <c r="Q123" s="21" t="n">
        <f aca="false">(1-$I$29)*(1-$J$29)*$D$29*(Q$5&gt;=$H$29+$F$29)</f>
        <v>0</v>
      </c>
      <c r="R123" s="21" t="n">
        <f aca="false">(1-$I$29)*(1-$J$29)*$D$29*(R$5&gt;=$H$29+$F$29)</f>
        <v>0</v>
      </c>
      <c r="S123" s="21" t="n">
        <f aca="false">(1-$I$29)*(1-$J$29)*$D$29*(S$5&gt;=$H$29+$F$29)</f>
        <v>0</v>
      </c>
      <c r="T123" s="21" t="n">
        <f aca="false">(1-$I$29)*(1-$J$29)*$D$29*(T$5&gt;=$H$29+$F$29)</f>
        <v>0</v>
      </c>
      <c r="U123" s="21" t="n">
        <f aca="false">(1-$I$29)*(1-$J$29)*$D$29*(U$5&gt;=$H$29+$F$29)</f>
        <v>0</v>
      </c>
      <c r="V123" s="21" t="n">
        <f aca="false">(1-$I$29)*(1-$J$29)*$D$29*(V$5&gt;=$H$29+$F$29)</f>
        <v>0</v>
      </c>
      <c r="W123" s="21" t="n">
        <f aca="false">(1-$I$29)*(1-$J$29)*$D$29*(W$5&gt;=$H$29+$F$29)</f>
        <v>0</v>
      </c>
      <c r="X123" s="21" t="n">
        <f aca="false">(1-$I$29)*(1-$J$29)*$D$29*(X$5&gt;=$H$29+$F$29)</f>
        <v>0</v>
      </c>
      <c r="Y123" s="21" t="n">
        <f aca="false">(1-$I$29)*(1-$J$29)*$D$29*(Y$5&gt;=$H$29+$F$29)</f>
        <v>0</v>
      </c>
      <c r="Z123" s="21" t="n">
        <f aca="false">(1-$I$29)*(1-$J$29)*$D$29*(Z$5&gt;=$H$29+$F$29)</f>
        <v>0</v>
      </c>
      <c r="AA123" s="21" t="n">
        <f aca="false">(1-$I$29)*(1-$J$29)*$D$29*(AA$5&gt;=$H$29+$F$29)</f>
        <v>0</v>
      </c>
      <c r="AB123" s="21" t="n">
        <f aca="false">(1-$I$29)*(1-$J$29)*$D$29*(AB$5&gt;=$H$29+$F$29)</f>
        <v>0</v>
      </c>
      <c r="AC123" s="21" t="n">
        <f aca="false">(1-$I$29)*(1-$J$29)*$D$29*(AC$5&gt;=$H$29+$F$29)</f>
        <v>0</v>
      </c>
      <c r="AD123" s="21" t="n">
        <f aca="false">(1-$I$29)*(1-$J$29)*$D$29*(AD$5&gt;=$H$29+$F$29)</f>
        <v>0</v>
      </c>
      <c r="AE123" s="21" t="n">
        <f aca="false">(1-$I$29)*(1-$J$29)*$D$29*(AE$5&gt;=$H$29+$F$29)</f>
        <v>0</v>
      </c>
      <c r="AF123" s="21" t="n">
        <f aca="false">(1-$I$29)*(1-$J$29)*$D$29*(AF$5&gt;=$H$29+$F$29)</f>
        <v>0</v>
      </c>
      <c r="AG123" s="21" t="n">
        <f aca="false">(1-$I$29)*(1-$J$29)*$D$29*(AG$5&gt;=$H$29+$F$29)</f>
        <v>0</v>
      </c>
      <c r="AI123" s="21" t="n">
        <f aca="false">INDEX($F123:$AG123,1,MATCH(AI$7,$F$7:$AG$7,1))</f>
        <v>0</v>
      </c>
      <c r="AJ123" s="21" t="n">
        <f aca="false">INDEX($F123:$AG123,1,MATCH(AJ$7,$F$7:$AG$7,1))</f>
        <v>0</v>
      </c>
      <c r="AK123" s="21" t="n">
        <f aca="false">INDEX($F123:$AG123,1,MATCH(AK$7,$F$7:$AG$7,1))</f>
        <v>0</v>
      </c>
      <c r="AL123" s="21" t="n">
        <f aca="false">INDEX($F123:$AG123,1,MATCH(AL$7,$F$7:$AG$7,1))</f>
        <v>0</v>
      </c>
      <c r="AM123" s="21" t="n">
        <f aca="false">INDEX($F123:$AG123,1,MATCH(AM$7,$F$7:$AG$7,1))</f>
        <v>0</v>
      </c>
      <c r="AN123" s="21" t="n">
        <f aca="false">INDEX($F123:$AG123,1,MATCH(AN$7,$F$7:$AG$7,1))</f>
        <v>0</v>
      </c>
      <c r="AO123" s="21" t="n">
        <f aca="false">INDEX($F123:$AG123,1,MATCH(AO$7,$F$7:$AG$7,1))</f>
        <v>0</v>
      </c>
    </row>
    <row r="124" customFormat="false" ht="15" hidden="false" customHeight="false" outlineLevel="0" collapsed="false">
      <c r="A124" s="101" t="s">
        <v>1455</v>
      </c>
      <c r="B124" s="18" t="s">
        <v>400</v>
      </c>
      <c r="C124" s="18"/>
      <c r="D124" s="18" t="s">
        <v>1370</v>
      </c>
      <c r="F124" s="119" t="n">
        <f aca="false">F123*CHOOSE(MATCH($C$29,{"H";"B";"N"},0),GPUMW_H*ODc_H,GPUMW_B*ODc_B,GPUMW_N*ODc_N)*ResidUtil*Timeline!F$9*INDEX(Curve,1,MAX(1,MIN(8,INT((F$5-$H$29)/4)+1)))/1000000</f>
        <v>0</v>
      </c>
      <c r="G124" s="119" t="n">
        <f aca="false">G123*CHOOSE(MATCH($C$29,{"H";"B";"N"},0),GPUMW_H*ODc_H,GPUMW_B*ODc_B,GPUMW_N*ODc_N)*ResidUtil*Timeline!G$9*INDEX(Curve,1,MAX(1,MIN(8,INT((G$5-$H$29)/4)+1)))/1000000</f>
        <v>0</v>
      </c>
      <c r="H124" s="119" t="n">
        <f aca="false">H123*CHOOSE(MATCH($C$29,{"H";"B";"N"},0),GPUMW_H*ODc_H,GPUMW_B*ODc_B,GPUMW_N*ODc_N)*ResidUtil*Timeline!H$9*INDEX(Curve,1,MAX(1,MIN(8,INT((H$5-$H$29)/4)+1)))/1000000</f>
        <v>0</v>
      </c>
      <c r="I124" s="119" t="n">
        <f aca="false">I123*CHOOSE(MATCH($C$29,{"H";"B";"N"},0),GPUMW_H*ODc_H,GPUMW_B*ODc_B,GPUMW_N*ODc_N)*ResidUtil*Timeline!I$9*INDEX(Curve,1,MAX(1,MIN(8,INT((I$5-$H$29)/4)+1)))/1000000</f>
        <v>0</v>
      </c>
      <c r="J124" s="119" t="n">
        <f aca="false">J123*CHOOSE(MATCH($C$29,{"H";"B";"N"},0),GPUMW_H*ODc_H,GPUMW_B*ODc_B,GPUMW_N*ODc_N)*ResidUtil*Timeline!J$9*INDEX(Curve,1,MAX(1,MIN(8,INT((J$5-$H$29)/4)+1)))/1000000</f>
        <v>0</v>
      </c>
      <c r="K124" s="119" t="n">
        <f aca="false">K123*CHOOSE(MATCH($C$29,{"H";"B";"N"},0),GPUMW_H*ODc_H,GPUMW_B*ODc_B,GPUMW_N*ODc_N)*ResidUtil*Timeline!K$9*INDEX(Curve,1,MAX(1,MIN(8,INT((K$5-$H$29)/4)+1)))/1000000</f>
        <v>0</v>
      </c>
      <c r="L124" s="119" t="n">
        <f aca="false">L123*CHOOSE(MATCH($C$29,{"H";"B";"N"},0),GPUMW_H*ODc_H,GPUMW_B*ODc_B,GPUMW_N*ODc_N)*ResidUtil*Timeline!L$9*INDEX(Curve,1,MAX(1,MIN(8,INT((L$5-$H$29)/4)+1)))/1000000</f>
        <v>0</v>
      </c>
      <c r="M124" s="119" t="n">
        <f aca="false">M123*CHOOSE(MATCH($C$29,{"H";"B";"N"},0),GPUMW_H*ODc_H,GPUMW_B*ODc_B,GPUMW_N*ODc_N)*ResidUtil*Timeline!M$9*INDEX(Curve,1,MAX(1,MIN(8,INT((M$5-$H$29)/4)+1)))/1000000</f>
        <v>0</v>
      </c>
      <c r="N124" s="119" t="n">
        <f aca="false">N123*CHOOSE(MATCH($C$29,{"H";"B";"N"},0),GPUMW_H*ODc_H,GPUMW_B*ODc_B,GPUMW_N*ODc_N)*ResidUtil*Timeline!N$9*INDEX(Curve,1,MAX(1,MIN(8,INT((N$5-$H$29)/4)+1)))/1000000</f>
        <v>0</v>
      </c>
      <c r="O124" s="119" t="n">
        <f aca="false">O123*CHOOSE(MATCH($C$29,{"H";"B";"N"},0),GPUMW_H*ODc_H,GPUMW_B*ODc_B,GPUMW_N*ODc_N)*ResidUtil*Timeline!O$9*INDEX(Curve,1,MAX(1,MIN(8,INT((O$5-$H$29)/4)+1)))/1000000</f>
        <v>0</v>
      </c>
      <c r="P124" s="120" t="n">
        <f aca="false">P123*CHOOSE(MATCH($C$29,{"H";"B";"N"},0),GPUMW_H*ODc_H,GPUMW_B*ODc_B,GPUMW_N*ODc_N)*ResidUtil*Timeline!P$9*INDEX(Curve,1,MAX(1,MIN(8,INT((P$5-$H$29)/4)+1)))/1000000</f>
        <v>0</v>
      </c>
      <c r="Q124" s="120" t="n">
        <f aca="false">Q123*CHOOSE(MATCH($C$29,{"H";"B";"N"},0),GPUMW_H*ODc_H,GPUMW_B*ODc_B,GPUMW_N*ODc_N)*ResidUtil*Timeline!Q$9*INDEX(Curve,1,MAX(1,MIN(8,INT((Q$5-$H$29)/4)+1)))/1000000</f>
        <v>0</v>
      </c>
      <c r="R124" s="120" t="n">
        <f aca="false">R123*CHOOSE(MATCH($C$29,{"H";"B";"N"},0),GPUMW_H*ODc_H,GPUMW_B*ODc_B,GPUMW_N*ODc_N)*ResidUtil*Timeline!R$9*INDEX(Curve,1,MAX(1,MIN(8,INT((R$5-$H$29)/4)+1)))/1000000</f>
        <v>0</v>
      </c>
      <c r="S124" s="120" t="n">
        <f aca="false">S123*CHOOSE(MATCH($C$29,{"H";"B";"N"},0),GPUMW_H*ODc_H,GPUMW_B*ODc_B,GPUMW_N*ODc_N)*ResidUtil*Timeline!S$9*INDEX(Curve,1,MAX(1,MIN(8,INT((S$5-$H$29)/4)+1)))/1000000</f>
        <v>0</v>
      </c>
      <c r="T124" s="120" t="n">
        <f aca="false">T123*CHOOSE(MATCH($C$29,{"H";"B";"N"},0),GPUMW_H*ODc_H,GPUMW_B*ODc_B,GPUMW_N*ODc_N)*ResidUtil*Timeline!T$9*INDEX(Curve,1,MAX(1,MIN(8,INT((T$5-$H$29)/4)+1)))/1000000</f>
        <v>0</v>
      </c>
      <c r="U124" s="120" t="n">
        <f aca="false">U123*CHOOSE(MATCH($C$29,{"H";"B";"N"},0),GPUMW_H*ODc_H,GPUMW_B*ODc_B,GPUMW_N*ODc_N)*ResidUtil*Timeline!U$9*INDEX(Curve,1,MAX(1,MIN(8,INT((U$5-$H$29)/4)+1)))/1000000</f>
        <v>0</v>
      </c>
      <c r="V124" s="120" t="n">
        <f aca="false">V123*CHOOSE(MATCH($C$29,{"H";"B";"N"},0),GPUMW_H*ODc_H,GPUMW_B*ODc_B,GPUMW_N*ODc_N)*ResidUtil*Timeline!V$9*INDEX(Curve,1,MAX(1,MIN(8,INT((V$5-$H$29)/4)+1)))/1000000</f>
        <v>0</v>
      </c>
      <c r="W124" s="120" t="n">
        <f aca="false">W123*CHOOSE(MATCH($C$29,{"H";"B";"N"},0),GPUMW_H*ODc_H,GPUMW_B*ODc_B,GPUMW_N*ODc_N)*ResidUtil*Timeline!W$9*INDEX(Curve,1,MAX(1,MIN(8,INT((W$5-$H$29)/4)+1)))/1000000</f>
        <v>0</v>
      </c>
      <c r="X124" s="120" t="n">
        <f aca="false">X123*CHOOSE(MATCH($C$29,{"H";"B";"N"},0),GPUMW_H*ODc_H,GPUMW_B*ODc_B,GPUMW_N*ODc_N)*ResidUtil*Timeline!X$9*INDEX(Curve,1,MAX(1,MIN(8,INT((X$5-$H$29)/4)+1)))/1000000</f>
        <v>0</v>
      </c>
      <c r="Y124" s="120" t="n">
        <f aca="false">Y123*CHOOSE(MATCH($C$29,{"H";"B";"N"},0),GPUMW_H*ODc_H,GPUMW_B*ODc_B,GPUMW_N*ODc_N)*ResidUtil*Timeline!Y$9*INDEX(Curve,1,MAX(1,MIN(8,INT((Y$5-$H$29)/4)+1)))/1000000</f>
        <v>0</v>
      </c>
      <c r="Z124" s="120" t="n">
        <f aca="false">Z123*CHOOSE(MATCH($C$29,{"H";"B";"N"},0),GPUMW_H*ODc_H,GPUMW_B*ODc_B,GPUMW_N*ODc_N)*ResidUtil*Timeline!Z$9*INDEX(Curve,1,MAX(1,MIN(8,INT((Z$5-$H$29)/4)+1)))/1000000</f>
        <v>0</v>
      </c>
      <c r="AA124" s="120" t="n">
        <f aca="false">AA123*CHOOSE(MATCH($C$29,{"H";"B";"N"},0),GPUMW_H*ODc_H,GPUMW_B*ODc_B,GPUMW_N*ODc_N)*ResidUtil*Timeline!AA$9*INDEX(Curve,1,MAX(1,MIN(8,INT((AA$5-$H$29)/4)+1)))/1000000</f>
        <v>0</v>
      </c>
      <c r="AB124" s="120" t="n">
        <f aca="false">AB123*CHOOSE(MATCH($C$29,{"H";"B";"N"},0),GPUMW_H*ODc_H,GPUMW_B*ODc_B,GPUMW_N*ODc_N)*ResidUtil*Timeline!AB$9*INDEX(Curve,1,MAX(1,MIN(8,INT((AB$5-$H$29)/4)+1)))/1000000</f>
        <v>0</v>
      </c>
      <c r="AC124" s="120" t="n">
        <f aca="false">AC123*CHOOSE(MATCH($C$29,{"H";"B";"N"},0),GPUMW_H*ODc_H,GPUMW_B*ODc_B,GPUMW_N*ODc_N)*ResidUtil*Timeline!AC$9*INDEX(Curve,1,MAX(1,MIN(8,INT((AC$5-$H$29)/4)+1)))/1000000</f>
        <v>0</v>
      </c>
      <c r="AD124" s="120" t="n">
        <f aca="false">AD123*CHOOSE(MATCH($C$29,{"H";"B";"N"},0),GPUMW_H*ODc_H,GPUMW_B*ODc_B,GPUMW_N*ODc_N)*ResidUtil*Timeline!AD$9*INDEX(Curve,1,MAX(1,MIN(8,INT((AD$5-$H$29)/4)+1)))/1000000</f>
        <v>0</v>
      </c>
      <c r="AE124" s="120" t="n">
        <f aca="false">AE123*CHOOSE(MATCH($C$29,{"H";"B";"N"},0),GPUMW_H*ODc_H,GPUMW_B*ODc_B,GPUMW_N*ODc_N)*ResidUtil*Timeline!AE$9*INDEX(Curve,1,MAX(1,MIN(8,INT((AE$5-$H$29)/4)+1)))/1000000</f>
        <v>0</v>
      </c>
      <c r="AF124" s="120" t="n">
        <f aca="false">AF123*CHOOSE(MATCH($C$29,{"H";"B";"N"},0),GPUMW_H*ODc_H,GPUMW_B*ODc_B,GPUMW_N*ODc_N)*ResidUtil*Timeline!AF$9*INDEX(Curve,1,MAX(1,MIN(8,INT((AF$5-$H$29)/4)+1)))/1000000</f>
        <v>0</v>
      </c>
      <c r="AG124" s="120" t="n">
        <f aca="false">AG123*CHOOSE(MATCH($C$29,{"H";"B";"N"},0),GPUMW_H*ODc_H,GPUMW_B*ODc_B,GPUMW_N*ODc_N)*ResidUtil*Timeline!AG$9*INDEX(Curve,1,MAX(1,MIN(8,INT((AG$5-$H$29)/4)+1)))/1000000</f>
        <v>0</v>
      </c>
      <c r="AI124" s="120" t="n">
        <f aca="false">SUMIF($F$7:$AG$7,AI$7,$F124:$AG124)</f>
        <v>0</v>
      </c>
      <c r="AJ124" s="120" t="n">
        <f aca="false">SUMIF($F$7:$AG$7,AJ$7,$F124:$AG124)</f>
        <v>0</v>
      </c>
      <c r="AK124" s="120" t="n">
        <f aca="false">SUMIF($F$7:$AG$7,AK$7,$F124:$AG124)</f>
        <v>0</v>
      </c>
      <c r="AL124" s="120" t="n">
        <f aca="false">SUMIF($F$7:$AG$7,AL$7,$F124:$AG124)</f>
        <v>0</v>
      </c>
      <c r="AM124" s="120" t="n">
        <f aca="false">SUMIF($F$7:$AG$7,AM$7,$F124:$AG124)</f>
        <v>0</v>
      </c>
      <c r="AN124" s="120" t="n">
        <f aca="false">SUMIF($F$7:$AG$7,AN$7,$F124:$AG124)</f>
        <v>0</v>
      </c>
      <c r="AO124" s="120" t="n">
        <f aca="false">SUMIF($F$7:$AG$7,AO$7,$F124:$AG124)</f>
        <v>0</v>
      </c>
    </row>
    <row r="126" customFormat="false" ht="15" hidden="false" customHeight="false" outlineLevel="0" collapsed="false">
      <c r="A126" s="48" t="s">
        <v>1456</v>
      </c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</row>
    <row r="128" customFormat="false" ht="15" hidden="false" customHeight="false" outlineLevel="0" collapsed="false">
      <c r="A128" s="48" t="s">
        <v>1457</v>
      </c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</row>
    <row r="129" customFormat="false" ht="15" hidden="false" customHeight="false" outlineLevel="0" collapsed="false">
      <c r="A129" s="101" t="s">
        <v>1458</v>
      </c>
      <c r="B129" s="18" t="s">
        <v>400</v>
      </c>
      <c r="C129" s="18" t="s">
        <v>336</v>
      </c>
      <c r="D129" s="18"/>
      <c r="F129" s="119" t="n">
        <f aca="false">F35+F40+F45+F50+F55+F60+F65+F70+F75+F80+F85</f>
        <v>0</v>
      </c>
      <c r="G129" s="119" t="n">
        <f aca="false">G35+G40+G45+G50+G55+G60+G65+G70+G75+G80+G85</f>
        <v>0</v>
      </c>
      <c r="H129" s="119" t="n">
        <f aca="false">H35+H40+H45+H50+H55+H60+H65+H70+H75+H80+H85</f>
        <v>0</v>
      </c>
      <c r="I129" s="119" t="n">
        <f aca="false">I35+I40+I45+I50+I55+I60+I65+I70+I75+I80+I85</f>
        <v>0</v>
      </c>
      <c r="J129" s="119" t="n">
        <f aca="false">J35+J40+J45+J50+J55+J60+J65+J70+J75+J80+J85</f>
        <v>0</v>
      </c>
      <c r="K129" s="119" t="n">
        <f aca="false">K35+K40+K45+K50+K55+K60+K65+K70+K75+K80+K85</f>
        <v>0</v>
      </c>
      <c r="L129" s="119" t="n">
        <f aca="false">L35+L40+L45+L50+L55+L60+L65+L70+L75+L80+L85</f>
        <v>0</v>
      </c>
      <c r="M129" s="119" t="n">
        <f aca="false">M35+M40+M45+M50+M55+M60+M65+M70+M75+M80+M85</f>
        <v>12.0784027777778</v>
      </c>
      <c r="N129" s="119" t="n">
        <f aca="false">N35+N40+N45+N50+N55+N60+N65+N70+N75+N80+N85</f>
        <v>60.3920138888889</v>
      </c>
      <c r="O129" s="119" t="n">
        <f aca="false">O35+O40+O45+O50+O55+O60+O65+O70+O75+O80+O85</f>
        <v>120.784027777778</v>
      </c>
      <c r="P129" s="120" t="n">
        <f aca="false">P35+P40+P45+P50+P55+P60+P65+P70+P75+P80+P85</f>
        <v>193.254444444444</v>
      </c>
      <c r="Q129" s="120" t="n">
        <f aca="false">Q35+Q40+Q45+Q50+Q55+Q60+Q65+Q70+Q75+Q80+Q85</f>
        <v>289.881666666667</v>
      </c>
      <c r="R129" s="120" t="n">
        <f aca="false">R35+R40+R45+R50+R55+R60+R65+R70+R75+R80+R85</f>
        <v>338.195277777778</v>
      </c>
      <c r="S129" s="120" t="n">
        <f aca="false">S35+S40+S45+S50+S55+S60+S65+S70+S75+S80+S85</f>
        <v>410.665694444445</v>
      </c>
      <c r="T129" s="120" t="n">
        <f aca="false">T35+T40+T45+T50+T55+T60+T65+T70+T75+T80+T85</f>
        <v>519.371319444445</v>
      </c>
      <c r="U129" s="120" t="n">
        <f aca="false">U35+U40+U45+U50+U55+U60+U65+U70+U75+U80+U85</f>
        <v>676.390555555556</v>
      </c>
      <c r="V129" s="120" t="n">
        <f aca="false">V35+V40+V45+V50+V55+V60+V65+V70+V75+V80+V85</f>
        <v>797.174583333333</v>
      </c>
      <c r="W129" s="120" t="n">
        <f aca="false">W35+W40+W45+W50+W55+W60+W65+W70+W75+W80+W85</f>
        <v>869.645</v>
      </c>
      <c r="X129" s="120" t="n">
        <f aca="false">X35+X40+X45+X50+X55+X60+X65+X70+X75+X80+X85</f>
        <v>869.645</v>
      </c>
      <c r="Y129" s="120" t="n">
        <f aca="false">Y35+Y40+Y45+Y50+Y55+Y60+Y65+Y70+Y75+Y80+Y85</f>
        <v>869.645</v>
      </c>
      <c r="Z129" s="120" t="n">
        <f aca="false">Z35+Z40+Z45+Z50+Z55+Z60+Z65+Z70+Z75+Z80+Z85</f>
        <v>869.645</v>
      </c>
      <c r="AA129" s="120" t="n">
        <f aca="false">AA35+AA40+AA45+AA50+AA55+AA60+AA65+AA70+AA75+AA80+AA85</f>
        <v>869.645</v>
      </c>
      <c r="AB129" s="120" t="n">
        <f aca="false">AB35+AB40+AB45+AB50+AB55+AB60+AB65+AB70+AB75+AB80+AB85</f>
        <v>869.645</v>
      </c>
      <c r="AC129" s="120" t="n">
        <f aca="false">AC35+AC40+AC45+AC50+AC55+AC60+AC65+AC70+AC75+AC80+AC85</f>
        <v>869.645</v>
      </c>
      <c r="AD129" s="120" t="n">
        <f aca="false">AD35+AD40+AD45+AD50+AD55+AD60+AD65+AD70+AD75+AD80+AD85</f>
        <v>869.645</v>
      </c>
      <c r="AE129" s="120" t="n">
        <f aca="false">AE35+AE40+AE45+AE50+AE55+AE60+AE65+AE70+AE75+AE80+AE85</f>
        <v>869.645</v>
      </c>
      <c r="AF129" s="120" t="n">
        <f aca="false">AF35+AF40+AF45+AF50+AF55+AF60+AF65+AF70+AF75+AF80+AF85</f>
        <v>869.645</v>
      </c>
      <c r="AG129" s="120" t="n">
        <f aca="false">AG35+AG40+AG45+AG50+AG55+AG60+AG65+AG70+AG75+AG80+AG85</f>
        <v>821.331388888889</v>
      </c>
      <c r="AI129" s="120" t="n">
        <f aca="false">SUMIF($F$7:$AG$7,AI$7,$F129:$AG129)</f>
        <v>0</v>
      </c>
      <c r="AJ129" s="120" t="n">
        <f aca="false">SUMIF($F$7:$AG$7,AJ$7,$F129:$AG129)</f>
        <v>12.0784027777778</v>
      </c>
      <c r="AK129" s="120" t="n">
        <f aca="false">SUMIF($F$7:$AG$7,AK$7,$F129:$AG129)</f>
        <v>664.312152777778</v>
      </c>
      <c r="AL129" s="120" t="n">
        <f aca="false">SUMIF($F$7:$AG$7,AL$7,$F129:$AG129)</f>
        <v>1944.62284722222</v>
      </c>
      <c r="AM129" s="120" t="n">
        <f aca="false">SUMIF($F$7:$AG$7,AM$7,$F129:$AG129)</f>
        <v>3406.10958333333</v>
      </c>
      <c r="AN129" s="120" t="n">
        <f aca="false">SUMIF($F$7:$AG$7,AN$7,$F129:$AG129)</f>
        <v>3478.58</v>
      </c>
      <c r="AO129" s="120" t="n">
        <f aca="false">SUMIF($F$7:$AG$7,AO$7,$F129:$AG129)</f>
        <v>3430.26638888889</v>
      </c>
    </row>
    <row r="130" customFormat="false" ht="15" hidden="false" customHeight="false" outlineLevel="0" collapsed="false">
      <c r="A130" s="101" t="s">
        <v>1459</v>
      </c>
      <c r="B130" s="18" t="s">
        <v>415</v>
      </c>
      <c r="C130" s="18" t="s">
        <v>336</v>
      </c>
      <c r="D130" s="18"/>
      <c r="F130" s="119" t="n">
        <f aca="false">F36+F41+F46+F51+F56+F61+F66+F71+F76+F81+F86</f>
        <v>0</v>
      </c>
      <c r="G130" s="119" t="n">
        <f aca="false">G36+G41+G46+G51+G56+G61+G66+G71+G76+G81+G86</f>
        <v>0</v>
      </c>
      <c r="H130" s="119" t="n">
        <f aca="false">H36+H41+H46+H51+H56+H61+H66+H71+H76+H81+H86</f>
        <v>0</v>
      </c>
      <c r="I130" s="119" t="n">
        <f aca="false">I36+I41+I46+I51+I56+I61+I66+I71+I76+I81+I86</f>
        <v>0</v>
      </c>
      <c r="J130" s="119" t="n">
        <f aca="false">J36+J41+J46+J51+J56+J61+J66+J71+J76+J81+J86</f>
        <v>0</v>
      </c>
      <c r="K130" s="119" t="n">
        <f aca="false">K36+K41+K46+K51+K56+K61+K66+K71+K76+K81+K86</f>
        <v>0</v>
      </c>
      <c r="L130" s="119" t="n">
        <f aca="false">L36+L41+L46+L51+L56+L61+L66+L71+L76+L81+L86</f>
        <v>0</v>
      </c>
      <c r="M130" s="119" t="n">
        <f aca="false">M36+M41+M46+M51+M56+M61+M66+M71+M76+M81+M86</f>
        <v>26.6666666666667</v>
      </c>
      <c r="N130" s="119" t="n">
        <f aca="false">N36+N41+N46+N51+N56+N61+N66+N71+N76+N81+N86</f>
        <v>53.3333333333333</v>
      </c>
      <c r="O130" s="119" t="n">
        <f aca="false">O36+O41+O46+O51+O56+O61+O66+O71+O76+O81+O86</f>
        <v>53.3333333333333</v>
      </c>
      <c r="P130" s="120" t="n">
        <f aca="false">P36+P41+P46+P51+P56+P61+P66+P71+P76+P81+P86</f>
        <v>106.666666666667</v>
      </c>
      <c r="Q130" s="120" t="n">
        <f aca="false">Q36+Q41+Q46+Q51+Q56+Q61+Q66+Q71+Q76+Q81+Q86</f>
        <v>106.666666666667</v>
      </c>
      <c r="R130" s="120" t="n">
        <f aca="false">R36+R41+R46+R51+R56+R61+R66+R71+R76+R81+R86</f>
        <v>106.666666666667</v>
      </c>
      <c r="S130" s="120" t="n">
        <f aca="false">S36+S41+S46+S51+S56+S61+S66+S71+S76+S81+S86</f>
        <v>160</v>
      </c>
      <c r="T130" s="120" t="n">
        <f aca="false">T36+T41+T46+T51+T56+T61+T66+T71+T76+T81+T86</f>
        <v>240</v>
      </c>
      <c r="U130" s="120" t="n">
        <f aca="false">U36+U41+U46+U51+U56+U61+U66+U71+U76+U81+U86</f>
        <v>240</v>
      </c>
      <c r="V130" s="120" t="n">
        <f aca="false">V36+V41+V46+V51+V56+V61+V66+V71+V76+V81+V86</f>
        <v>240</v>
      </c>
      <c r="W130" s="120" t="n">
        <f aca="false">W36+W41+W46+W51+W56+W61+W66+W71+W76+W81+W86</f>
        <v>240</v>
      </c>
      <c r="X130" s="120" t="n">
        <f aca="false">X36+X41+X46+X51+X56+X61+X66+X71+X76+X81+X86</f>
        <v>240</v>
      </c>
      <c r="Y130" s="120" t="n">
        <f aca="false">Y36+Y41+Y46+Y51+Y56+Y61+Y66+Y71+Y76+Y81+Y86</f>
        <v>240</v>
      </c>
      <c r="Z130" s="120" t="n">
        <f aca="false">Z36+Z41+Z46+Z51+Z56+Z61+Z66+Z71+Z76+Z81+Z86</f>
        <v>240</v>
      </c>
      <c r="AA130" s="120" t="n">
        <f aca="false">AA36+AA41+AA46+AA51+AA56+AA61+AA66+AA71+AA76+AA81+AA86</f>
        <v>240</v>
      </c>
      <c r="AB130" s="120" t="n">
        <f aca="false">AB36+AB41+AB46+AB51+AB56+AB61+AB66+AB71+AB76+AB81+AB86</f>
        <v>240</v>
      </c>
      <c r="AC130" s="120" t="n">
        <f aca="false">AC36+AC41+AC46+AC51+AC56+AC61+AC66+AC71+AC76+AC81+AC86</f>
        <v>240</v>
      </c>
      <c r="AD130" s="120" t="n">
        <f aca="false">AD36+AD41+AD46+AD51+AD56+AD61+AD66+AD71+AD76+AD81+AD86</f>
        <v>240</v>
      </c>
      <c r="AE130" s="120" t="n">
        <f aca="false">AE36+AE41+AE46+AE51+AE56+AE61+AE66+AE71+AE76+AE81+AE86</f>
        <v>240</v>
      </c>
      <c r="AF130" s="120" t="n">
        <f aca="false">AF36+AF41+AF46+AF51+AF56+AF61+AF66+AF71+AF76+AF81+AF86</f>
        <v>240</v>
      </c>
      <c r="AG130" s="120" t="n">
        <f aca="false">AG36+AG41+AG46+AG51+AG56+AG61+AG66+AG71+AG76+AG81+AG86</f>
        <v>213.333333333333</v>
      </c>
      <c r="AI130" s="120" t="n">
        <f aca="false">INDEX($F130:$AG130,1,MATCH(AI$7,$F$7:$AG$7,1))</f>
        <v>0</v>
      </c>
      <c r="AJ130" s="120" t="n">
        <f aca="false">INDEX($F130:$AG130,1,MATCH(AJ$7,$F$7:$AG$7,1))</f>
        <v>26.6666666666667</v>
      </c>
      <c r="AK130" s="120" t="n">
        <f aca="false">INDEX($F130:$AG130,1,MATCH(AK$7,$F$7:$AG$7,1))</f>
        <v>106.666666666667</v>
      </c>
      <c r="AL130" s="120" t="n">
        <f aca="false">INDEX($F130:$AG130,1,MATCH(AL$7,$F$7:$AG$7,1))</f>
        <v>240</v>
      </c>
      <c r="AM130" s="120" t="n">
        <f aca="false">INDEX($F130:$AG130,1,MATCH(AM$7,$F$7:$AG$7,1))</f>
        <v>240</v>
      </c>
      <c r="AN130" s="120" t="n">
        <f aca="false">INDEX($F130:$AG130,1,MATCH(AN$7,$F$7:$AG$7,1))</f>
        <v>240</v>
      </c>
      <c r="AO130" s="120" t="n">
        <f aca="false">INDEX($F130:$AG130,1,MATCH(AO$7,$F$7:$AG$7,1))</f>
        <v>213.333333333333</v>
      </c>
    </row>
    <row r="131" customFormat="false" ht="15" hidden="false" customHeight="false" outlineLevel="0" collapsed="false">
      <c r="A131" s="101" t="s">
        <v>1460</v>
      </c>
      <c r="B131" s="18" t="s">
        <v>415</v>
      </c>
      <c r="C131" s="18" t="s">
        <v>354</v>
      </c>
      <c r="D131" s="18"/>
      <c r="F131" s="119" t="n">
        <f aca="false">IF(AND(BloomOn=1,F$5&gt;=BloomIdx+2*BloomSlipOn),F130,GensetMW/VinPUE)</f>
        <v>102.416666666667</v>
      </c>
      <c r="G131" s="119" t="n">
        <f aca="false">IF(AND(BloomOn=1,G$5&gt;=BloomIdx+2*BloomSlipOn),G130,GensetMW/VinPUE)</f>
        <v>102.416666666667</v>
      </c>
      <c r="H131" s="119" t="n">
        <f aca="false">IF(AND(BloomOn=1,H$5&gt;=BloomIdx+2*BloomSlipOn),H130,GensetMW/VinPUE)</f>
        <v>102.416666666667</v>
      </c>
      <c r="I131" s="119" t="n">
        <f aca="false">IF(AND(BloomOn=1,I$5&gt;=BloomIdx+2*BloomSlipOn),I130,GensetMW/VinPUE)</f>
        <v>102.416666666667</v>
      </c>
      <c r="J131" s="119" t="n">
        <f aca="false">IF(AND(BloomOn=1,J$5&gt;=BloomIdx+2*BloomSlipOn),J130,GensetMW/VinPUE)</f>
        <v>102.416666666667</v>
      </c>
      <c r="K131" s="119" t="n">
        <f aca="false">IF(AND(BloomOn=1,K$5&gt;=BloomIdx+2*BloomSlipOn),K130,GensetMW/VinPUE)</f>
        <v>102.416666666667</v>
      </c>
      <c r="L131" s="119" t="n">
        <f aca="false">IF(AND(BloomOn=1,L$5&gt;=BloomIdx+2*BloomSlipOn),L130,GensetMW/VinPUE)</f>
        <v>102.416666666667</v>
      </c>
      <c r="M131" s="119" t="n">
        <f aca="false">IF(AND(BloomOn=1,M$5&gt;=BloomIdx+2*BloomSlipOn),M130,GensetMW/VinPUE)</f>
        <v>102.416666666667</v>
      </c>
      <c r="N131" s="119" t="n">
        <f aca="false">IF(AND(BloomOn=1,N$5&gt;=BloomIdx+2*BloomSlipOn),N130,GensetMW/VinPUE)</f>
        <v>102.416666666667</v>
      </c>
      <c r="O131" s="119" t="n">
        <f aca="false">IF(AND(BloomOn=1,O$5&gt;=BloomIdx+2*BloomSlipOn),O130,GensetMW/VinPUE)</f>
        <v>102.416666666667</v>
      </c>
      <c r="P131" s="120" t="n">
        <f aca="false">IF(AND(BloomOn=1,P$5&gt;=BloomIdx+2*BloomSlipOn),P130,GensetMW/VinPUE)</f>
        <v>102.416666666667</v>
      </c>
      <c r="Q131" s="120" t="n">
        <f aca="false">IF(AND(BloomOn=1,Q$5&gt;=BloomIdx+2*BloomSlipOn),Q130,GensetMW/VinPUE)</f>
        <v>102.416666666667</v>
      </c>
      <c r="R131" s="120" t="n">
        <f aca="false">IF(AND(BloomOn=1,R$5&gt;=BloomIdx+2*BloomSlipOn),R130,GensetMW/VinPUE)</f>
        <v>102.416666666667</v>
      </c>
      <c r="S131" s="120" t="n">
        <f aca="false">IF(AND(BloomOn=1,S$5&gt;=BloomIdx+2*BloomSlipOn),S130,GensetMW/VinPUE)</f>
        <v>160</v>
      </c>
      <c r="T131" s="120" t="n">
        <f aca="false">IF(AND(BloomOn=1,T$5&gt;=BloomIdx+2*BloomSlipOn),T130,GensetMW/VinPUE)</f>
        <v>240</v>
      </c>
      <c r="U131" s="120" t="n">
        <f aca="false">IF(AND(BloomOn=1,U$5&gt;=BloomIdx+2*BloomSlipOn),U130,GensetMW/VinPUE)</f>
        <v>240</v>
      </c>
      <c r="V131" s="120" t="n">
        <f aca="false">IF(AND(BloomOn=1,V$5&gt;=BloomIdx+2*BloomSlipOn),V130,GensetMW/VinPUE)</f>
        <v>240</v>
      </c>
      <c r="W131" s="120" t="n">
        <f aca="false">IF(AND(BloomOn=1,W$5&gt;=BloomIdx+2*BloomSlipOn),W130,GensetMW/VinPUE)</f>
        <v>240</v>
      </c>
      <c r="X131" s="120" t="n">
        <f aca="false">IF(AND(BloomOn=1,X$5&gt;=BloomIdx+2*BloomSlipOn),X130,GensetMW/VinPUE)</f>
        <v>240</v>
      </c>
      <c r="Y131" s="120" t="n">
        <f aca="false">IF(AND(BloomOn=1,Y$5&gt;=BloomIdx+2*BloomSlipOn),Y130,GensetMW/VinPUE)</f>
        <v>240</v>
      </c>
      <c r="Z131" s="120" t="n">
        <f aca="false">IF(AND(BloomOn=1,Z$5&gt;=BloomIdx+2*BloomSlipOn),Z130,GensetMW/VinPUE)</f>
        <v>240</v>
      </c>
      <c r="AA131" s="120" t="n">
        <f aca="false">IF(AND(BloomOn=1,AA$5&gt;=BloomIdx+2*BloomSlipOn),AA130,GensetMW/VinPUE)</f>
        <v>240</v>
      </c>
      <c r="AB131" s="120" t="n">
        <f aca="false">IF(AND(BloomOn=1,AB$5&gt;=BloomIdx+2*BloomSlipOn),AB130,GensetMW/VinPUE)</f>
        <v>240</v>
      </c>
      <c r="AC131" s="120" t="n">
        <f aca="false">IF(AND(BloomOn=1,AC$5&gt;=BloomIdx+2*BloomSlipOn),AC130,GensetMW/VinPUE)</f>
        <v>240</v>
      </c>
      <c r="AD131" s="120" t="n">
        <f aca="false">IF(AND(BloomOn=1,AD$5&gt;=BloomIdx+2*BloomSlipOn),AD130,GensetMW/VinPUE)</f>
        <v>240</v>
      </c>
      <c r="AE131" s="120" t="n">
        <f aca="false">IF(AND(BloomOn=1,AE$5&gt;=BloomIdx+2*BloomSlipOn),AE130,GensetMW/VinPUE)</f>
        <v>240</v>
      </c>
      <c r="AF131" s="120" t="n">
        <f aca="false">IF(AND(BloomOn=1,AF$5&gt;=BloomIdx+2*BloomSlipOn),AF130,GensetMW/VinPUE)</f>
        <v>240</v>
      </c>
      <c r="AG131" s="120" t="n">
        <f aca="false">IF(AND(BloomOn=1,AG$5&gt;=BloomIdx+2*BloomSlipOn),AG130,GensetMW/VinPUE)</f>
        <v>213.333333333333</v>
      </c>
      <c r="AI131" s="120" t="n">
        <f aca="false">INDEX($F131:$AG131,1,MATCH(AI$7,$F$7:$AG$7,1))</f>
        <v>102.416666666667</v>
      </c>
      <c r="AJ131" s="120" t="n">
        <f aca="false">INDEX($F131:$AG131,1,MATCH(AJ$7,$F$7:$AG$7,1))</f>
        <v>102.416666666667</v>
      </c>
      <c r="AK131" s="120" t="n">
        <f aca="false">INDEX($F131:$AG131,1,MATCH(AK$7,$F$7:$AG$7,1))</f>
        <v>102.416666666667</v>
      </c>
      <c r="AL131" s="120" t="n">
        <f aca="false">INDEX($F131:$AG131,1,MATCH(AL$7,$F$7:$AG$7,1))</f>
        <v>240</v>
      </c>
      <c r="AM131" s="120" t="n">
        <f aca="false">INDEX($F131:$AG131,1,MATCH(AM$7,$F$7:$AG$7,1))</f>
        <v>240</v>
      </c>
      <c r="AN131" s="120" t="n">
        <f aca="false">INDEX($F131:$AG131,1,MATCH(AN$7,$F$7:$AG$7,1))</f>
        <v>240</v>
      </c>
      <c r="AO131" s="120" t="n">
        <f aca="false">INDEX($F131:$AG131,1,MATCH(AO$7,$F$7:$AG$7,1))</f>
        <v>213.333333333333</v>
      </c>
    </row>
    <row r="133" customFormat="false" ht="15" hidden="false" customHeight="false" outlineLevel="0" collapsed="false">
      <c r="A133" s="48" t="s">
        <v>1461</v>
      </c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</row>
    <row r="134" customFormat="false" ht="15" hidden="false" customHeight="false" outlineLevel="0" collapsed="false">
      <c r="A134" s="0" t="s">
        <v>1462</v>
      </c>
      <c r="C134" s="73" t="n">
        <v>0</v>
      </c>
      <c r="D134" s="19" t="n">
        <v>0</v>
      </c>
      <c r="E134" s="19" t="n">
        <v>0</v>
      </c>
      <c r="F134" s="24" t="n">
        <v>0.55</v>
      </c>
      <c r="G134" s="0" t="s">
        <v>1463</v>
      </c>
    </row>
    <row r="135" customFormat="false" ht="15" hidden="false" customHeight="false" outlineLevel="0" collapsed="false">
      <c r="A135" s="0" t="s">
        <v>1464</v>
      </c>
      <c r="C135" s="73" t="n">
        <v>51.25</v>
      </c>
      <c r="D135" s="19" t="n">
        <v>55</v>
      </c>
      <c r="E135" s="19" t="n">
        <v>6</v>
      </c>
      <c r="F135" s="24" t="n">
        <v>0.2</v>
      </c>
      <c r="G135" s="0" t="s">
        <v>1463</v>
      </c>
    </row>
    <row r="136" customFormat="false" ht="15" hidden="false" customHeight="false" outlineLevel="0" collapsed="false">
      <c r="A136" s="0" t="s">
        <v>1465</v>
      </c>
      <c r="C136" s="73" t="n">
        <v>100.95</v>
      </c>
      <c r="D136" s="19" t="n">
        <v>55</v>
      </c>
      <c r="E136" s="19" t="n">
        <v>6</v>
      </c>
      <c r="F136" s="24" t="n">
        <v>0.05</v>
      </c>
      <c r="G136" s="0" t="s">
        <v>1463</v>
      </c>
    </row>
    <row r="137" customFormat="false" ht="15" hidden="false" customHeight="false" outlineLevel="0" collapsed="false">
      <c r="A137" s="0" t="s">
        <v>1466</v>
      </c>
      <c r="C137" s="73" t="n">
        <v>102.5</v>
      </c>
      <c r="D137" s="19" t="n">
        <v>30</v>
      </c>
      <c r="E137" s="19" t="n">
        <v>0</v>
      </c>
      <c r="F137" s="24" t="n">
        <v>0.1</v>
      </c>
      <c r="G137" s="0" t="s">
        <v>1463</v>
      </c>
    </row>
    <row r="138" customFormat="false" ht="15" hidden="false" customHeight="false" outlineLevel="0" collapsed="false">
      <c r="A138" s="0" t="s">
        <v>1467</v>
      </c>
      <c r="C138" s="73" t="n">
        <v>102.5</v>
      </c>
      <c r="D138" s="19" t="n">
        <v>55</v>
      </c>
      <c r="E138" s="19" t="n">
        <v>6</v>
      </c>
      <c r="F138" s="24" t="n">
        <v>0.06</v>
      </c>
      <c r="G138" s="0" t="s">
        <v>1463</v>
      </c>
    </row>
    <row r="139" customFormat="false" ht="15" hidden="false" customHeight="false" outlineLevel="0" collapsed="false">
      <c r="A139" s="0" t="s">
        <v>1468</v>
      </c>
      <c r="C139" s="73" t="n">
        <v>102.5</v>
      </c>
      <c r="D139" s="19" t="n">
        <v>55</v>
      </c>
      <c r="E139" s="19" t="n">
        <v>36</v>
      </c>
      <c r="F139" s="24" t="n">
        <v>0.04</v>
      </c>
      <c r="G139" s="0" t="s">
        <v>1463</v>
      </c>
    </row>
    <row r="140" customFormat="false" ht="15" hidden="false" customHeight="false" outlineLevel="0" collapsed="false">
      <c r="A140" s="101" t="s">
        <v>1469</v>
      </c>
      <c r="B140" s="18" t="s">
        <v>415</v>
      </c>
      <c r="C140" s="18" t="s">
        <v>354</v>
      </c>
      <c r="D140" s="18" t="s">
        <v>1470</v>
      </c>
      <c r="F140" s="119" t="n">
        <f aca="false">0/Timeline!F$9*24</f>
        <v>0</v>
      </c>
      <c r="G140" s="119" t="n">
        <f aca="false">0/Timeline!G$9*24</f>
        <v>0</v>
      </c>
      <c r="H140" s="119" t="n">
        <f aca="false">0/Timeline!H$9*24</f>
        <v>0</v>
      </c>
      <c r="I140" s="119" t="n">
        <f aca="false">0/Timeline!I$9*24</f>
        <v>0</v>
      </c>
      <c r="J140" s="119" t="n">
        <f aca="false">0/Timeline!J$9*24</f>
        <v>0</v>
      </c>
      <c r="K140" s="119" t="n">
        <f aca="false">0/Timeline!K$9*24</f>
        <v>0</v>
      </c>
      <c r="L140" s="119" t="n">
        <f aca="false">0/Timeline!L$9*24</f>
        <v>0</v>
      </c>
      <c r="M140" s="119" t="n">
        <f aca="false">0/Timeline!M$9*24</f>
        <v>0</v>
      </c>
      <c r="N140" s="119" t="n">
        <f aca="false">0/Timeline!N$9*24</f>
        <v>0</v>
      </c>
      <c r="O140" s="119" t="n">
        <f aca="false">0/Timeline!O$9*24</f>
        <v>0</v>
      </c>
      <c r="P140" s="120" t="n">
        <f aca="false">0/Timeline!P$9*24</f>
        <v>0</v>
      </c>
      <c r="Q140" s="120" t="n">
        <f aca="false">IF(VinShutSel=0,0,IF(VinShutSel=7,SUMPRODUCT($C$134:$C$139,$D$134:$D$139,$F$134:$F$139),INDEX($C$134:$C$139,VinShutSel)*INDEX($D$134:$D$139,VinShutSel)))/Timeline!Q$9*24</f>
        <v>0</v>
      </c>
      <c r="R140" s="120" t="n">
        <f aca="false">IF(VinShutSel=0,0,IF(VinShutSel=7,SUMPRODUCT($C$134:$C$139,$E$134:$E$139,$F$134:$F$139),INDEX($C$134:$C$139,VinShutSel)*INDEX($E$134:$E$139,VinShutSel)))/Timeline!R$9*24</f>
        <v>0</v>
      </c>
      <c r="S140" s="120" t="n">
        <f aca="false">0/Timeline!S$9*24</f>
        <v>0</v>
      </c>
      <c r="T140" s="120" t="n">
        <f aca="false">0/Timeline!T$9*24</f>
        <v>0</v>
      </c>
      <c r="U140" s="120" t="n">
        <f aca="false">0/Timeline!U$9*24</f>
        <v>0</v>
      </c>
      <c r="V140" s="120" t="n">
        <f aca="false">0/Timeline!V$9*24</f>
        <v>0</v>
      </c>
      <c r="W140" s="120" t="n">
        <f aca="false">0/Timeline!W$9*24</f>
        <v>0</v>
      </c>
      <c r="X140" s="120" t="n">
        <f aca="false">0/Timeline!X$9*24</f>
        <v>0</v>
      </c>
      <c r="Y140" s="120" t="n">
        <f aca="false">0/Timeline!Y$9*24</f>
        <v>0</v>
      </c>
      <c r="Z140" s="120" t="n">
        <f aca="false">0/Timeline!Z$9*24</f>
        <v>0</v>
      </c>
      <c r="AA140" s="120" t="n">
        <f aca="false">0/Timeline!AA$9*24</f>
        <v>0</v>
      </c>
      <c r="AB140" s="120" t="n">
        <f aca="false">0/Timeline!AB$9*24</f>
        <v>0</v>
      </c>
      <c r="AC140" s="120" t="n">
        <f aca="false">0/Timeline!AC$9*24</f>
        <v>0</v>
      </c>
      <c r="AD140" s="120" t="n">
        <f aca="false">0/Timeline!AD$9*24</f>
        <v>0</v>
      </c>
      <c r="AE140" s="120" t="n">
        <f aca="false">0/Timeline!AE$9*24</f>
        <v>0</v>
      </c>
      <c r="AF140" s="120" t="n">
        <f aca="false">0/Timeline!AF$9*24</f>
        <v>0</v>
      </c>
      <c r="AG140" s="120" t="n">
        <f aca="false">0/Timeline!AG$9*24</f>
        <v>0</v>
      </c>
      <c r="AI140" s="120" t="n">
        <f aca="false">AVERAGEIF($F$7:$AG$7,AI$7,$F140:$AG140)</f>
        <v>0</v>
      </c>
      <c r="AJ140" s="120" t="n">
        <f aca="false">AVERAGEIF($F$7:$AG$7,AJ$7,$F140:$AG140)</f>
        <v>0</v>
      </c>
      <c r="AK140" s="120" t="n">
        <f aca="false">AVERAGEIF($F$7:$AG$7,AK$7,$F140:$AG140)</f>
        <v>0</v>
      </c>
      <c r="AL140" s="120" t="n">
        <f aca="false">AVERAGEIF($F$7:$AG$7,AL$7,$F140:$AG140)</f>
        <v>0</v>
      </c>
      <c r="AM140" s="120" t="n">
        <f aca="false">AVERAGEIF($F$7:$AG$7,AM$7,$F140:$AG140)</f>
        <v>0</v>
      </c>
      <c r="AN140" s="120" t="n">
        <f aca="false">AVERAGEIF($F$7:$AG$7,AN$7,$F140:$AG140)</f>
        <v>0</v>
      </c>
      <c r="AO140" s="120" t="n">
        <f aca="false">AVERAGEIF($F$7:$AG$7,AO$7,$F140:$AG140)</f>
        <v>0</v>
      </c>
    </row>
    <row r="141" customFormat="false" ht="15" hidden="false" customHeight="false" outlineLevel="0" collapsed="false">
      <c r="A141" s="3" t="s">
        <v>1471</v>
      </c>
      <c r="B141" s="18" t="s">
        <v>415</v>
      </c>
      <c r="C141" s="18" t="s">
        <v>336</v>
      </c>
      <c r="D141" s="18"/>
      <c r="F141" s="121" t="n">
        <f aca="false">MIN(F130,F131)</f>
        <v>0</v>
      </c>
      <c r="G141" s="121" t="n">
        <f aca="false">MIN(G130,G131)</f>
        <v>0</v>
      </c>
      <c r="H141" s="121" t="n">
        <f aca="false">MIN(H130,H131)</f>
        <v>0</v>
      </c>
      <c r="I141" s="121" t="n">
        <f aca="false">MIN(I130,I131)</f>
        <v>0</v>
      </c>
      <c r="J141" s="121" t="n">
        <f aca="false">MIN(J130,J131)</f>
        <v>0</v>
      </c>
      <c r="K141" s="121" t="n">
        <f aca="false">MIN(K130,K131)</f>
        <v>0</v>
      </c>
      <c r="L141" s="121" t="n">
        <f aca="false">MIN(L130,L131)</f>
        <v>0</v>
      </c>
      <c r="M141" s="121" t="n">
        <f aca="false">MIN(M130,M131)</f>
        <v>26.6666666666667</v>
      </c>
      <c r="N141" s="121" t="n">
        <f aca="false">MIN(N130,N131)</f>
        <v>53.3333333333333</v>
      </c>
      <c r="O141" s="121" t="n">
        <f aca="false">MIN(O130,O131)</f>
        <v>53.3333333333333</v>
      </c>
      <c r="P141" s="93" t="n">
        <f aca="false">MIN(P130,P131)</f>
        <v>102.416666666667</v>
      </c>
      <c r="Q141" s="93" t="n">
        <f aca="false">MIN(Q130,Q131)</f>
        <v>102.416666666667</v>
      </c>
      <c r="R141" s="93" t="n">
        <f aca="false">MIN(R130,R131)</f>
        <v>102.416666666667</v>
      </c>
      <c r="S141" s="93" t="n">
        <f aca="false">MIN(S130,S131)</f>
        <v>160</v>
      </c>
      <c r="T141" s="93" t="n">
        <f aca="false">MIN(T130,T131)</f>
        <v>240</v>
      </c>
      <c r="U141" s="93" t="n">
        <f aca="false">MIN(U130,U131)</f>
        <v>240</v>
      </c>
      <c r="V141" s="93" t="n">
        <f aca="false">MIN(V130,V131)</f>
        <v>240</v>
      </c>
      <c r="W141" s="93" t="n">
        <f aca="false">MIN(W130,W131)</f>
        <v>240</v>
      </c>
      <c r="X141" s="93" t="n">
        <f aca="false">MIN(X130,X131)</f>
        <v>240</v>
      </c>
      <c r="Y141" s="93" t="n">
        <f aca="false">MIN(Y130,Y131)</f>
        <v>240</v>
      </c>
      <c r="Z141" s="93" t="n">
        <f aca="false">MIN(Z130,Z131)</f>
        <v>240</v>
      </c>
      <c r="AA141" s="93" t="n">
        <f aca="false">MIN(AA130,AA131)</f>
        <v>240</v>
      </c>
      <c r="AB141" s="93" t="n">
        <f aca="false">MIN(AB130,AB131)</f>
        <v>240</v>
      </c>
      <c r="AC141" s="93" t="n">
        <f aca="false">MIN(AC130,AC131)</f>
        <v>240</v>
      </c>
      <c r="AD141" s="93" t="n">
        <f aca="false">MIN(AD130,AD131)</f>
        <v>240</v>
      </c>
      <c r="AE141" s="93" t="n">
        <f aca="false">MIN(AE130,AE131)</f>
        <v>240</v>
      </c>
      <c r="AF141" s="93" t="n">
        <f aca="false">MIN(AF130,AF131)</f>
        <v>240</v>
      </c>
      <c r="AG141" s="93" t="n">
        <f aca="false">MIN(AG130,AG131)</f>
        <v>213.333333333333</v>
      </c>
      <c r="AI141" s="93" t="n">
        <f aca="false">INDEX($F141:$AG141,1,MATCH(AI$7,$F$7:$AG$7,1))</f>
        <v>0</v>
      </c>
      <c r="AJ141" s="93" t="n">
        <f aca="false">INDEX($F141:$AG141,1,MATCH(AJ$7,$F$7:$AG$7,1))</f>
        <v>26.6666666666667</v>
      </c>
      <c r="AK141" s="93" t="n">
        <f aca="false">INDEX($F141:$AG141,1,MATCH(AK$7,$F$7:$AG$7,1))</f>
        <v>102.416666666667</v>
      </c>
      <c r="AL141" s="93" t="n">
        <f aca="false">INDEX($F141:$AG141,1,MATCH(AL$7,$F$7:$AG$7,1))</f>
        <v>240</v>
      </c>
      <c r="AM141" s="93" t="n">
        <f aca="false">INDEX($F141:$AG141,1,MATCH(AM$7,$F$7:$AG$7,1))</f>
        <v>240</v>
      </c>
      <c r="AN141" s="93" t="n">
        <f aca="false">INDEX($F141:$AG141,1,MATCH(AN$7,$F$7:$AG$7,1))</f>
        <v>240</v>
      </c>
      <c r="AO141" s="93" t="n">
        <f aca="false">INDEX($F141:$AG141,1,MATCH(AO$7,$F$7:$AG$7,1))</f>
        <v>213.333333333333</v>
      </c>
    </row>
    <row r="142" customFormat="false" ht="15" hidden="false" customHeight="false" outlineLevel="0" collapsed="false">
      <c r="A142" s="101" t="s">
        <v>1472</v>
      </c>
      <c r="B142" s="18" t="s">
        <v>400</v>
      </c>
      <c r="C142" s="18" t="s">
        <v>336</v>
      </c>
      <c r="D142" s="18"/>
      <c r="F142" s="119" t="n">
        <f aca="false">IF(F130&gt;0,F129*F141/F130,0)</f>
        <v>0</v>
      </c>
      <c r="G142" s="119" t="n">
        <f aca="false">IF(G130&gt;0,G129*G141/G130,0)</f>
        <v>0</v>
      </c>
      <c r="H142" s="119" t="n">
        <f aca="false">IF(H130&gt;0,H129*H141/H130,0)</f>
        <v>0</v>
      </c>
      <c r="I142" s="119" t="n">
        <f aca="false">IF(I130&gt;0,I129*I141/I130,0)</f>
        <v>0</v>
      </c>
      <c r="J142" s="119" t="n">
        <f aca="false">IF(J130&gt;0,J129*J141/J130,0)</f>
        <v>0</v>
      </c>
      <c r="K142" s="119" t="n">
        <f aca="false">IF(K130&gt;0,K129*K141/K130,0)</f>
        <v>0</v>
      </c>
      <c r="L142" s="119" t="n">
        <f aca="false">IF(L130&gt;0,L129*L141/L130,0)</f>
        <v>0</v>
      </c>
      <c r="M142" s="119" t="n">
        <f aca="false">IF(M130&gt;0,M129*M141/M130,0)</f>
        <v>12.0784027777778</v>
      </c>
      <c r="N142" s="119" t="n">
        <f aca="false">IF(N130&gt;0,N129*N141/N130,0)</f>
        <v>60.3920138888889</v>
      </c>
      <c r="O142" s="119" t="n">
        <f aca="false">IF(O130&gt;0,O129*O141/O130,0)</f>
        <v>120.784027777778</v>
      </c>
      <c r="P142" s="120" t="n">
        <f aca="false">IF(P130&gt;0,P129*P141/P130,0)</f>
        <v>185.554462673611</v>
      </c>
      <c r="Q142" s="120" t="n">
        <f aca="false">IF(Q130&gt;0,Q129*Q141/Q130,0)</f>
        <v>278.331694010417</v>
      </c>
      <c r="R142" s="120" t="n">
        <f aca="false">IF(R130&gt;0,R129*R141/R130,0)</f>
        <v>324.72030967882</v>
      </c>
      <c r="S142" s="120" t="n">
        <f aca="false">IF(S130&gt;0,S129*S141/S130,0)</f>
        <v>410.665694444445</v>
      </c>
      <c r="T142" s="120" t="n">
        <f aca="false">IF(T130&gt;0,T129*T141/T130,0)</f>
        <v>519.371319444445</v>
      </c>
      <c r="U142" s="120" t="n">
        <f aca="false">IF(U130&gt;0,U129*U141/U130,0)</f>
        <v>676.390555555556</v>
      </c>
      <c r="V142" s="120" t="n">
        <f aca="false">IF(V130&gt;0,V129*V141/V130,0)</f>
        <v>797.174583333333</v>
      </c>
      <c r="W142" s="120" t="n">
        <f aca="false">IF(W130&gt;0,W129*W141/W130,0)</f>
        <v>869.645</v>
      </c>
      <c r="X142" s="120" t="n">
        <f aca="false">IF(X130&gt;0,X129*X141/X130,0)</f>
        <v>869.645</v>
      </c>
      <c r="Y142" s="120" t="n">
        <f aca="false">IF(Y130&gt;0,Y129*Y141/Y130,0)</f>
        <v>869.645</v>
      </c>
      <c r="Z142" s="120" t="n">
        <f aca="false">IF(Z130&gt;0,Z129*Z141/Z130,0)</f>
        <v>869.645</v>
      </c>
      <c r="AA142" s="120" t="n">
        <f aca="false">IF(AA130&gt;0,AA129*AA141/AA130,0)</f>
        <v>869.645</v>
      </c>
      <c r="AB142" s="120" t="n">
        <f aca="false">IF(AB130&gt;0,AB129*AB141/AB130,0)</f>
        <v>869.645</v>
      </c>
      <c r="AC142" s="120" t="n">
        <f aca="false">IF(AC130&gt;0,AC129*AC141/AC130,0)</f>
        <v>869.645</v>
      </c>
      <c r="AD142" s="120" t="n">
        <f aca="false">IF(AD130&gt;0,AD129*AD141/AD130,0)</f>
        <v>869.645</v>
      </c>
      <c r="AE142" s="120" t="n">
        <f aca="false">IF(AE130&gt;0,AE129*AE141/AE130,0)</f>
        <v>869.645</v>
      </c>
      <c r="AF142" s="120" t="n">
        <f aca="false">IF(AF130&gt;0,AF129*AF141/AF130,0)</f>
        <v>869.645</v>
      </c>
      <c r="AG142" s="120" t="n">
        <f aca="false">IF(AG130&gt;0,AG129*AG141/AG130,0)</f>
        <v>821.331388888889</v>
      </c>
      <c r="AI142" s="120" t="n">
        <f aca="false">SUMIF($F$7:$AG$7,AI$7,$F142:$AG142)</f>
        <v>0</v>
      </c>
      <c r="AJ142" s="120" t="n">
        <f aca="false">SUMIF($F$7:$AG$7,AJ$7,$F142:$AG142)</f>
        <v>12.0784027777778</v>
      </c>
      <c r="AK142" s="120" t="n">
        <f aca="false">SUMIF($F$7:$AG$7,AK$7,$F142:$AG142)</f>
        <v>645.062198350694</v>
      </c>
      <c r="AL142" s="120" t="n">
        <f aca="false">SUMIF($F$7:$AG$7,AL$7,$F142:$AG142)</f>
        <v>1931.14787912326</v>
      </c>
      <c r="AM142" s="120" t="n">
        <f aca="false">SUMIF($F$7:$AG$7,AM$7,$F142:$AG142)</f>
        <v>3406.10958333333</v>
      </c>
      <c r="AN142" s="120" t="n">
        <f aca="false">SUMIF($F$7:$AG$7,AN$7,$F142:$AG142)</f>
        <v>3478.58</v>
      </c>
      <c r="AO142" s="120" t="n">
        <f aca="false">SUMIF($F$7:$AG$7,AO$7,$F142:$AG142)</f>
        <v>3430.26638888889</v>
      </c>
    </row>
    <row r="143" customFormat="false" ht="15" hidden="false" customHeight="false" outlineLevel="0" collapsed="false">
      <c r="A143" s="101" t="s">
        <v>1473</v>
      </c>
      <c r="B143" s="18" t="s">
        <v>400</v>
      </c>
      <c r="C143" s="18" t="s">
        <v>354</v>
      </c>
      <c r="D143" s="18" t="s">
        <v>1474</v>
      </c>
      <c r="F143" s="119" t="n">
        <f aca="false">MIN(F142,0*VinRevMW/365)</f>
        <v>0</v>
      </c>
      <c r="G143" s="119" t="n">
        <f aca="false">MIN(G142,0*VinRevMW/365)</f>
        <v>0</v>
      </c>
      <c r="H143" s="119" t="n">
        <f aca="false">MIN(H142,0*VinRevMW/365)</f>
        <v>0</v>
      </c>
      <c r="I143" s="119" t="n">
        <f aca="false">MIN(I142,0*VinRevMW/365)</f>
        <v>0</v>
      </c>
      <c r="J143" s="119" t="n">
        <f aca="false">MIN(J142,0*VinRevMW/365)</f>
        <v>0</v>
      </c>
      <c r="K143" s="119" t="n">
        <f aca="false">MIN(K142,0*VinRevMW/365)</f>
        <v>0</v>
      </c>
      <c r="L143" s="119" t="n">
        <f aca="false">MIN(L142,0*VinRevMW/365)</f>
        <v>0</v>
      </c>
      <c r="M143" s="119" t="n">
        <f aca="false">MIN(M142,0*VinRevMW/365)</f>
        <v>0</v>
      </c>
      <c r="N143" s="119" t="n">
        <f aca="false">MIN(N142,0*VinRevMW/365)</f>
        <v>0</v>
      </c>
      <c r="O143" s="119" t="n">
        <f aca="false">MIN(O142,0*VinRevMW/365)</f>
        <v>0</v>
      </c>
      <c r="P143" s="120" t="n">
        <f aca="false">MIN(P142,0*VinRevMW/365)</f>
        <v>0</v>
      </c>
      <c r="Q143" s="120" t="n">
        <f aca="false">MIN(Q142,IF(VinShutSel=0,0,IF(VinShutSel=7,SUMPRODUCT($C$134:$C$139,$D$134:$D$139,$F$134:$F$139),INDEX($C$134:$C$139,VinShutSel)*INDEX($D$134:$D$139,VinShutSel)))*VinRevMW/365)</f>
        <v>0</v>
      </c>
      <c r="R143" s="120" t="n">
        <f aca="false">MIN(R142,IF(VinShutSel=0,0,IF(VinShutSel=7,SUMPRODUCT($C$134:$C$139,$E$134:$E$139,$F$134:$F$139),INDEX($C$134:$C$139,VinShutSel)*INDEX($E$134:$E$139,VinShutSel)))*VinRevMW/365)</f>
        <v>0</v>
      </c>
      <c r="S143" s="120" t="n">
        <f aca="false">MIN(S142,0*VinRevMW/365)</f>
        <v>0</v>
      </c>
      <c r="T143" s="120" t="n">
        <f aca="false">MIN(T142,0*VinRevMW/365)</f>
        <v>0</v>
      </c>
      <c r="U143" s="120" t="n">
        <f aca="false">MIN(U142,0*VinRevMW/365)</f>
        <v>0</v>
      </c>
      <c r="V143" s="120" t="n">
        <f aca="false">MIN(V142,0*VinRevMW/365)</f>
        <v>0</v>
      </c>
      <c r="W143" s="120" t="n">
        <f aca="false">MIN(W142,0*VinRevMW/365)</f>
        <v>0</v>
      </c>
      <c r="X143" s="120" t="n">
        <f aca="false">MIN(X142,0*VinRevMW/365)</f>
        <v>0</v>
      </c>
      <c r="Y143" s="120" t="n">
        <f aca="false">MIN(Y142,0*VinRevMW/365)</f>
        <v>0</v>
      </c>
      <c r="Z143" s="120" t="n">
        <f aca="false">MIN(Z142,0*VinRevMW/365)</f>
        <v>0</v>
      </c>
      <c r="AA143" s="120" t="n">
        <f aca="false">MIN(AA142,0*VinRevMW/365)</f>
        <v>0</v>
      </c>
      <c r="AB143" s="120" t="n">
        <f aca="false">MIN(AB142,0*VinRevMW/365)</f>
        <v>0</v>
      </c>
      <c r="AC143" s="120" t="n">
        <f aca="false">MIN(AC142,0*VinRevMW/365)</f>
        <v>0</v>
      </c>
      <c r="AD143" s="120" t="n">
        <f aca="false">MIN(AD142,0*VinRevMW/365)</f>
        <v>0</v>
      </c>
      <c r="AE143" s="120" t="n">
        <f aca="false">MIN(AE142,0*VinRevMW/365)</f>
        <v>0</v>
      </c>
      <c r="AF143" s="120" t="n">
        <f aca="false">MIN(AF142,0*VinRevMW/365)</f>
        <v>0</v>
      </c>
      <c r="AG143" s="120" t="n">
        <f aca="false">MIN(AG142,0*VinRevMW/365)</f>
        <v>0</v>
      </c>
      <c r="AI143" s="120" t="n">
        <f aca="false">SUMIF($F$7:$AG$7,AI$7,$F143:$AG143)</f>
        <v>0</v>
      </c>
      <c r="AJ143" s="120" t="n">
        <f aca="false">SUMIF($F$7:$AG$7,AJ$7,$F143:$AG143)</f>
        <v>0</v>
      </c>
      <c r="AK143" s="120" t="n">
        <f aca="false">SUMIF($F$7:$AG$7,AK$7,$F143:$AG143)</f>
        <v>0</v>
      </c>
      <c r="AL143" s="120" t="n">
        <f aca="false">SUMIF($F$7:$AG$7,AL$7,$F143:$AG143)</f>
        <v>0</v>
      </c>
      <c r="AM143" s="120" t="n">
        <f aca="false">SUMIF($F$7:$AG$7,AM$7,$F143:$AG143)</f>
        <v>0</v>
      </c>
      <c r="AN143" s="120" t="n">
        <f aca="false">SUMIF($F$7:$AG$7,AN$7,$F143:$AG143)</f>
        <v>0</v>
      </c>
      <c r="AO143" s="120" t="n">
        <f aca="false">SUMIF($F$7:$AG$7,AO$7,$F143:$AG143)</f>
        <v>0</v>
      </c>
    </row>
    <row r="144" customFormat="false" ht="15" hidden="false" customHeight="false" outlineLevel="0" collapsed="false">
      <c r="A144" s="3" t="s">
        <v>1475</v>
      </c>
      <c r="B144" s="18" t="s">
        <v>400</v>
      </c>
      <c r="C144" s="18" t="s">
        <v>336</v>
      </c>
      <c r="D144" s="18"/>
      <c r="F144" s="121" t="n">
        <f aca="false">F142-F143</f>
        <v>0</v>
      </c>
      <c r="G144" s="121" t="n">
        <f aca="false">G142-G143</f>
        <v>0</v>
      </c>
      <c r="H144" s="121" t="n">
        <f aca="false">H142-H143</f>
        <v>0</v>
      </c>
      <c r="I144" s="121" t="n">
        <f aca="false">I142-I143</f>
        <v>0</v>
      </c>
      <c r="J144" s="121" t="n">
        <f aca="false">J142-J143</f>
        <v>0</v>
      </c>
      <c r="K144" s="121" t="n">
        <f aca="false">K142-K143</f>
        <v>0</v>
      </c>
      <c r="L144" s="121" t="n">
        <f aca="false">L142-L143</f>
        <v>0</v>
      </c>
      <c r="M144" s="121" t="n">
        <f aca="false">M142-M143</f>
        <v>12.0784027777778</v>
      </c>
      <c r="N144" s="121" t="n">
        <f aca="false">N142-N143</f>
        <v>60.3920138888889</v>
      </c>
      <c r="O144" s="121" t="n">
        <f aca="false">O142-O143</f>
        <v>120.784027777778</v>
      </c>
      <c r="P144" s="93" t="n">
        <f aca="false">P142-P143</f>
        <v>185.554462673611</v>
      </c>
      <c r="Q144" s="93" t="n">
        <f aca="false">Q142-Q143</f>
        <v>278.331694010417</v>
      </c>
      <c r="R144" s="93" t="n">
        <f aca="false">R142-R143</f>
        <v>324.72030967882</v>
      </c>
      <c r="S144" s="93" t="n">
        <f aca="false">S142-S143</f>
        <v>410.665694444445</v>
      </c>
      <c r="T144" s="93" t="n">
        <f aca="false">T142-T143</f>
        <v>519.371319444445</v>
      </c>
      <c r="U144" s="93" t="n">
        <f aca="false">U142-U143</f>
        <v>676.390555555556</v>
      </c>
      <c r="V144" s="93" t="n">
        <f aca="false">V142-V143</f>
        <v>797.174583333333</v>
      </c>
      <c r="W144" s="93" t="n">
        <f aca="false">W142-W143</f>
        <v>869.645</v>
      </c>
      <c r="X144" s="93" t="n">
        <f aca="false">X142-X143</f>
        <v>869.645</v>
      </c>
      <c r="Y144" s="93" t="n">
        <f aca="false">Y142-Y143</f>
        <v>869.645</v>
      </c>
      <c r="Z144" s="93" t="n">
        <f aca="false">Z142-Z143</f>
        <v>869.645</v>
      </c>
      <c r="AA144" s="93" t="n">
        <f aca="false">AA142-AA143</f>
        <v>869.645</v>
      </c>
      <c r="AB144" s="93" t="n">
        <f aca="false">AB142-AB143</f>
        <v>869.645</v>
      </c>
      <c r="AC144" s="93" t="n">
        <f aca="false">AC142-AC143</f>
        <v>869.645</v>
      </c>
      <c r="AD144" s="93" t="n">
        <f aca="false">AD142-AD143</f>
        <v>869.645</v>
      </c>
      <c r="AE144" s="93" t="n">
        <f aca="false">AE142-AE143</f>
        <v>869.645</v>
      </c>
      <c r="AF144" s="93" t="n">
        <f aca="false">AF142-AF143</f>
        <v>869.645</v>
      </c>
      <c r="AG144" s="93" t="n">
        <f aca="false">AG142-AG143</f>
        <v>821.331388888889</v>
      </c>
      <c r="AI144" s="93" t="n">
        <f aca="false">SUMIF($F$7:$AG$7,AI$7,$F144:$AG144)</f>
        <v>0</v>
      </c>
      <c r="AJ144" s="93" t="n">
        <f aca="false">SUMIF($F$7:$AG$7,AJ$7,$F144:$AG144)</f>
        <v>12.0784027777778</v>
      </c>
      <c r="AK144" s="93" t="n">
        <f aca="false">SUMIF($F$7:$AG$7,AK$7,$F144:$AG144)</f>
        <v>645.062198350694</v>
      </c>
      <c r="AL144" s="93" t="n">
        <f aca="false">SUMIF($F$7:$AG$7,AL$7,$F144:$AG144)</f>
        <v>1931.14787912326</v>
      </c>
      <c r="AM144" s="93" t="n">
        <f aca="false">SUMIF($F$7:$AG$7,AM$7,$F144:$AG144)</f>
        <v>3406.10958333333</v>
      </c>
      <c r="AN144" s="93" t="n">
        <f aca="false">SUMIF($F$7:$AG$7,AN$7,$F144:$AG144)</f>
        <v>3478.58</v>
      </c>
      <c r="AO144" s="93" t="n">
        <f aca="false">SUMIF($F$7:$AG$7,AO$7,$F144:$AG144)</f>
        <v>3430.26638888889</v>
      </c>
    </row>
    <row r="145" customFormat="false" ht="15" hidden="false" customHeight="false" outlineLevel="0" collapsed="false">
      <c r="A145" s="101" t="s">
        <v>1476</v>
      </c>
      <c r="B145" s="18" t="s">
        <v>340</v>
      </c>
      <c r="C145" s="18" t="s">
        <v>354</v>
      </c>
      <c r="D145" s="18"/>
      <c r="F145" s="111" t="n">
        <f aca="false">F140/26.67</f>
        <v>0</v>
      </c>
      <c r="G145" s="111" t="n">
        <f aca="false">G140/26.67</f>
        <v>0</v>
      </c>
      <c r="H145" s="111" t="n">
        <f aca="false">H140/26.67</f>
        <v>0</v>
      </c>
      <c r="I145" s="111" t="n">
        <f aca="false">I140/26.67</f>
        <v>0</v>
      </c>
      <c r="J145" s="111" t="n">
        <f aca="false">J140/26.67</f>
        <v>0</v>
      </c>
      <c r="K145" s="111" t="n">
        <f aca="false">K140/26.67</f>
        <v>0</v>
      </c>
      <c r="L145" s="111" t="n">
        <f aca="false">L140/26.67</f>
        <v>0</v>
      </c>
      <c r="M145" s="111" t="n">
        <f aca="false">M140/26.67</f>
        <v>0</v>
      </c>
      <c r="N145" s="111" t="n">
        <f aca="false">N140/26.67</f>
        <v>0</v>
      </c>
      <c r="O145" s="111" t="n">
        <f aca="false">O140/26.67</f>
        <v>0</v>
      </c>
      <c r="P145" s="35" t="n">
        <f aca="false">P140/26.67</f>
        <v>0</v>
      </c>
      <c r="Q145" s="35" t="n">
        <f aca="false">Q140/26.67</f>
        <v>0</v>
      </c>
      <c r="R145" s="35" t="n">
        <f aca="false">R140/26.67</f>
        <v>0</v>
      </c>
      <c r="S145" s="35" t="n">
        <f aca="false">S140/26.67</f>
        <v>0</v>
      </c>
      <c r="T145" s="35" t="n">
        <f aca="false">T140/26.67</f>
        <v>0</v>
      </c>
      <c r="U145" s="35" t="n">
        <f aca="false">U140/26.67</f>
        <v>0</v>
      </c>
      <c r="V145" s="35" t="n">
        <f aca="false">V140/26.67</f>
        <v>0</v>
      </c>
      <c r="W145" s="35" t="n">
        <f aca="false">W140/26.67</f>
        <v>0</v>
      </c>
      <c r="X145" s="35" t="n">
        <f aca="false">X140/26.67</f>
        <v>0</v>
      </c>
      <c r="Y145" s="35" t="n">
        <f aca="false">Y140/26.67</f>
        <v>0</v>
      </c>
      <c r="Z145" s="35" t="n">
        <f aca="false">Z140/26.67</f>
        <v>0</v>
      </c>
      <c r="AA145" s="35" t="n">
        <f aca="false">AA140/26.67</f>
        <v>0</v>
      </c>
      <c r="AB145" s="35" t="n">
        <f aca="false">AB140/26.67</f>
        <v>0</v>
      </c>
      <c r="AC145" s="35" t="n">
        <f aca="false">AC140/26.67</f>
        <v>0</v>
      </c>
      <c r="AD145" s="35" t="n">
        <f aca="false">AD140/26.67</f>
        <v>0</v>
      </c>
      <c r="AE145" s="35" t="n">
        <f aca="false">AE140/26.67</f>
        <v>0</v>
      </c>
      <c r="AF145" s="35" t="n">
        <f aca="false">AF140/26.67</f>
        <v>0</v>
      </c>
      <c r="AG145" s="35" t="n">
        <f aca="false">AG140/26.67</f>
        <v>0</v>
      </c>
      <c r="AI145" s="35" t="n">
        <f aca="false">AVERAGEIF($F$7:$AG$7,AI$7,$F145:$AG145)</f>
        <v>0</v>
      </c>
      <c r="AJ145" s="35" t="n">
        <f aca="false">AVERAGEIF($F$7:$AG$7,AJ$7,$F145:$AG145)</f>
        <v>0</v>
      </c>
      <c r="AK145" s="35" t="n">
        <f aca="false">AVERAGEIF($F$7:$AG$7,AK$7,$F145:$AG145)</f>
        <v>0</v>
      </c>
      <c r="AL145" s="35" t="n">
        <f aca="false">AVERAGEIF($F$7:$AG$7,AL$7,$F145:$AG145)</f>
        <v>0</v>
      </c>
      <c r="AM145" s="35" t="n">
        <f aca="false">AVERAGEIF($F$7:$AG$7,AM$7,$F145:$AG145)</f>
        <v>0</v>
      </c>
      <c r="AN145" s="35" t="n">
        <f aca="false">AVERAGEIF($F$7:$AG$7,AN$7,$F145:$AG145)</f>
        <v>0</v>
      </c>
      <c r="AO145" s="35" t="n">
        <f aca="false">AVERAGEIF($F$7:$AG$7,AO$7,$F145:$AG145)</f>
        <v>0</v>
      </c>
    </row>
    <row r="146" customFormat="false" ht="15" hidden="false" customHeight="false" outlineLevel="0" collapsed="false">
      <c r="A146" s="101" t="s">
        <v>1477</v>
      </c>
      <c r="B146" s="18" t="s">
        <v>400</v>
      </c>
      <c r="C146" s="18" t="s">
        <v>354</v>
      </c>
      <c r="D146" s="18" t="s">
        <v>1478</v>
      </c>
      <c r="Q146" s="120" t="n">
        <f aca="false">SUMPRODUCT($C$134:$C$139,$D$134:$D$139,$F$134:$F$139)*VinRevMW/365</f>
        <v>68.0352910958904</v>
      </c>
      <c r="R146" s="120" t="n">
        <f aca="false">SUMPRODUCT($C$134:$C$139,$E$134:$E$139,$F$134:$F$139)*VinRevMW/365</f>
        <v>10.9757054794521</v>
      </c>
    </row>
    <row r="147" customFormat="false" ht="15" hidden="false" customHeight="false" outlineLevel="0" collapsed="false">
      <c r="A147" s="101" t="s">
        <v>1479</v>
      </c>
      <c r="B147" s="18" t="s">
        <v>400</v>
      </c>
      <c r="C147" s="18" t="s">
        <v>412</v>
      </c>
      <c r="D147" s="18"/>
      <c r="F147" s="119" t="n">
        <f aca="false">F144-MSFT_Ceil</f>
        <v>-350</v>
      </c>
      <c r="G147" s="119" t="n">
        <f aca="false">G144-MSFT_Ceil</f>
        <v>-350</v>
      </c>
      <c r="H147" s="119" t="n">
        <f aca="false">H144-MSFT_Ceil</f>
        <v>-350</v>
      </c>
      <c r="I147" s="119" t="n">
        <f aca="false">I144-MSFT_Ceil</f>
        <v>-350</v>
      </c>
      <c r="J147" s="119" t="n">
        <f aca="false">J144-MSFT_Ceil</f>
        <v>-350</v>
      </c>
      <c r="K147" s="119" t="n">
        <f aca="false">K144-MSFT_Ceil</f>
        <v>-350</v>
      </c>
      <c r="L147" s="119" t="n">
        <f aca="false">L144-MSFT_Ceil</f>
        <v>-350</v>
      </c>
      <c r="M147" s="119" t="n">
        <f aca="false">M144-MSFT_Ceil</f>
        <v>-337.921597222222</v>
      </c>
      <c r="N147" s="119" t="n">
        <f aca="false">N144-MSFT_Ceil</f>
        <v>-289.607986111111</v>
      </c>
      <c r="O147" s="119" t="n">
        <f aca="false">O144-MSFT_Ceil</f>
        <v>-229.215972222222</v>
      </c>
      <c r="P147" s="120" t="n">
        <f aca="false">P144-MSFT_Ceil</f>
        <v>-164.445537326389</v>
      </c>
      <c r="Q147" s="120" t="n">
        <f aca="false">Q144-MSFT_Ceil</f>
        <v>-71.6683059895833</v>
      </c>
      <c r="R147" s="120" t="n">
        <f aca="false">R144-MSFT_Ceil</f>
        <v>-25.2796903211805</v>
      </c>
      <c r="S147" s="120" t="n">
        <f aca="false">S144-MSFT_Ceil</f>
        <v>60.6656944444445</v>
      </c>
      <c r="T147" s="120" t="n">
        <f aca="false">T144-MSFT_Ceil</f>
        <v>169.371319444445</v>
      </c>
      <c r="U147" s="120" t="n">
        <f aca="false">U144-MSFT_Ceil</f>
        <v>326.390555555555</v>
      </c>
      <c r="V147" s="120" t="n">
        <f aca="false">V144-MSFT_Ceil</f>
        <v>447.174583333333</v>
      </c>
      <c r="W147" s="120" t="n">
        <f aca="false">W144-MSFT_Ceil</f>
        <v>519.645</v>
      </c>
      <c r="X147" s="120" t="n">
        <f aca="false">X144-MSFT_Ceil</f>
        <v>519.645</v>
      </c>
      <c r="Y147" s="120" t="n">
        <f aca="false">Y144-MSFT_Ceil</f>
        <v>519.645</v>
      </c>
      <c r="Z147" s="120" t="n">
        <f aca="false">Z144-MSFT_Ceil</f>
        <v>519.645</v>
      </c>
      <c r="AA147" s="120" t="n">
        <f aca="false">AA144-MSFT_Ceil</f>
        <v>519.645</v>
      </c>
      <c r="AB147" s="120" t="n">
        <f aca="false">AB144-MSFT_Ceil</f>
        <v>519.645</v>
      </c>
      <c r="AC147" s="120" t="n">
        <f aca="false">AC144-MSFT_Ceil</f>
        <v>519.645</v>
      </c>
      <c r="AD147" s="120" t="n">
        <f aca="false">AD144-MSFT_Ceil</f>
        <v>519.645</v>
      </c>
      <c r="AE147" s="120" t="n">
        <f aca="false">AE144-MSFT_Ceil</f>
        <v>519.645</v>
      </c>
      <c r="AF147" s="120" t="n">
        <f aca="false">AF144-MSFT_Ceil</f>
        <v>519.645</v>
      </c>
      <c r="AG147" s="120" t="n">
        <f aca="false">AG144-MSFT_Ceil</f>
        <v>471.331388888889</v>
      </c>
    </row>
    <row r="148" customFormat="false" ht="15" hidden="false" customHeight="false" outlineLevel="0" collapsed="false">
      <c r="A148" s="101" t="s">
        <v>1480</v>
      </c>
      <c r="B148" s="18" t="s">
        <v>400</v>
      </c>
      <c r="C148" s="18" t="s">
        <v>336</v>
      </c>
      <c r="D148" s="18"/>
      <c r="F148" s="119" t="n">
        <f aca="false">F90+F95+F100+F105+F110+F115+F120</f>
        <v>0</v>
      </c>
      <c r="G148" s="119" t="n">
        <f aca="false">G90+G95+G100+G105+G110+G115+G120</f>
        <v>0</v>
      </c>
      <c r="H148" s="119" t="n">
        <f aca="false">H90+H95+H100+H105+H110+H115+H120</f>
        <v>0</v>
      </c>
      <c r="I148" s="119" t="n">
        <f aca="false">I90+I95+I100+I105+I110+I115+I120</f>
        <v>0</v>
      </c>
      <c r="J148" s="119" t="n">
        <f aca="false">J90+J95+J100+J105+J110+J115+J120</f>
        <v>0</v>
      </c>
      <c r="K148" s="119" t="n">
        <f aca="false">K90+K95+K100+K105+K110+K115+K120</f>
        <v>0</v>
      </c>
      <c r="L148" s="119" t="n">
        <f aca="false">L90+L95+L100+L105+L110+L115+L120</f>
        <v>0</v>
      </c>
      <c r="M148" s="119" t="n">
        <f aca="false">M90+M95+M100+M105+M110+M115+M120</f>
        <v>36.00875</v>
      </c>
      <c r="N148" s="119" t="n">
        <f aca="false">N90+N95+N100+N105+N110+N115+N120</f>
        <v>108.02625</v>
      </c>
      <c r="O148" s="119" t="n">
        <f aca="false">O90+O95+O100+O105+O110+O115+O120</f>
        <v>144.035</v>
      </c>
      <c r="P148" s="120" t="n">
        <f aca="false">P90+P95+P100+P105+P110+P115+P120</f>
        <v>144.035</v>
      </c>
      <c r="Q148" s="120" t="n">
        <f aca="false">Q90+Q95+Q100+Q105+Q110+Q115+Q120</f>
        <v>144.035</v>
      </c>
      <c r="R148" s="120" t="n">
        <f aca="false">R90+R95+R100+R105+R110+R115+R120</f>
        <v>144.035</v>
      </c>
      <c r="S148" s="120" t="n">
        <f aca="false">S90+S95+S100+S105+S110+S115+S120</f>
        <v>144.035</v>
      </c>
      <c r="T148" s="120" t="n">
        <f aca="false">T90+T95+T100+T105+T110+T115+T120</f>
        <v>294.035</v>
      </c>
      <c r="U148" s="120" t="n">
        <f aca="false">U90+U95+U100+U105+U110+U115+U120</f>
        <v>594.035</v>
      </c>
      <c r="V148" s="120" t="n">
        <f aca="false">V90+V95+V100+V105+V110+V115+V120</f>
        <v>744.035</v>
      </c>
      <c r="W148" s="120" t="n">
        <f aca="false">W90+W95+W100+W105+W110+W115+W120</f>
        <v>744.035</v>
      </c>
      <c r="X148" s="120" t="n">
        <f aca="false">X90+X95+X100+X105+X110+X115+X120</f>
        <v>744.035</v>
      </c>
      <c r="Y148" s="120" t="n">
        <f aca="false">Y90+Y95+Y100+Y105+Y110+Y115+Y120</f>
        <v>744.035</v>
      </c>
      <c r="Z148" s="120" t="n">
        <f aca="false">Z90+Z95+Z100+Z105+Z110+Z115+Z120</f>
        <v>744.035</v>
      </c>
      <c r="AA148" s="120" t="n">
        <f aca="false">AA90+AA95+AA100+AA105+AA110+AA115+AA120</f>
        <v>744.035</v>
      </c>
      <c r="AB148" s="120" t="n">
        <f aca="false">AB90+AB95+AB100+AB105+AB110+AB115+AB120</f>
        <v>744.035</v>
      </c>
      <c r="AC148" s="120" t="n">
        <f aca="false">AC90+AC95+AC100+AC105+AC110+AC115+AC120</f>
        <v>744.035</v>
      </c>
      <c r="AD148" s="120" t="n">
        <f aca="false">AD90+AD95+AD100+AD105+AD110+AD115+AD120</f>
        <v>744.035</v>
      </c>
      <c r="AE148" s="120" t="n">
        <f aca="false">AE90+AE95+AE100+AE105+AE110+AE115+AE120</f>
        <v>744.035</v>
      </c>
      <c r="AF148" s="120" t="n">
        <f aca="false">AF90+AF95+AF100+AF105+AF110+AF115+AF120</f>
        <v>744.035</v>
      </c>
      <c r="AG148" s="120" t="n">
        <f aca="false">AG90+AG95+AG100+AG105+AG110+AG115+AG120</f>
        <v>708.02625</v>
      </c>
      <c r="AI148" s="120" t="n">
        <f aca="false">SUMIF($F$7:$AG$7,AI$7,$F148:$AG148)</f>
        <v>0</v>
      </c>
      <c r="AJ148" s="120" t="n">
        <f aca="false">SUMIF($F$7:$AG$7,AJ$7,$F148:$AG148)</f>
        <v>36.00875</v>
      </c>
      <c r="AK148" s="120" t="n">
        <f aca="false">SUMIF($F$7:$AG$7,AK$7,$F148:$AG148)</f>
        <v>540.13125</v>
      </c>
      <c r="AL148" s="120" t="n">
        <f aca="false">SUMIF($F$7:$AG$7,AL$7,$F148:$AG148)</f>
        <v>1176.14</v>
      </c>
      <c r="AM148" s="120" t="n">
        <f aca="false">SUMIF($F$7:$AG$7,AM$7,$F148:$AG148)</f>
        <v>2976.14</v>
      </c>
      <c r="AN148" s="120" t="n">
        <f aca="false">SUMIF($F$7:$AG$7,AN$7,$F148:$AG148)</f>
        <v>2976.14</v>
      </c>
      <c r="AO148" s="120" t="n">
        <f aca="false">SUMIF($F$7:$AG$7,AO$7,$F148:$AG148)</f>
        <v>2940.13125</v>
      </c>
    </row>
    <row r="149" customFormat="false" ht="15" hidden="false" customHeight="false" outlineLevel="0" collapsed="false">
      <c r="A149" s="3" t="s">
        <v>1481</v>
      </c>
      <c r="B149" s="18" t="s">
        <v>400</v>
      </c>
      <c r="C149" s="18" t="s">
        <v>336</v>
      </c>
      <c r="D149" s="18"/>
      <c r="F149" s="121" t="n">
        <f aca="false">F144+F148</f>
        <v>0</v>
      </c>
      <c r="G149" s="121" t="n">
        <f aca="false">G144+G148</f>
        <v>0</v>
      </c>
      <c r="H149" s="121" t="n">
        <f aca="false">H144+H148</f>
        <v>0</v>
      </c>
      <c r="I149" s="121" t="n">
        <f aca="false">I144+I148</f>
        <v>0</v>
      </c>
      <c r="J149" s="121" t="n">
        <f aca="false">J144+J148</f>
        <v>0</v>
      </c>
      <c r="K149" s="121" t="n">
        <f aca="false">K144+K148</f>
        <v>0</v>
      </c>
      <c r="L149" s="121" t="n">
        <f aca="false">L144+L148</f>
        <v>0</v>
      </c>
      <c r="M149" s="121" t="n">
        <f aca="false">M144+M148</f>
        <v>48.0871527777778</v>
      </c>
      <c r="N149" s="121" t="n">
        <f aca="false">N144+N148</f>
        <v>168.418263888889</v>
      </c>
      <c r="O149" s="121" t="n">
        <f aca="false">O144+O148</f>
        <v>264.819027777778</v>
      </c>
      <c r="P149" s="93" t="n">
        <f aca="false">P144+P148</f>
        <v>329.589462673611</v>
      </c>
      <c r="Q149" s="93" t="n">
        <f aca="false">Q144+Q148</f>
        <v>422.366694010417</v>
      </c>
      <c r="R149" s="93" t="n">
        <f aca="false">R144+R148</f>
        <v>468.755309678819</v>
      </c>
      <c r="S149" s="93" t="n">
        <f aca="false">S144+S148</f>
        <v>554.700694444445</v>
      </c>
      <c r="T149" s="93" t="n">
        <f aca="false">T144+T148</f>
        <v>813.406319444445</v>
      </c>
      <c r="U149" s="93" t="n">
        <f aca="false">U144+U148</f>
        <v>1270.42555555556</v>
      </c>
      <c r="V149" s="93" t="n">
        <f aca="false">V144+V148</f>
        <v>1541.20958333333</v>
      </c>
      <c r="W149" s="93" t="n">
        <f aca="false">W144+W148</f>
        <v>1613.68</v>
      </c>
      <c r="X149" s="93" t="n">
        <f aca="false">X144+X148</f>
        <v>1613.68</v>
      </c>
      <c r="Y149" s="93" t="n">
        <f aca="false">Y144+Y148</f>
        <v>1613.68</v>
      </c>
      <c r="Z149" s="93" t="n">
        <f aca="false">Z144+Z148</f>
        <v>1613.68</v>
      </c>
      <c r="AA149" s="93" t="n">
        <f aca="false">AA144+AA148</f>
        <v>1613.68</v>
      </c>
      <c r="AB149" s="93" t="n">
        <f aca="false">AB144+AB148</f>
        <v>1613.68</v>
      </c>
      <c r="AC149" s="93" t="n">
        <f aca="false">AC144+AC148</f>
        <v>1613.68</v>
      </c>
      <c r="AD149" s="93" t="n">
        <f aca="false">AD144+AD148</f>
        <v>1613.68</v>
      </c>
      <c r="AE149" s="93" t="n">
        <f aca="false">AE144+AE148</f>
        <v>1613.68</v>
      </c>
      <c r="AF149" s="93" t="n">
        <f aca="false">AF144+AF148</f>
        <v>1613.68</v>
      </c>
      <c r="AG149" s="93" t="n">
        <f aca="false">AG144+AG148</f>
        <v>1529.35763888889</v>
      </c>
      <c r="AI149" s="93" t="n">
        <f aca="false">SUMIF($F$7:$AG$7,AI$7,$F149:$AG149)</f>
        <v>0</v>
      </c>
      <c r="AJ149" s="93" t="n">
        <f aca="false">SUMIF($F$7:$AG$7,AJ$7,$F149:$AG149)</f>
        <v>48.0871527777778</v>
      </c>
      <c r="AK149" s="93" t="n">
        <f aca="false">SUMIF($F$7:$AG$7,AK$7,$F149:$AG149)</f>
        <v>1185.19344835069</v>
      </c>
      <c r="AL149" s="93" t="n">
        <f aca="false">SUMIF($F$7:$AG$7,AL$7,$F149:$AG149)</f>
        <v>3107.28787912326</v>
      </c>
      <c r="AM149" s="93" t="n">
        <f aca="false">SUMIF($F$7:$AG$7,AM$7,$F149:$AG149)</f>
        <v>6382.24958333333</v>
      </c>
      <c r="AN149" s="93" t="n">
        <f aca="false">SUMIF($F$7:$AG$7,AN$7,$F149:$AG149)</f>
        <v>6454.72</v>
      </c>
      <c r="AO149" s="93" t="n">
        <f aca="false">SUMIF($F$7:$AG$7,AO$7,$F149:$AG149)</f>
        <v>6370.39763888889</v>
      </c>
    </row>
    <row r="150" customFormat="false" ht="15" hidden="false" customHeight="false" outlineLevel="0" collapsed="false">
      <c r="A150" s="101" t="s">
        <v>1482</v>
      </c>
      <c r="B150" s="18" t="s">
        <v>415</v>
      </c>
      <c r="C150" s="18" t="s">
        <v>336</v>
      </c>
      <c r="D150" s="18"/>
      <c r="F150" s="119" t="n">
        <f aca="false">F141+F91+F96+F101+F106+F111+F116+F121</f>
        <v>0</v>
      </c>
      <c r="G150" s="119" t="n">
        <f aca="false">G141+G91+G96+G101+G106+G111+G116+G121</f>
        <v>0</v>
      </c>
      <c r="H150" s="119" t="n">
        <f aca="false">H141+H91+H96+H101+H106+H111+H116+H121</f>
        <v>0</v>
      </c>
      <c r="I150" s="119" t="n">
        <f aca="false">I141+I91+I96+I101+I106+I111+I116+I121</f>
        <v>0</v>
      </c>
      <c r="J150" s="119" t="n">
        <f aca="false">J141+J91+J96+J101+J106+J111+J116+J121</f>
        <v>0</v>
      </c>
      <c r="K150" s="119" t="n">
        <f aca="false">K141+K91+K96+K101+K106+K111+K116+K121</f>
        <v>0</v>
      </c>
      <c r="L150" s="119" t="n">
        <f aca="false">L141+L91+L96+L101+L106+L111+L116+L121</f>
        <v>0</v>
      </c>
      <c r="M150" s="119" t="n">
        <f aca="false">M141+M91+M96+M101+M106+M111+M116+M121</f>
        <v>50.6725</v>
      </c>
      <c r="N150" s="119" t="n">
        <f aca="false">N141+N91+N96+N101+N106+N111+N116+N121</f>
        <v>101.345</v>
      </c>
      <c r="O150" s="119" t="n">
        <f aca="false">O141+O91+O96+O101+O106+O111+O116+O121</f>
        <v>101.345</v>
      </c>
      <c r="P150" s="120" t="n">
        <f aca="false">P141+P91+P96+P101+P106+P111+P116+P121</f>
        <v>150.428333333333</v>
      </c>
      <c r="Q150" s="120" t="n">
        <f aca="false">Q141+Q91+Q96+Q101+Q106+Q111+Q116+Q121</f>
        <v>150.428333333333</v>
      </c>
      <c r="R150" s="120" t="n">
        <f aca="false">R141+R91+R96+R101+R106+R111+R116+R121</f>
        <v>150.428333333333</v>
      </c>
      <c r="S150" s="120" t="n">
        <f aca="false">S141+S91+S96+S101+S106+S111+S116+S121</f>
        <v>208.011666666667</v>
      </c>
      <c r="T150" s="120" t="n">
        <f aca="false">T141+T91+T96+T101+T106+T111+T116+T121</f>
        <v>341.345</v>
      </c>
      <c r="U150" s="120" t="n">
        <f aca="false">U141+U91+U96+U101+U106+U111+U116+U121</f>
        <v>394.678333333333</v>
      </c>
      <c r="V150" s="120" t="n">
        <f aca="false">V141+V91+V96+V101+V106+V111+V116+V121</f>
        <v>394.678333333333</v>
      </c>
      <c r="W150" s="120" t="n">
        <f aca="false">W141+W91+W96+W101+W106+W111+W116+W121</f>
        <v>394.678333333333</v>
      </c>
      <c r="X150" s="120" t="n">
        <f aca="false">X141+X91+X96+X101+X106+X111+X116+X121</f>
        <v>394.678333333333</v>
      </c>
      <c r="Y150" s="120" t="n">
        <f aca="false">Y141+Y91+Y96+Y101+Y106+Y111+Y116+Y121</f>
        <v>394.678333333333</v>
      </c>
      <c r="Z150" s="120" t="n">
        <f aca="false">Z141+Z91+Z96+Z101+Z106+Z111+Z116+Z121</f>
        <v>394.678333333333</v>
      </c>
      <c r="AA150" s="120" t="n">
        <f aca="false">AA141+AA91+AA96+AA101+AA106+AA111+AA116+AA121</f>
        <v>394.678333333333</v>
      </c>
      <c r="AB150" s="120" t="n">
        <f aca="false">AB141+AB91+AB96+AB101+AB106+AB111+AB116+AB121</f>
        <v>394.678333333333</v>
      </c>
      <c r="AC150" s="120" t="n">
        <f aca="false">AC141+AC91+AC96+AC101+AC106+AC111+AC116+AC121</f>
        <v>394.678333333333</v>
      </c>
      <c r="AD150" s="120" t="n">
        <f aca="false">AD141+AD91+AD96+AD101+AD106+AD111+AD116+AD121</f>
        <v>394.678333333333</v>
      </c>
      <c r="AE150" s="120" t="n">
        <f aca="false">AE141+AE91+AE96+AE101+AE106+AE111+AE116+AE121</f>
        <v>394.678333333333</v>
      </c>
      <c r="AF150" s="120" t="n">
        <f aca="false">AF141+AF91+AF96+AF101+AF106+AF111+AF116+AF121</f>
        <v>394.678333333333</v>
      </c>
      <c r="AG150" s="120" t="n">
        <f aca="false">AG141+AG91+AG96+AG101+AG106+AG111+AG116+AG121</f>
        <v>344.005833333333</v>
      </c>
      <c r="AI150" s="120" t="n">
        <f aca="false">INDEX($F150:$AG150,1,MATCH(AI$7,$F$7:$AG$7,1))</f>
        <v>0</v>
      </c>
      <c r="AJ150" s="120" t="n">
        <f aca="false">INDEX($F150:$AG150,1,MATCH(AJ$7,$F$7:$AG$7,1))</f>
        <v>50.6725</v>
      </c>
      <c r="AK150" s="120" t="n">
        <f aca="false">INDEX($F150:$AG150,1,MATCH(AK$7,$F$7:$AG$7,1))</f>
        <v>150.428333333333</v>
      </c>
      <c r="AL150" s="120" t="n">
        <f aca="false">INDEX($F150:$AG150,1,MATCH(AL$7,$F$7:$AG$7,1))</f>
        <v>394.678333333333</v>
      </c>
      <c r="AM150" s="120" t="n">
        <f aca="false">INDEX($F150:$AG150,1,MATCH(AM$7,$F$7:$AG$7,1))</f>
        <v>394.678333333333</v>
      </c>
      <c r="AN150" s="120" t="n">
        <f aca="false">INDEX($F150:$AG150,1,MATCH(AN$7,$F$7:$AG$7,1))</f>
        <v>394.678333333333</v>
      </c>
      <c r="AO150" s="120" t="n">
        <f aca="false">INDEX($F150:$AG150,1,MATCH(AO$7,$F$7:$AG$7,1))</f>
        <v>344.005833333333</v>
      </c>
    </row>
    <row r="151" customFormat="false" ht="15" hidden="false" customHeight="false" outlineLevel="0" collapsed="false">
      <c r="A151" s="101" t="s">
        <v>1483</v>
      </c>
      <c r="B151" s="18" t="s">
        <v>400</v>
      </c>
      <c r="C151" s="18" t="s">
        <v>336</v>
      </c>
      <c r="D151" s="18"/>
      <c r="F151" s="119" t="n">
        <f aca="false">F37+F42+F47+F52+F57+F62+F67+F72+F77+F82+F87+F92+F97+F102+F107+F112+F117+F122</f>
        <v>-0</v>
      </c>
      <c r="G151" s="119" t="n">
        <f aca="false">G37+G42+G47+G52+G57+G62+G67+G72+G77+G82+G87+G92+G97+G102+G107+G112+G117+G122</f>
        <v>-0</v>
      </c>
      <c r="H151" s="119" t="n">
        <f aca="false">H37+H42+H47+H52+H57+H62+H67+H72+H77+H82+H87+H92+H97+H102+H107+H112+H117+H122</f>
        <v>-0</v>
      </c>
      <c r="I151" s="119" t="n">
        <f aca="false">I37+I42+I47+I52+I57+I62+I67+I72+I77+I82+I87+I92+I97+I102+I107+I112+I117+I122</f>
        <v>-0</v>
      </c>
      <c r="J151" s="119" t="n">
        <f aca="false">J37+J42+J47+J52+J57+J62+J67+J72+J77+J82+J87+J92+J97+J102+J107+J112+J117+J122</f>
        <v>-0</v>
      </c>
      <c r="K151" s="119" t="n">
        <f aca="false">K37+K42+K47+K52+K57+K62+K67+K72+K77+K82+K87+K92+K97+K102+K107+K112+K117+K122</f>
        <v>-0</v>
      </c>
      <c r="L151" s="119" t="n">
        <f aca="false">L37+L42+L47+L52+L57+L62+L67+L72+L77+L82+L87+L92+L97+L102+L107+L112+L117+L122</f>
        <v>-0</v>
      </c>
      <c r="M151" s="119" t="n">
        <f aca="false">M37+M42+M47+M52+M57+M62+M67+M72+M77+M82+M87+M92+M97+M102+M107+M112+M117+M122</f>
        <v>-0</v>
      </c>
      <c r="N151" s="119" t="n">
        <f aca="false">N37+N42+N47+N52+N57+N62+N67+N72+N77+N82+N87+N92+N97+N102+N107+N112+N117+N122</f>
        <v>-0</v>
      </c>
      <c r="O151" s="119" t="n">
        <f aca="false">O37+O42+O47+O52+O57+O62+O67+O72+O77+O82+O87+O92+O97+O102+O107+O112+O117+O122</f>
        <v>-0</v>
      </c>
      <c r="P151" s="120" t="n">
        <f aca="false">P37+P42+P47+P52+P57+P62+P67+P72+P77+P82+P87+P92+P97+P102+P107+P112+P117+P122</f>
        <v>-0</v>
      </c>
      <c r="Q151" s="120" t="n">
        <f aca="false">Q37+Q42+Q47+Q52+Q57+Q62+Q67+Q72+Q77+Q82+Q87+Q92+Q97+Q102+Q107+Q112+Q117+Q122</f>
        <v>-0</v>
      </c>
      <c r="R151" s="120" t="n">
        <f aca="false">R37+R42+R47+R52+R57+R62+R67+R72+R77+R82+R87+R92+R97+R102+R107+R112+R117+R122</f>
        <v>-0</v>
      </c>
      <c r="S151" s="120" t="n">
        <f aca="false">S37+S42+S47+S52+S57+S62+S67+S72+S77+S82+S87+S92+S97+S102+S107+S112+S117+S122</f>
        <v>-0</v>
      </c>
      <c r="T151" s="120" t="n">
        <f aca="false">T37+T42+T47+T52+T57+T62+T67+T72+T77+T82+T87+T92+T97+T102+T107+T112+T117+T122</f>
        <v>-0</v>
      </c>
      <c r="U151" s="120" t="n">
        <f aca="false">U37+U42+U47+U52+U57+U62+U67+U72+U77+U82+U87+U92+U97+U102+U107+U112+U117+U122</f>
        <v>-0</v>
      </c>
      <c r="V151" s="120" t="n">
        <f aca="false">V37+V42+V47+V52+V57+V62+V67+V72+V77+V82+V87+V92+V97+V102+V107+V112+V117+V122</f>
        <v>-0</v>
      </c>
      <c r="W151" s="120" t="n">
        <f aca="false">W37+W42+W47+W52+W57+W62+W67+W72+W77+W82+W87+W92+W97+W102+W107+W112+W117+W122</f>
        <v>-0</v>
      </c>
      <c r="X151" s="120" t="n">
        <f aca="false">X37+X42+X47+X52+X57+X62+X67+X72+X77+X82+X87+X92+X97+X102+X107+X112+X117+X122</f>
        <v>-0</v>
      </c>
      <c r="Y151" s="120" t="n">
        <f aca="false">Y37+Y42+Y47+Y52+Y57+Y62+Y67+Y72+Y77+Y82+Y87+Y92+Y97+Y102+Y107+Y112+Y117+Y122</f>
        <v>-0</v>
      </c>
      <c r="Z151" s="120" t="n">
        <f aca="false">Z37+Z42+Z47+Z52+Z57+Z62+Z67+Z72+Z77+Z82+Z87+Z92+Z97+Z102+Z107+Z112+Z117+Z122</f>
        <v>-0</v>
      </c>
      <c r="AA151" s="120" t="n">
        <f aca="false">AA37+AA42+AA47+AA52+AA57+AA62+AA67+AA72+AA77+AA82+AA87+AA92+AA97+AA102+AA107+AA112+AA117+AA122</f>
        <v>-0</v>
      </c>
      <c r="AB151" s="120" t="n">
        <f aca="false">AB37+AB42+AB47+AB52+AB57+AB62+AB67+AB72+AB77+AB82+AB87+AB92+AB97+AB102+AB107+AB112+AB117+AB122</f>
        <v>-0</v>
      </c>
      <c r="AC151" s="120" t="n">
        <f aca="false">AC37+AC42+AC47+AC52+AC57+AC62+AC67+AC72+AC77+AC82+AC87+AC92+AC97+AC102+AC107+AC112+AC117+AC122</f>
        <v>-0</v>
      </c>
      <c r="AD151" s="120" t="n">
        <f aca="false">AD37+AD42+AD47+AD52+AD57+AD62+AD67+AD72+AD77+AD82+AD87+AD92+AD97+AD102+AD107+AD112+AD117+AD122</f>
        <v>-0</v>
      </c>
      <c r="AE151" s="120" t="n">
        <f aca="false">AE37+AE42+AE47+AE52+AE57+AE62+AE67+AE72+AE77+AE82+AE87+AE92+AE97+AE102+AE107+AE112+AE117+AE122</f>
        <v>-0</v>
      </c>
      <c r="AF151" s="120" t="n">
        <f aca="false">AF37+AF42+AF47+AF52+AF57+AF62+AF67+AF72+AF77+AF82+AF87+AF92+AF97+AF102+AF107+AF112+AF117+AF122</f>
        <v>-0</v>
      </c>
      <c r="AG151" s="120" t="n">
        <f aca="false">AG37+AG42+AG47+AG52+AG57+AG62+AG67+AG72+AG77+AG82+AG87+AG92+AG97+AG102+AG107+AG112+AG117+AG122</f>
        <v>-0</v>
      </c>
      <c r="AI151" s="120" t="n">
        <f aca="false">SUMIF($F$7:$AG$7,AI$7,$F151:$AG151)</f>
        <v>0</v>
      </c>
      <c r="AJ151" s="120" t="n">
        <f aca="false">SUMIF($F$7:$AG$7,AJ$7,$F151:$AG151)</f>
        <v>0</v>
      </c>
      <c r="AK151" s="120" t="n">
        <f aca="false">SUMIF($F$7:$AG$7,AK$7,$F151:$AG151)</f>
        <v>0</v>
      </c>
      <c r="AL151" s="120" t="n">
        <f aca="false">SUMIF($F$7:$AG$7,AL$7,$F151:$AG151)</f>
        <v>0</v>
      </c>
      <c r="AM151" s="120" t="n">
        <f aca="false">SUMIF($F$7:$AG$7,AM$7,$F151:$AG151)</f>
        <v>0</v>
      </c>
      <c r="AN151" s="120" t="n">
        <f aca="false">SUMIF($F$7:$AG$7,AN$7,$F151:$AG151)</f>
        <v>0</v>
      </c>
      <c r="AO151" s="120" t="n">
        <f aca="false">SUMIF($F$7:$AG$7,AO$7,$F151:$AG151)</f>
        <v>0</v>
      </c>
    </row>
    <row r="152" customFormat="false" ht="15" hidden="false" customHeight="false" outlineLevel="0" collapsed="false">
      <c r="A152" s="101" t="s">
        <v>1484</v>
      </c>
      <c r="B152" s="18" t="s">
        <v>400</v>
      </c>
      <c r="C152" s="18" t="s">
        <v>336</v>
      </c>
      <c r="D152" s="18"/>
      <c r="F152" s="119" t="n">
        <f aca="false">F39+F44+F49+F54+F59+F64+F69+F74+F79+F84+F89+F94+F99+F104+F109+F114+F119+F124</f>
        <v>0</v>
      </c>
      <c r="G152" s="119" t="n">
        <f aca="false">G39+G44+G49+G54+G59+G64+G69+G74+G79+G84+G89+G94+G99+G104+G109+G114+G119+G124</f>
        <v>0</v>
      </c>
      <c r="H152" s="119" t="n">
        <f aca="false">H39+H44+H49+H54+H59+H64+H69+H74+H79+H84+H89+H94+H99+H104+H109+H114+H119+H124</f>
        <v>0</v>
      </c>
      <c r="I152" s="119" t="n">
        <f aca="false">I39+I44+I49+I54+I59+I64+I69+I74+I79+I84+I89+I94+I99+I104+I109+I114+I119+I124</f>
        <v>0</v>
      </c>
      <c r="J152" s="119" t="n">
        <f aca="false">J39+J44+J49+J54+J59+J64+J69+J74+J79+J84+J89+J94+J99+J104+J109+J114+J119+J124</f>
        <v>0</v>
      </c>
      <c r="K152" s="119" t="n">
        <f aca="false">K39+K44+K49+K54+K59+K64+K69+K74+K79+K84+K89+K94+K99+K104+K109+K114+K119+K124</f>
        <v>0</v>
      </c>
      <c r="L152" s="119" t="n">
        <f aca="false">L39+L44+L49+L54+L59+L64+L69+L74+L79+L84+L89+L94+L99+L104+L109+L114+L119+L124</f>
        <v>0</v>
      </c>
      <c r="M152" s="119" t="n">
        <f aca="false">M39+M44+M49+M54+M59+M64+M69+M74+M79+M84+M89+M94+M99+M104+M109+M114+M119+M124</f>
        <v>0</v>
      </c>
      <c r="N152" s="119" t="n">
        <f aca="false">N39+N44+N49+N54+N59+N64+N69+N74+N79+N84+N89+N94+N99+N104+N109+N114+N119+N124</f>
        <v>0</v>
      </c>
      <c r="O152" s="119" t="n">
        <f aca="false">O39+O44+O49+O54+O59+O64+O69+O74+O79+O84+O89+O94+O99+O104+O109+O114+O119+O124</f>
        <v>0</v>
      </c>
      <c r="P152" s="120" t="n">
        <f aca="false">P39+P44+P49+P54+P59+P64+P69+P74+P79+P84+P89+P94+P99+P104+P109+P114+P119+P124</f>
        <v>0</v>
      </c>
      <c r="Q152" s="120" t="n">
        <f aca="false">Q39+Q44+Q49+Q54+Q59+Q64+Q69+Q74+Q79+Q84+Q89+Q94+Q99+Q104+Q109+Q114+Q119+Q124</f>
        <v>0</v>
      </c>
      <c r="R152" s="120" t="n">
        <f aca="false">R39+R44+R49+R54+R59+R64+R69+R74+R79+R84+R89+R94+R99+R104+R109+R114+R119+R124</f>
        <v>0</v>
      </c>
      <c r="S152" s="120" t="n">
        <f aca="false">S39+S44+S49+S54+S59+S64+S69+S74+S79+S84+S89+S94+S99+S104+S109+S114+S119+S124</f>
        <v>0</v>
      </c>
      <c r="T152" s="120" t="n">
        <f aca="false">T39+T44+T49+T54+T59+T64+T69+T74+T79+T84+T89+T94+T99+T104+T109+T114+T119+T124</f>
        <v>0</v>
      </c>
      <c r="U152" s="120" t="n">
        <f aca="false">U39+U44+U49+U54+U59+U64+U69+U74+U79+U84+U89+U94+U99+U104+U109+U114+U119+U124</f>
        <v>0</v>
      </c>
      <c r="V152" s="120" t="n">
        <f aca="false">V39+V44+V49+V54+V59+V64+V69+V74+V79+V84+V89+V94+V99+V104+V109+V114+V119+V124</f>
        <v>0</v>
      </c>
      <c r="W152" s="120" t="n">
        <f aca="false">W39+W44+W49+W54+W59+W64+W69+W74+W79+W84+W89+W94+W99+W104+W109+W114+W119+W124</f>
        <v>0</v>
      </c>
      <c r="X152" s="120" t="n">
        <f aca="false">X39+X44+X49+X54+X59+X64+X69+X74+X79+X84+X89+X94+X99+X104+X109+X114+X119+X124</f>
        <v>0</v>
      </c>
      <c r="Y152" s="120" t="n">
        <f aca="false">Y39+Y44+Y49+Y54+Y59+Y64+Y69+Y74+Y79+Y84+Y89+Y94+Y99+Y104+Y109+Y114+Y119+Y124</f>
        <v>0</v>
      </c>
      <c r="Z152" s="120" t="n">
        <f aca="false">Z39+Z44+Z49+Z54+Z59+Z64+Z69+Z74+Z79+Z84+Z89+Z94+Z99+Z104+Z109+Z114+Z119+Z124</f>
        <v>0</v>
      </c>
      <c r="AA152" s="120" t="n">
        <f aca="false">AA39+AA44+AA49+AA54+AA59+AA64+AA69+AA74+AA79+AA84+AA89+AA94+AA99+AA104+AA109+AA114+AA119+AA124</f>
        <v>0</v>
      </c>
      <c r="AB152" s="120" t="n">
        <f aca="false">AB39+AB44+AB49+AB54+AB59+AB64+AB69+AB74+AB79+AB84+AB89+AB94+AB99+AB104+AB109+AB114+AB119+AB124</f>
        <v>0</v>
      </c>
      <c r="AC152" s="120" t="n">
        <f aca="false">AC39+AC44+AC49+AC54+AC59+AC64+AC69+AC74+AC79+AC84+AC89+AC94+AC99+AC104+AC109+AC114+AC119+AC124</f>
        <v>0</v>
      </c>
      <c r="AD152" s="120" t="n">
        <f aca="false">AD39+AD44+AD49+AD54+AD59+AD64+AD69+AD74+AD79+AD84+AD89+AD94+AD99+AD104+AD109+AD114+AD119+AD124</f>
        <v>0</v>
      </c>
      <c r="AE152" s="120" t="n">
        <f aca="false">AE39+AE44+AE49+AE54+AE59+AE64+AE69+AE74+AE79+AE84+AE89+AE94+AE99+AE104+AE109+AE114+AE119+AE124</f>
        <v>0</v>
      </c>
      <c r="AF152" s="120" t="n">
        <f aca="false">AF39+AF44+AF49+AF54+AF59+AF64+AF69+AF74+AF79+AF84+AF89+AF94+AF99+AF104+AF109+AF114+AF119+AF124</f>
        <v>0</v>
      </c>
      <c r="AG152" s="120" t="n">
        <f aca="false">AG39+AG44+AG49+AG54+AG59+AG64+AG69+AG74+AG79+AG84+AG89+AG94+AG99+AG104+AG109+AG114+AG119+AG124</f>
        <v>205.8940525785</v>
      </c>
      <c r="AI152" s="120" t="n">
        <f aca="false">SUMIF($F$7:$AG$7,AI$7,$F152:$AG152)</f>
        <v>0</v>
      </c>
      <c r="AJ152" s="120" t="n">
        <f aca="false">SUMIF($F$7:$AG$7,AJ$7,$F152:$AG152)</f>
        <v>0</v>
      </c>
      <c r="AK152" s="120" t="n">
        <f aca="false">SUMIF($F$7:$AG$7,AK$7,$F152:$AG152)</f>
        <v>0</v>
      </c>
      <c r="AL152" s="120" t="n">
        <f aca="false">SUMIF($F$7:$AG$7,AL$7,$F152:$AG152)</f>
        <v>0</v>
      </c>
      <c r="AM152" s="120" t="n">
        <f aca="false">SUMIF($F$7:$AG$7,AM$7,$F152:$AG152)</f>
        <v>0</v>
      </c>
      <c r="AN152" s="120" t="n">
        <f aca="false">SUMIF($F$7:$AG$7,AN$7,$F152:$AG152)</f>
        <v>0</v>
      </c>
      <c r="AO152" s="120" t="n">
        <f aca="false">SUMIF($F$7:$AG$7,AO$7,$F152:$AG152)</f>
        <v>205.8940525785</v>
      </c>
    </row>
    <row r="153" customFormat="false" ht="15" hidden="false" customHeight="false" outlineLevel="0" collapsed="false">
      <c r="A153" s="101" t="s">
        <v>1485</v>
      </c>
      <c r="B153" s="18" t="s">
        <v>415</v>
      </c>
      <c r="C153" s="18" t="s">
        <v>336</v>
      </c>
      <c r="D153" s="18"/>
      <c r="F153" s="119" t="n">
        <f aca="false">F36+F41+F46+F51+F56+F61+F66+F71+F76+F81+F86+F91+F96+F101+F106+F111+F116+F121</f>
        <v>0</v>
      </c>
      <c r="G153" s="119" t="n">
        <f aca="false">G36+G41+G46+G51+G56+G61+G66+G71+G76+G81+G86+G91+G96+G101+G106+G111+G116+G121</f>
        <v>0</v>
      </c>
      <c r="H153" s="119" t="n">
        <f aca="false">H36+H41+H46+H51+H56+H61+H66+H71+H76+H81+H86+H91+H96+H101+H106+H111+H116+H121</f>
        <v>0</v>
      </c>
      <c r="I153" s="119" t="n">
        <f aca="false">I36+I41+I46+I51+I56+I61+I66+I71+I76+I81+I86+I91+I96+I101+I106+I111+I116+I121</f>
        <v>0</v>
      </c>
      <c r="J153" s="119" t="n">
        <f aca="false">J36+J41+J46+J51+J56+J61+J66+J71+J76+J81+J86+J91+J96+J101+J106+J111+J116+J121</f>
        <v>0</v>
      </c>
      <c r="K153" s="119" t="n">
        <f aca="false">K36+K41+K46+K51+K56+K61+K66+K71+K76+K81+K86+K91+K96+K101+K106+K111+K116+K121</f>
        <v>0</v>
      </c>
      <c r="L153" s="119" t="n">
        <f aca="false">L36+L41+L46+L51+L56+L61+L66+L71+L76+L81+L86+L91+L96+L101+L106+L111+L116+L121</f>
        <v>0</v>
      </c>
      <c r="M153" s="119" t="n">
        <f aca="false">M36+M41+M46+M51+M56+M61+M66+M71+M76+M81+M86+M91+M96+M101+M106+M111+M116+M121</f>
        <v>50.6725</v>
      </c>
      <c r="N153" s="119" t="n">
        <f aca="false">N36+N41+N46+N51+N56+N61+N66+N71+N76+N81+N86+N91+N96+N101+N106+N111+N116+N121</f>
        <v>101.345</v>
      </c>
      <c r="O153" s="119" t="n">
        <f aca="false">O36+O41+O46+O51+O56+O61+O66+O71+O76+O81+O86+O91+O96+O101+O106+O111+O116+O121</f>
        <v>101.345</v>
      </c>
      <c r="P153" s="120" t="n">
        <f aca="false">P36+P41+P46+P51+P56+P61+P66+P71+P76+P81+P86+P91+P96+P101+P106+P111+P116+P121</f>
        <v>154.678333333333</v>
      </c>
      <c r="Q153" s="120" t="n">
        <f aca="false">Q36+Q41+Q46+Q51+Q56+Q61+Q66+Q71+Q76+Q81+Q86+Q91+Q96+Q101+Q106+Q111+Q116+Q121</f>
        <v>154.678333333333</v>
      </c>
      <c r="R153" s="120" t="n">
        <f aca="false">R36+R41+R46+R51+R56+R61+R66+R71+R76+R81+R86+R91+R96+R101+R106+R111+R116+R121</f>
        <v>154.678333333333</v>
      </c>
      <c r="S153" s="120" t="n">
        <f aca="false">S36+S41+S46+S51+S56+S61+S66+S71+S76+S81+S86+S91+S96+S101+S106+S111+S116+S121</f>
        <v>208.011666666667</v>
      </c>
      <c r="T153" s="120" t="n">
        <f aca="false">T36+T41+T46+T51+T56+T61+T66+T71+T76+T81+T86+T91+T96+T101+T106+T111+T116+T121</f>
        <v>341.345</v>
      </c>
      <c r="U153" s="120" t="n">
        <f aca="false">U36+U41+U46+U51+U56+U61+U66+U71+U76+U81+U86+U91+U96+U101+U106+U111+U116+U121</f>
        <v>394.678333333333</v>
      </c>
      <c r="V153" s="120" t="n">
        <f aca="false">V36+V41+V46+V51+V56+V61+V66+V71+V76+V81+V86+V91+V96+V101+V106+V111+V116+V121</f>
        <v>394.678333333333</v>
      </c>
      <c r="W153" s="120" t="n">
        <f aca="false">W36+W41+W46+W51+W56+W61+W66+W71+W76+W81+W86+W91+W96+W101+W106+W111+W116+W121</f>
        <v>394.678333333333</v>
      </c>
      <c r="X153" s="120" t="n">
        <f aca="false">X36+X41+X46+X51+X56+X61+X66+X71+X76+X81+X86+X91+X96+X101+X106+X111+X116+X121</f>
        <v>394.678333333333</v>
      </c>
      <c r="Y153" s="120" t="n">
        <f aca="false">Y36+Y41+Y46+Y51+Y56+Y61+Y66+Y71+Y76+Y81+Y86+Y91+Y96+Y101+Y106+Y111+Y116+Y121</f>
        <v>394.678333333333</v>
      </c>
      <c r="Z153" s="120" t="n">
        <f aca="false">Z36+Z41+Z46+Z51+Z56+Z61+Z66+Z71+Z76+Z81+Z86+Z91+Z96+Z101+Z106+Z111+Z116+Z121</f>
        <v>394.678333333333</v>
      </c>
      <c r="AA153" s="120" t="n">
        <f aca="false">AA36+AA41+AA46+AA51+AA56+AA61+AA66+AA71+AA76+AA81+AA86+AA91+AA96+AA101+AA106+AA111+AA116+AA121</f>
        <v>394.678333333333</v>
      </c>
      <c r="AB153" s="120" t="n">
        <f aca="false">AB36+AB41+AB46+AB51+AB56+AB61+AB66+AB71+AB76+AB81+AB86+AB91+AB96+AB101+AB106+AB111+AB116+AB121</f>
        <v>394.678333333333</v>
      </c>
      <c r="AC153" s="120" t="n">
        <f aca="false">AC36+AC41+AC46+AC51+AC56+AC61+AC66+AC71+AC76+AC81+AC86+AC91+AC96+AC101+AC106+AC111+AC116+AC121</f>
        <v>394.678333333333</v>
      </c>
      <c r="AD153" s="120" t="n">
        <f aca="false">AD36+AD41+AD46+AD51+AD56+AD61+AD66+AD71+AD76+AD81+AD86+AD91+AD96+AD101+AD106+AD111+AD116+AD121</f>
        <v>394.678333333333</v>
      </c>
      <c r="AE153" s="120" t="n">
        <f aca="false">AE36+AE41+AE46+AE51+AE56+AE61+AE66+AE71+AE76+AE81+AE86+AE91+AE96+AE101+AE106+AE111+AE116+AE121</f>
        <v>394.678333333333</v>
      </c>
      <c r="AF153" s="120" t="n">
        <f aca="false">AF36+AF41+AF46+AF51+AF56+AF61+AF66+AF71+AF76+AF81+AF86+AF91+AF96+AF101+AF106+AF111+AF116+AF121</f>
        <v>394.678333333333</v>
      </c>
      <c r="AG153" s="120" t="n">
        <f aca="false">AG36+AG41+AG46+AG51+AG56+AG61+AG66+AG71+AG76+AG81+AG86+AG91+AG96+AG101+AG106+AG111+AG116+AG121</f>
        <v>344.005833333333</v>
      </c>
      <c r="AI153" s="120" t="n">
        <f aca="false">INDEX($F153:$AG153,1,MATCH(AI$7,$F$7:$AG$7,1))</f>
        <v>0</v>
      </c>
      <c r="AJ153" s="120" t="n">
        <f aca="false">INDEX($F153:$AG153,1,MATCH(AJ$7,$F$7:$AG$7,1))</f>
        <v>50.6725</v>
      </c>
      <c r="AK153" s="120" t="n">
        <f aca="false">INDEX($F153:$AG153,1,MATCH(AK$7,$F$7:$AG$7,1))</f>
        <v>154.678333333333</v>
      </c>
      <c r="AL153" s="120" t="n">
        <f aca="false">INDEX($F153:$AG153,1,MATCH(AL$7,$F$7:$AG$7,1))</f>
        <v>394.678333333333</v>
      </c>
      <c r="AM153" s="120" t="n">
        <f aca="false">INDEX($F153:$AG153,1,MATCH(AM$7,$F$7:$AG$7,1))</f>
        <v>394.678333333333</v>
      </c>
      <c r="AN153" s="120" t="n">
        <f aca="false">INDEX($F153:$AG153,1,MATCH(AN$7,$F$7:$AG$7,1))</f>
        <v>394.678333333333</v>
      </c>
      <c r="AO153" s="120" t="n">
        <f aca="false">INDEX($F153:$AG153,1,MATCH(AO$7,$F$7:$AG$7,1))</f>
        <v>344.005833333333</v>
      </c>
    </row>
    <row r="154" customFormat="false" ht="15" hidden="false" customHeight="false" outlineLevel="0" collapsed="false">
      <c r="A154" s="101" t="s">
        <v>1486</v>
      </c>
      <c r="B154" s="18" t="s">
        <v>415</v>
      </c>
      <c r="C154" s="18" t="s">
        <v>336</v>
      </c>
      <c r="D154" s="18"/>
      <c r="F154" s="119" t="n">
        <f aca="false">F38+F43+F48+F53+F58+F63+F68+F73+F78+F83+F88+F93+F98+F103+F108+F113+F118+F123</f>
        <v>0</v>
      </c>
      <c r="G154" s="119" t="n">
        <f aca="false">G38+G43+G48+G53+G58+G63+G68+G73+G78+G83+G88+G93+G98+G103+G108+G113+G118+G123</f>
        <v>0</v>
      </c>
      <c r="H154" s="119" t="n">
        <f aca="false">H38+H43+H48+H53+H58+H63+H68+H73+H78+H83+H88+H93+H98+H103+H108+H113+H118+H123</f>
        <v>0</v>
      </c>
      <c r="I154" s="119" t="n">
        <f aca="false">I38+I43+I48+I53+I58+I63+I68+I73+I78+I83+I88+I93+I98+I103+I108+I113+I118+I123</f>
        <v>0</v>
      </c>
      <c r="J154" s="119" t="n">
        <f aca="false">J38+J43+J48+J53+J58+J63+J68+J73+J78+J83+J88+J93+J98+J103+J108+J113+J118+J123</f>
        <v>0</v>
      </c>
      <c r="K154" s="119" t="n">
        <f aca="false">K38+K43+K48+K53+K58+K63+K68+K73+K78+K83+K88+K93+K98+K103+K108+K113+K118+K123</f>
        <v>0</v>
      </c>
      <c r="L154" s="119" t="n">
        <f aca="false">L38+L43+L48+L53+L58+L63+L68+L73+L78+L83+L88+L93+L98+L103+L108+L113+L118+L123</f>
        <v>0</v>
      </c>
      <c r="M154" s="119" t="n">
        <f aca="false">M38+M43+M48+M53+M58+M63+M68+M73+M78+M83+M88+M93+M98+M103+M108+M113+M118+M123</f>
        <v>0</v>
      </c>
      <c r="N154" s="119" t="n">
        <f aca="false">N38+N43+N48+N53+N58+N63+N68+N73+N78+N83+N88+N93+N98+N103+N108+N113+N118+N123</f>
        <v>0</v>
      </c>
      <c r="O154" s="119" t="n">
        <f aca="false">O38+O43+O48+O53+O58+O63+O68+O73+O78+O83+O88+O93+O98+O103+O108+O113+O118+O123</f>
        <v>0</v>
      </c>
      <c r="P154" s="120" t="n">
        <f aca="false">P38+P43+P48+P53+P58+P63+P68+P73+P78+P83+P88+P93+P98+P103+P108+P113+P118+P123</f>
        <v>0</v>
      </c>
      <c r="Q154" s="120" t="n">
        <f aca="false">Q38+Q43+Q48+Q53+Q58+Q63+Q68+Q73+Q78+Q83+Q88+Q93+Q98+Q103+Q108+Q113+Q118+Q123</f>
        <v>0</v>
      </c>
      <c r="R154" s="120" t="n">
        <f aca="false">R38+R43+R48+R53+R58+R63+R68+R73+R78+R83+R88+R93+R98+R103+R108+R113+R118+R123</f>
        <v>0</v>
      </c>
      <c r="S154" s="120" t="n">
        <f aca="false">S38+S43+S48+S53+S58+S63+S68+S73+S78+S83+S88+S93+S98+S103+S108+S113+S118+S123</f>
        <v>0</v>
      </c>
      <c r="T154" s="120" t="n">
        <f aca="false">T38+T43+T48+T53+T58+T63+T68+T73+T78+T83+T88+T93+T98+T103+T108+T113+T118+T123</f>
        <v>0</v>
      </c>
      <c r="U154" s="120" t="n">
        <f aca="false">U38+U43+U48+U53+U58+U63+U68+U73+U78+U83+U88+U93+U98+U103+U108+U113+U118+U123</f>
        <v>0</v>
      </c>
      <c r="V154" s="120" t="n">
        <f aca="false">V38+V43+V48+V53+V58+V63+V68+V73+V78+V83+V88+V93+V98+V103+V108+V113+V118+V123</f>
        <v>0</v>
      </c>
      <c r="W154" s="120" t="n">
        <f aca="false">W38+W43+W48+W53+W58+W63+W68+W73+W78+W83+W88+W93+W98+W103+W108+W113+W118+W123</f>
        <v>0</v>
      </c>
      <c r="X154" s="120" t="n">
        <f aca="false">X38+X43+X48+X53+X58+X63+X68+X73+X78+X83+X88+X93+X98+X103+X108+X113+X118+X123</f>
        <v>0</v>
      </c>
      <c r="Y154" s="120" t="n">
        <f aca="false">Y38+Y43+Y48+Y53+Y58+Y63+Y68+Y73+Y78+Y83+Y88+Y93+Y98+Y103+Y108+Y113+Y118+Y123</f>
        <v>0</v>
      </c>
      <c r="Z154" s="120" t="n">
        <f aca="false">Z38+Z43+Z48+Z53+Z58+Z63+Z68+Z73+Z78+Z83+Z88+Z93+Z98+Z103+Z108+Z113+Z118+Z123</f>
        <v>0</v>
      </c>
      <c r="AA154" s="120" t="n">
        <f aca="false">AA38+AA43+AA48+AA53+AA58+AA63+AA68+AA73+AA78+AA83+AA88+AA93+AA98+AA103+AA108+AA113+AA118+AA123</f>
        <v>0</v>
      </c>
      <c r="AB154" s="120" t="n">
        <f aca="false">AB38+AB43+AB48+AB53+AB58+AB63+AB68+AB73+AB78+AB83+AB88+AB93+AB98+AB103+AB108+AB113+AB118+AB123</f>
        <v>0</v>
      </c>
      <c r="AC154" s="120" t="n">
        <f aca="false">AC38+AC43+AC48+AC53+AC58+AC63+AC68+AC73+AC78+AC83+AC88+AC93+AC98+AC103+AC108+AC113+AC118+AC123</f>
        <v>0</v>
      </c>
      <c r="AD154" s="120" t="n">
        <f aca="false">AD38+AD43+AD48+AD53+AD58+AD63+AD68+AD73+AD78+AD83+AD88+AD93+AD98+AD103+AD108+AD113+AD118+AD123</f>
        <v>0</v>
      </c>
      <c r="AE154" s="120" t="n">
        <f aca="false">AE38+AE43+AE48+AE53+AE58+AE63+AE68+AE73+AE78+AE83+AE88+AE93+AE98+AE103+AE108+AE113+AE118+AE123</f>
        <v>0</v>
      </c>
      <c r="AF154" s="120" t="n">
        <f aca="false">AF38+AF43+AF48+AF53+AF58+AF63+AF68+AF73+AF78+AF83+AF88+AF93+AF98+AF103+AF108+AF113+AF118+AF123</f>
        <v>0</v>
      </c>
      <c r="AG154" s="120" t="n">
        <f aca="false">AG38+AG43+AG48+AG53+AG58+AG63+AG68+AG73+AG78+AG83+AG88+AG93+AG98+AG103+AG108+AG113+AG118+AG123</f>
        <v>50.6725</v>
      </c>
      <c r="AI154" s="120" t="n">
        <f aca="false">INDEX($F154:$AG154,1,MATCH(AI$7,$F$7:$AG$7,1))</f>
        <v>0</v>
      </c>
      <c r="AJ154" s="120" t="n">
        <f aca="false">INDEX($F154:$AG154,1,MATCH(AJ$7,$F$7:$AG$7,1))</f>
        <v>0</v>
      </c>
      <c r="AK154" s="120" t="n">
        <f aca="false">INDEX($F154:$AG154,1,MATCH(AK$7,$F$7:$AG$7,1))</f>
        <v>0</v>
      </c>
      <c r="AL154" s="120" t="n">
        <f aca="false">INDEX($F154:$AG154,1,MATCH(AL$7,$F$7:$AG$7,1))</f>
        <v>0</v>
      </c>
      <c r="AM154" s="120" t="n">
        <f aca="false">INDEX($F154:$AG154,1,MATCH(AM$7,$F$7:$AG$7,1))</f>
        <v>0</v>
      </c>
      <c r="AN154" s="120" t="n">
        <f aca="false">INDEX($F154:$AG154,1,MATCH(AN$7,$F$7:$AG$7,1))</f>
        <v>0</v>
      </c>
      <c r="AO154" s="120" t="n">
        <f aca="false">INDEX($F154:$AG154,1,MATCH(AO$7,$F$7:$AG$7,1))</f>
        <v>50.6725</v>
      </c>
    </row>
    <row r="155" customFormat="false" ht="15" hidden="false" customHeight="false" outlineLevel="0" collapsed="false">
      <c r="A155" s="101" t="s">
        <v>1487</v>
      </c>
      <c r="B155" s="18" t="s">
        <v>456</v>
      </c>
      <c r="C155" s="18" t="s">
        <v>336</v>
      </c>
      <c r="D155" s="18"/>
      <c r="F155" s="105" t="n">
        <f aca="false">0</f>
        <v>0</v>
      </c>
      <c r="G155" s="105" t="n">
        <f aca="false">0</f>
        <v>0</v>
      </c>
      <c r="H155" s="105" t="n">
        <f aca="false">0</f>
        <v>0</v>
      </c>
      <c r="I155" s="105" t="n">
        <f aca="false">0</f>
        <v>0</v>
      </c>
      <c r="J155" s="105" t="n">
        <f aca="false">0</f>
        <v>0</v>
      </c>
      <c r="K155" s="105" t="n">
        <f aca="false">0</f>
        <v>0</v>
      </c>
      <c r="L155" s="105" t="n">
        <f aca="false">0</f>
        <v>0</v>
      </c>
      <c r="M155" s="105" t="n">
        <f aca="false">0</f>
        <v>0</v>
      </c>
      <c r="N155" s="105" t="n">
        <f aca="false">0</f>
        <v>0</v>
      </c>
      <c r="O155" s="105" t="n">
        <f aca="false">0</f>
        <v>0</v>
      </c>
      <c r="P155" s="25" t="n">
        <f aca="false">0</f>
        <v>0</v>
      </c>
      <c r="Q155" s="25" t="n">
        <f aca="false">0</f>
        <v>0</v>
      </c>
      <c r="R155" s="25" t="n">
        <f aca="false">0</f>
        <v>0</v>
      </c>
      <c r="S155" s="25" t="n">
        <f aca="false">0</f>
        <v>0</v>
      </c>
      <c r="T155" s="25" t="n">
        <f aca="false">0</f>
        <v>0</v>
      </c>
      <c r="U155" s="25" t="n">
        <f aca="false">0</f>
        <v>0</v>
      </c>
      <c r="V155" s="25" t="n">
        <f aca="false">0</f>
        <v>0</v>
      </c>
      <c r="W155" s="25" t="n">
        <f aca="false">0</f>
        <v>0</v>
      </c>
      <c r="X155" s="25" t="n">
        <f aca="false">0</f>
        <v>0</v>
      </c>
      <c r="Y155" s="25" t="n">
        <f aca="false">0</f>
        <v>0</v>
      </c>
      <c r="Z155" s="25" t="n">
        <f aca="false">0</f>
        <v>0</v>
      </c>
      <c r="AA155" s="25" t="n">
        <f aca="false">0</f>
        <v>0</v>
      </c>
      <c r="AB155" s="25" t="n">
        <f aca="false">0</f>
        <v>0</v>
      </c>
      <c r="AC155" s="25" t="n">
        <f aca="false">0</f>
        <v>0</v>
      </c>
      <c r="AD155" s="25" t="n">
        <f aca="false">0</f>
        <v>0</v>
      </c>
      <c r="AE155" s="25" t="n">
        <f aca="false">0</f>
        <v>0</v>
      </c>
      <c r="AF155" s="25" t="n">
        <f aca="false">0</f>
        <v>0</v>
      </c>
      <c r="AG155" s="25" t="n">
        <f aca="false">0</f>
        <v>0</v>
      </c>
      <c r="AI155" s="25" t="n">
        <f aca="false">INDEX($F155:$AG155,1,MATCH(AI$7,$F$7:$AG$7,1))</f>
        <v>0</v>
      </c>
      <c r="AJ155" s="25" t="n">
        <f aca="false">INDEX($F155:$AG155,1,MATCH(AJ$7,$F$7:$AG$7,1))</f>
        <v>0</v>
      </c>
      <c r="AK155" s="25" t="n">
        <f aca="false">INDEX($F155:$AG155,1,MATCH(AK$7,$F$7:$AG$7,1))</f>
        <v>0</v>
      </c>
      <c r="AL155" s="25" t="n">
        <f aca="false">INDEX($F155:$AG155,1,MATCH(AL$7,$F$7:$AG$7,1))</f>
        <v>0</v>
      </c>
      <c r="AM155" s="25" t="n">
        <f aca="false">INDEX($F155:$AG155,1,MATCH(AM$7,$F$7:$AG$7,1))</f>
        <v>0</v>
      </c>
      <c r="AN155" s="25" t="n">
        <f aca="false">INDEX($F155:$AG155,1,MATCH(AN$7,$F$7:$AG$7,1))</f>
        <v>0</v>
      </c>
      <c r="AO155" s="25" t="n">
        <f aca="false">INDEX($F155:$AG155,1,MATCH(AO$7,$F$7:$AG$7,1))</f>
        <v>0</v>
      </c>
    </row>
    <row r="156" customFormat="false" ht="15" hidden="false" customHeight="false" outlineLevel="0" collapsed="false">
      <c r="A156" s="101" t="s">
        <v>1488</v>
      </c>
      <c r="B156" s="18" t="s">
        <v>456</v>
      </c>
      <c r="C156" s="18" t="s">
        <v>336</v>
      </c>
      <c r="D156" s="18"/>
      <c r="F156" s="105" t="n">
        <f aca="false">(IF(VinCapOn=1,MIN((F36+F41+F46+F51+F56+F61+F66+F71+F76+F81+F86),INDEX(VinEnIT,1,MAX(1,1-IF(1&gt;LastHist,EnLag,0)))),(F36+F41+F46+F51+F56+F61+F66+F71+F76+F81+F86))+F91+F96+F38+F43+F48+F53+F58+F63+F68+F73+F78+F83+F88+F93+F98)*GPUMW_B</f>
        <v>0</v>
      </c>
      <c r="G156" s="105" t="n">
        <f aca="false">(IF(VinCapOn=1,MIN((G36+G41+G46+G51+G56+G61+G66+G71+G76+G81+G86),INDEX(VinEnIT,1,MAX(1,2-IF(2&gt;LastHist,EnLag,0)))),(G36+G41+G46+G51+G56+G61+G66+G71+G76+G81+G86))+G91+G96+G38+G43+G48+G53+G58+G63+G68+G73+G78+G83+G88+G93+G98)*GPUMW_B</f>
        <v>0</v>
      </c>
      <c r="H156" s="105" t="n">
        <f aca="false">(IF(VinCapOn=1,MIN((H36+H41+H46+H51+H56+H61+H66+H71+H76+H81+H86),INDEX(VinEnIT,1,MAX(1,3-IF(3&gt;LastHist,EnLag,0)))),(H36+H41+H46+H51+H56+H61+H66+H71+H76+H81+H86))+H91+H96+H38+H43+H48+H53+H58+H63+H68+H73+H78+H83+H88+H93+H98)*GPUMW_B</f>
        <v>0</v>
      </c>
      <c r="I156" s="105" t="n">
        <f aca="false">(IF(VinCapOn=1,MIN((I36+I41+I46+I51+I56+I61+I66+I71+I76+I81+I86),INDEX(VinEnIT,1,MAX(1,4-IF(4&gt;LastHist,EnLag,0)))),(I36+I41+I46+I51+I56+I61+I66+I71+I76+I81+I86))+I91+I96+I38+I43+I48+I53+I58+I63+I68+I73+I78+I83+I88+I93+I98)*GPUMW_B</f>
        <v>0</v>
      </c>
      <c r="J156" s="105" t="n">
        <f aca="false">(IF(VinCapOn=1,MIN((J36+J41+J46+J51+J56+J61+J66+J71+J76+J81+J86),INDEX(VinEnIT,1,MAX(1,5-IF(5&gt;LastHist,EnLag,0)))),(J36+J41+J46+J51+J56+J61+J66+J71+J76+J81+J86))+J91+J96+J38+J43+J48+J53+J58+J63+J68+J73+J78+J83+J88+J93+J98)*GPUMW_B</f>
        <v>0</v>
      </c>
      <c r="K156" s="105" t="n">
        <f aca="false">(IF(VinCapOn=1,MIN((K36+K41+K46+K51+K56+K61+K66+K71+K76+K81+K86),INDEX(VinEnIT,1,MAX(1,6-IF(6&gt;LastHist,EnLag,0)))),(K36+K41+K46+K51+K56+K61+K66+K71+K76+K81+K86))+K91+K96+K38+K43+K48+K53+K58+K63+K68+K73+K78+K83+K88+K93+K98)*GPUMW_B</f>
        <v>0</v>
      </c>
      <c r="L156" s="105" t="n">
        <f aca="false">(IF(VinCapOn=1,MIN((L36+L41+L46+L51+L56+L61+L66+L71+L76+L81+L86),INDEX(VinEnIT,1,MAX(1,7-IF(7&gt;LastHist,EnLag,0)))),(L36+L41+L46+L51+L56+L61+L66+L71+L76+L81+L86))+L91+L96+L38+L43+L48+L53+L58+L63+L68+L73+L78+L83+L88+L93+L98)*GPUMW_B</f>
        <v>0</v>
      </c>
      <c r="M156" s="105" t="n">
        <f aca="false">(IF(VinCapOn=1,MIN((M36+M41+M46+M51+M56+M61+M66+M71+M76+M81+M86),INDEX(VinEnIT,1,MAX(1,8-IF(8&gt;LastHist,EnLag,0)))),(M36+M41+M46+M51+M56+M61+M66+M71+M76+M81+M86))+M91+M96+M38+M43+M48+M53+M58+M63+M68+M73+M78+M83+M88+M93+M98)*GPUMW_B</f>
        <v>25102.9166666667</v>
      </c>
      <c r="N156" s="105" t="n">
        <f aca="false">(IF(VinCapOn=1,MIN((N36+N41+N46+N51+N56+N61+N66+N71+N76+N81+N86),INDEX(VinEnIT,1,MAX(1,9-IF(9&gt;LastHist,EnLag,0)))),(N36+N41+N46+N51+N56+N61+N66+N71+N76+N81+N86))+N91+N96+N38+N43+N48+N53+N58+N63+N68+N73+N78+N83+N88+N93+N98)*GPUMW_B</f>
        <v>42755.8333333333</v>
      </c>
      <c r="O156" s="105" t="n">
        <f aca="false">(IF(VinCapOn=1,MIN((O36+O41+O46+O51+O56+O61+O66+O71+O76+O81+O86),INDEX(VinEnIT,1,MAX(1,10-IF(10&gt;LastHist,EnLag,0)))),(O36+O41+O46+O51+O56+O61+O66+O71+O76+O81+O86))+O91+O96+O38+O43+O48+O53+O58+O63+O68+O73+O78+O83+O88+O93+O98)*GPUMW_B</f>
        <v>43505.8333333333</v>
      </c>
      <c r="P156" s="25" t="n">
        <f aca="false">(IF(VinCapOn=1,MIN((P36+P41+P46+P51+P56+P61+P66+P71+P76+P81+P86),INDEX(VinEnIT,1,MAX(1,11-IF(11&gt;LastHist,EnLag,0)))),(P36+P41+P46+P51+P56+P61+P66+P71+P76+P81+P86))+P91+P96+P38+P43+P48+P53+P58+P63+P68+P73+P78+P83+P88+P93+P98)*GPUMW_B</f>
        <v>43505.8333333333</v>
      </c>
      <c r="Q156" s="25" t="n">
        <f aca="false">(IF(VinCapOn=1,MIN((Q36+Q41+Q46+Q51+Q56+Q61+Q66+Q71+Q76+Q81+Q86),INDEX(VinEnIT,1,MAX(1,12-IF(12&gt;LastHist,EnLag,0)))),(Q36+Q41+Q46+Q51+Q56+Q61+Q66+Q71+Q76+Q81+Q86))+Q91+Q96+Q38+Q43+Q48+Q53+Q58+Q63+Q68+Q73+Q78+Q83+Q88+Q93+Q98)*GPUMW_B</f>
        <v>57005.8333333333</v>
      </c>
      <c r="R156" s="25" t="n">
        <f aca="false">(IF(VinCapOn=1,MIN((R36+R41+R46+R51+R56+R61+R66+R71+R76+R81+R86),INDEX(VinEnIT,1,MAX(1,13-IF(13&gt;LastHist,EnLag,0)))),(R36+R41+R46+R51+R56+R61+R66+R71+R76+R81+R86))+R91+R96+R38+R43+R48+R53+R58+R63+R68+R73+R78+R83+R88+R93+R98)*GPUMW_B</f>
        <v>64905.8333333333</v>
      </c>
      <c r="S156" s="25" t="n">
        <f aca="false">(IF(VinCapOn=1,MIN((S36+S41+S46+S51+S56+S61+S66+S71+S76+S81+S86),INDEX(VinEnIT,1,MAX(1,14-IF(14&gt;LastHist,EnLag,0)))),(S36+S41+S46+S51+S56+S61+S66+S71+S76+S81+S86))+S91+S96+S38+S43+S48+S53+S58+S63+S68+S73+S78+S83+S88+S93+S98)*GPUMW_B</f>
        <v>83255.8333333333</v>
      </c>
      <c r="T156" s="25" t="n">
        <f aca="false">(IF(VinCapOn=1,MIN((T36+T41+T46+T51+T56+T61+T66+T71+T76+T81+T86),INDEX(VinEnIT,1,MAX(1,15-IF(15&gt;LastHist,EnLag,0)))),(T36+T41+T46+T51+T56+T61+T66+T71+T76+T81+T86))+T91+T96+T38+T43+T48+T53+T58+T63+T68+T73+T78+T83+T88+T93+T98)*GPUMW_B</f>
        <v>108255.833333333</v>
      </c>
      <c r="U156" s="25" t="n">
        <f aca="false">(IF(VinCapOn=1,MIN((U36+U41+U46+U51+U56+U61+U66+U71+U76+U81+U86),INDEX(VinEnIT,1,MAX(1,16-IF(16&gt;LastHist,EnLag,0)))),(U36+U41+U46+U51+U56+U61+U66+U71+U76+U81+U86))+U91+U96+U38+U43+U48+U53+U58+U63+U68+U73+U78+U83+U88+U93+U98)*GPUMW_B</f>
        <v>126505.833333333</v>
      </c>
      <c r="V156" s="25" t="n">
        <f aca="false">(IF(VinCapOn=1,MIN((V36+V41+V46+V51+V56+V61+V66+V71+V76+V81+V86),INDEX(VinEnIT,1,MAX(1,17-IF(17&gt;LastHist,EnLag,0)))),(V36+V41+V46+V51+V56+V61+V66+V71+V76+V81+V86))+V91+V96+V38+V43+V48+V53+V58+V63+V68+V73+V78+V83+V88+V93+V98)*GPUMW_B</f>
        <v>144005.833333333</v>
      </c>
      <c r="W156" s="25" t="n">
        <f aca="false">(IF(VinCapOn=1,MIN((W36+W41+W46+W51+W56+W61+W66+W71+W76+W81+W86),INDEX(VinEnIT,1,MAX(1,18-IF(18&gt;LastHist,EnLag,0)))),(W36+W41+W46+W51+W56+W61+W66+W71+W76+W81+W86))+W91+W96+W38+W43+W48+W53+W58+W63+W68+W73+W78+W83+W88+W93+W98)*GPUMW_B</f>
        <v>144005.833333333</v>
      </c>
      <c r="X156" s="25" t="n">
        <f aca="false">(IF(VinCapOn=1,MIN((X36+X41+X46+X51+X56+X61+X66+X71+X76+X81+X86),INDEX(VinEnIT,1,MAX(1,19-IF(19&gt;LastHist,EnLag,0)))),(X36+X41+X46+X51+X56+X61+X66+X71+X76+X81+X86))+X91+X96+X38+X43+X48+X53+X58+X63+X68+X73+X78+X83+X88+X93+X98)*GPUMW_B</f>
        <v>144005.833333333</v>
      </c>
      <c r="Y156" s="25" t="n">
        <f aca="false">(IF(VinCapOn=1,MIN((Y36+Y41+Y46+Y51+Y56+Y61+Y66+Y71+Y76+Y81+Y86),INDEX(VinEnIT,1,MAX(1,20-IF(20&gt;LastHist,EnLag,0)))),(Y36+Y41+Y46+Y51+Y56+Y61+Y66+Y71+Y76+Y81+Y86))+Y91+Y96+Y38+Y43+Y48+Y53+Y58+Y63+Y68+Y73+Y78+Y83+Y88+Y93+Y98)*GPUMW_B</f>
        <v>144005.833333333</v>
      </c>
      <c r="Z156" s="25" t="n">
        <f aca="false">(IF(VinCapOn=1,MIN((Z36+Z41+Z46+Z51+Z56+Z61+Z66+Z71+Z76+Z81+Z86),INDEX(VinEnIT,1,MAX(1,21-IF(21&gt;LastHist,EnLag,0)))),(Z36+Z41+Z46+Z51+Z56+Z61+Z66+Z71+Z76+Z81+Z86))+Z91+Z96+Z38+Z43+Z48+Z53+Z58+Z63+Z68+Z73+Z78+Z83+Z88+Z93+Z98)*GPUMW_B</f>
        <v>144005.833333333</v>
      </c>
      <c r="AA156" s="25" t="n">
        <f aca="false">(IF(VinCapOn=1,MIN((AA36+AA41+AA46+AA51+AA56+AA61+AA66+AA71+AA76+AA81+AA86),INDEX(VinEnIT,1,MAX(1,22-IF(22&gt;LastHist,EnLag,0)))),(AA36+AA41+AA46+AA51+AA56+AA61+AA66+AA71+AA76+AA81+AA86))+AA91+AA96+AA38+AA43+AA48+AA53+AA58+AA63+AA68+AA73+AA78+AA83+AA88+AA93+AA98)*GPUMW_B</f>
        <v>144005.833333333</v>
      </c>
      <c r="AB156" s="25" t="n">
        <f aca="false">(IF(VinCapOn=1,MIN((AB36+AB41+AB46+AB51+AB56+AB61+AB66+AB71+AB76+AB81+AB86),INDEX(VinEnIT,1,MAX(1,23-IF(23&gt;LastHist,EnLag,0)))),(AB36+AB41+AB46+AB51+AB56+AB61+AB66+AB71+AB76+AB81+AB86))+AB91+AB96+AB38+AB43+AB48+AB53+AB58+AB63+AB68+AB73+AB78+AB83+AB88+AB93+AB98)*GPUMW_B</f>
        <v>144005.833333333</v>
      </c>
      <c r="AC156" s="25" t="n">
        <f aca="false">(IF(VinCapOn=1,MIN((AC36+AC41+AC46+AC51+AC56+AC61+AC66+AC71+AC76+AC81+AC86),INDEX(VinEnIT,1,MAX(1,24-IF(24&gt;LastHist,EnLag,0)))),(AC36+AC41+AC46+AC51+AC56+AC61+AC66+AC71+AC76+AC81+AC86))+AC91+AC96+AC38+AC43+AC48+AC53+AC58+AC63+AC68+AC73+AC78+AC83+AC88+AC93+AC98)*GPUMW_B</f>
        <v>144005.833333333</v>
      </c>
      <c r="AD156" s="25" t="n">
        <f aca="false">(IF(VinCapOn=1,MIN((AD36+AD41+AD46+AD51+AD56+AD61+AD66+AD71+AD76+AD81+AD86),INDEX(VinEnIT,1,MAX(1,25-IF(25&gt;LastHist,EnLag,0)))),(AD36+AD41+AD46+AD51+AD56+AD61+AD66+AD71+AD76+AD81+AD86))+AD91+AD96+AD38+AD43+AD48+AD53+AD58+AD63+AD68+AD73+AD78+AD83+AD88+AD93+AD98)*GPUMW_B</f>
        <v>144005.833333333</v>
      </c>
      <c r="AE156" s="25" t="n">
        <f aca="false">(IF(VinCapOn=1,MIN((AE36+AE41+AE46+AE51+AE56+AE61+AE66+AE71+AE76+AE81+AE86),INDEX(VinEnIT,1,MAX(1,26-IF(26&gt;LastHist,EnLag,0)))),(AE36+AE41+AE46+AE51+AE56+AE61+AE66+AE71+AE76+AE81+AE86))+AE91+AE96+AE38+AE43+AE48+AE53+AE58+AE63+AE68+AE73+AE78+AE83+AE88+AE93+AE98)*GPUMW_B</f>
        <v>144005.833333333</v>
      </c>
      <c r="AF156" s="25" t="n">
        <f aca="false">(IF(VinCapOn=1,MIN((AF36+AF41+AF46+AF51+AF56+AF61+AF66+AF71+AF76+AF81+AF86),INDEX(VinEnIT,1,MAX(1,27-IF(27&gt;LastHist,EnLag,0)))),(AF36+AF41+AF46+AF51+AF56+AF61+AF66+AF71+AF76+AF81+AF86))+AF91+AF96+AF38+AF43+AF48+AF53+AF58+AF63+AF68+AF73+AF78+AF83+AF88+AF93+AF98)*GPUMW_B</f>
        <v>144005.833333333</v>
      </c>
      <c r="AG156" s="25" t="n">
        <f aca="false">(IF(VinCapOn=1,MIN((AG36+AG41+AG46+AG51+AG56+AG61+AG66+AG71+AG76+AG81+AG86),INDEX(VinEnIT,1,MAX(1,28-IF(28&gt;LastHist,EnLag,0)))),(AG36+AG41+AG46+AG51+AG56+AG61+AG66+AG71+AG76+AG81+AG86))+AG91+AG96+AG38+AG43+AG48+AG53+AG58+AG63+AG68+AG73+AG78+AG83+AG88+AG93+AG98)*GPUMW_B</f>
        <v>144005.833333333</v>
      </c>
      <c r="AI156" s="25" t="n">
        <f aca="false">INDEX($F156:$AG156,1,MATCH(AI$7,$F$7:$AG$7,1))</f>
        <v>0</v>
      </c>
      <c r="AJ156" s="25" t="n">
        <f aca="false">INDEX($F156:$AG156,1,MATCH(AJ$7,$F$7:$AG$7,1))</f>
        <v>25102.9166666667</v>
      </c>
      <c r="AK156" s="25" t="n">
        <f aca="false">INDEX($F156:$AG156,1,MATCH(AK$7,$F$7:$AG$7,1))</f>
        <v>57005.8333333333</v>
      </c>
      <c r="AL156" s="25" t="n">
        <f aca="false">INDEX($F156:$AG156,1,MATCH(AL$7,$F$7:$AG$7,1))</f>
        <v>126505.833333333</v>
      </c>
      <c r="AM156" s="25" t="n">
        <f aca="false">INDEX($F156:$AG156,1,MATCH(AM$7,$F$7:$AG$7,1))</f>
        <v>144005.833333333</v>
      </c>
      <c r="AN156" s="25" t="n">
        <f aca="false">INDEX($F156:$AG156,1,MATCH(AN$7,$F$7:$AG$7,1))</f>
        <v>144005.833333333</v>
      </c>
      <c r="AO156" s="25" t="n">
        <f aca="false">INDEX($F156:$AG156,1,MATCH(AO$7,$F$7:$AG$7,1))</f>
        <v>144005.833333333</v>
      </c>
    </row>
    <row r="157" customFormat="false" ht="15" hidden="false" customHeight="false" outlineLevel="0" collapsed="false">
      <c r="A157" s="101" t="s">
        <v>1489</v>
      </c>
      <c r="B157" s="18" t="s">
        <v>456</v>
      </c>
      <c r="C157" s="18" t="s">
        <v>336</v>
      </c>
      <c r="D157" s="18"/>
      <c r="F157" s="105" t="n">
        <f aca="false">(0+F101+F106+F111+F116+F121+F103+F108+F113+F118+F123)*GPUMW_N</f>
        <v>0</v>
      </c>
      <c r="G157" s="105" t="n">
        <f aca="false">(0+G101+G106+G111+G116+G121+G103+G108+G113+G118+G123)*GPUMW_N</f>
        <v>0</v>
      </c>
      <c r="H157" s="105" t="n">
        <f aca="false">(0+H101+H106+H111+H116+H121+H103+H108+H113+H118+H123)*GPUMW_N</f>
        <v>0</v>
      </c>
      <c r="I157" s="105" t="n">
        <f aca="false">(0+I101+I106+I111+I116+I121+I103+I108+I113+I118+I123)*GPUMW_N</f>
        <v>0</v>
      </c>
      <c r="J157" s="105" t="n">
        <f aca="false">(0+J101+J106+J111+J116+J121+J103+J108+J113+J118+J123)*GPUMW_N</f>
        <v>0</v>
      </c>
      <c r="K157" s="105" t="n">
        <f aca="false">(0+K101+K106+K111+K116+K121+K103+K108+K113+K118+K123)*GPUMW_N</f>
        <v>0</v>
      </c>
      <c r="L157" s="105" t="n">
        <f aca="false">(0+L101+L106+L111+L116+L121+L103+L108+L113+L118+L123)*GPUMW_N</f>
        <v>0</v>
      </c>
      <c r="M157" s="105" t="n">
        <f aca="false">(0+M101+M106+M111+M116+M121+M103+M108+M113+M118+M123)*GPUMW_N</f>
        <v>0</v>
      </c>
      <c r="N157" s="105" t="n">
        <f aca="false">(0+N101+N106+N111+N116+N121+N103+N108+N113+N118+N123)*GPUMW_N</f>
        <v>0</v>
      </c>
      <c r="O157" s="105" t="n">
        <f aca="false">(0+O101+O106+O111+O116+O121+O103+O108+O113+O118+O123)*GPUMW_N</f>
        <v>0</v>
      </c>
      <c r="P157" s="25" t="n">
        <f aca="false">(0+P101+P106+P111+P116+P121+P103+P108+P113+P118+P123)*GPUMW_N</f>
        <v>0</v>
      </c>
      <c r="Q157" s="25" t="n">
        <f aca="false">(0+Q101+Q106+Q111+Q116+Q121+Q103+Q108+Q113+Q118+Q123)*GPUMW_N</f>
        <v>0</v>
      </c>
      <c r="R157" s="25" t="n">
        <f aca="false">(0+R101+R106+R111+R116+R121+R103+R108+R113+R118+R123)*GPUMW_N</f>
        <v>0</v>
      </c>
      <c r="S157" s="25" t="n">
        <f aca="false">(0+S101+S106+S111+S116+S121+S103+S108+S113+S118+S123)*GPUMW_N</f>
        <v>0</v>
      </c>
      <c r="T157" s="25" t="n">
        <f aca="false">(0+T101+T106+T111+T116+T121+T103+T108+T113+T118+T123)*GPUMW_N</f>
        <v>17066.6666666667</v>
      </c>
      <c r="U157" s="25" t="n">
        <f aca="false">(0+U101+U106+U111+U116+U121+U103+U108+U113+U118+U123)*GPUMW_N</f>
        <v>34133.3333333333</v>
      </c>
      <c r="V157" s="25" t="n">
        <f aca="false">(0+V101+V106+V111+V116+V121+V103+V108+V113+V118+V123)*GPUMW_N</f>
        <v>34133.3333333333</v>
      </c>
      <c r="W157" s="25" t="n">
        <f aca="false">(0+W101+W106+W111+W116+W121+W103+W108+W113+W118+W123)*GPUMW_N</f>
        <v>34133.3333333333</v>
      </c>
      <c r="X157" s="25" t="n">
        <f aca="false">(0+X101+X106+X111+X116+X121+X103+X108+X113+X118+X123)*GPUMW_N</f>
        <v>34133.3333333333</v>
      </c>
      <c r="Y157" s="25" t="n">
        <f aca="false">(0+Y101+Y106+Y111+Y116+Y121+Y103+Y108+Y113+Y118+Y123)*GPUMW_N</f>
        <v>34133.3333333333</v>
      </c>
      <c r="Z157" s="25" t="n">
        <f aca="false">(0+Z101+Z106+Z111+Z116+Z121+Z103+Z108+Z113+Z118+Z123)*GPUMW_N</f>
        <v>34133.3333333333</v>
      </c>
      <c r="AA157" s="25" t="n">
        <f aca="false">(0+AA101+AA106+AA111+AA116+AA121+AA103+AA108+AA113+AA118+AA123)*GPUMW_N</f>
        <v>34133.3333333333</v>
      </c>
      <c r="AB157" s="25" t="n">
        <f aca="false">(0+AB101+AB106+AB111+AB116+AB121+AB103+AB108+AB113+AB118+AB123)*GPUMW_N</f>
        <v>34133.3333333333</v>
      </c>
      <c r="AC157" s="25" t="n">
        <f aca="false">(0+AC101+AC106+AC111+AC116+AC121+AC103+AC108+AC113+AC118+AC123)*GPUMW_N</f>
        <v>34133.3333333333</v>
      </c>
      <c r="AD157" s="25" t="n">
        <f aca="false">(0+AD101+AD106+AD111+AD116+AD121+AD103+AD108+AD113+AD118+AD123)*GPUMW_N</f>
        <v>34133.3333333333</v>
      </c>
      <c r="AE157" s="25" t="n">
        <f aca="false">(0+AE101+AE106+AE111+AE116+AE121+AE103+AE108+AE113+AE118+AE123)*GPUMW_N</f>
        <v>34133.3333333333</v>
      </c>
      <c r="AF157" s="25" t="n">
        <f aca="false">(0+AF101+AF106+AF111+AF116+AF121+AF103+AF108+AF113+AF118+AF123)*GPUMW_N</f>
        <v>34133.3333333333</v>
      </c>
      <c r="AG157" s="25" t="n">
        <f aca="false">(0+AG101+AG106+AG111+AG116+AG121+AG103+AG108+AG113+AG118+AG123)*GPUMW_N</f>
        <v>34133.3333333333</v>
      </c>
      <c r="AI157" s="25" t="n">
        <f aca="false">INDEX($F157:$AG157,1,MATCH(AI$7,$F$7:$AG$7,1))</f>
        <v>0</v>
      </c>
      <c r="AJ157" s="25" t="n">
        <f aca="false">INDEX($F157:$AG157,1,MATCH(AJ$7,$F$7:$AG$7,1))</f>
        <v>0</v>
      </c>
      <c r="AK157" s="25" t="n">
        <f aca="false">INDEX($F157:$AG157,1,MATCH(AK$7,$F$7:$AG$7,1))</f>
        <v>0</v>
      </c>
      <c r="AL157" s="25" t="n">
        <f aca="false">INDEX($F157:$AG157,1,MATCH(AL$7,$F$7:$AG$7,1))</f>
        <v>34133.3333333333</v>
      </c>
      <c r="AM157" s="25" t="n">
        <f aca="false">INDEX($F157:$AG157,1,MATCH(AM$7,$F$7:$AG$7,1))</f>
        <v>34133.3333333333</v>
      </c>
      <c r="AN157" s="25" t="n">
        <f aca="false">INDEX($F157:$AG157,1,MATCH(AN$7,$F$7:$AG$7,1))</f>
        <v>34133.3333333333</v>
      </c>
      <c r="AO157" s="25" t="n">
        <f aca="false">INDEX($F157:$AG157,1,MATCH(AO$7,$F$7:$AG$7,1))</f>
        <v>34133.3333333333</v>
      </c>
    </row>
    <row r="159" customFormat="false" ht="15" hidden="false" customHeight="false" outlineLevel="0" collapsed="false">
      <c r="A159" s="48" t="s">
        <v>1490</v>
      </c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</row>
    <row r="160" customFormat="false" ht="15" hidden="false" customHeight="false" outlineLevel="0" collapsed="false">
      <c r="A160" s="101" t="s">
        <v>665</v>
      </c>
      <c r="D160" s="18" t="s">
        <v>1491</v>
      </c>
      <c r="E160" s="103" t="n">
        <f aca="false">Cons_Q4</f>
        <v>1450</v>
      </c>
    </row>
    <row r="161" customFormat="false" ht="15" hidden="false" customHeight="false" outlineLevel="0" collapsed="false">
      <c r="A161" s="101" t="s">
        <v>1492</v>
      </c>
      <c r="D161" s="18" t="s">
        <v>348</v>
      </c>
      <c r="E161" s="103" t="n">
        <f aca="false">-Q2GroupRev</f>
        <v>-582.3</v>
      </c>
    </row>
    <row r="162" customFormat="false" ht="15" hidden="false" customHeight="false" outlineLevel="0" collapsed="false">
      <c r="A162" s="3" t="s">
        <v>1493</v>
      </c>
      <c r="D162" s="18"/>
      <c r="E162" s="109" t="n">
        <f aca="false">BR_Cons-Q2GroupRev</f>
        <v>867.7</v>
      </c>
    </row>
    <row r="163" customFormat="false" ht="15" hidden="false" customHeight="false" outlineLevel="0" collapsed="false">
      <c r="A163" s="101" t="s">
        <v>1494</v>
      </c>
      <c r="D163" s="18" t="s">
        <v>1495</v>
      </c>
      <c r="E163" s="103" t="n">
        <f aca="false">MS_Q2RR</f>
        <v>120.729</v>
      </c>
    </row>
    <row r="164" customFormat="false" ht="15" hidden="false" customHeight="false" outlineLevel="0" collapsed="false">
      <c r="A164" s="101" t="s">
        <v>1496</v>
      </c>
      <c r="D164" s="18" t="s">
        <v>1497</v>
      </c>
      <c r="E164" s="103" t="n">
        <f aca="false">INDEX(MS_Rev,1,12)</f>
        <v>278.331694010417</v>
      </c>
    </row>
    <row r="165" customFormat="false" ht="15" hidden="false" customHeight="false" outlineLevel="0" collapsed="false">
      <c r="A165" s="101" t="s">
        <v>1498</v>
      </c>
      <c r="D165" s="18"/>
      <c r="E165" s="103" t="n">
        <f aca="false">BR_MSQ4-BR_MSQ2</f>
        <v>157.602694010417</v>
      </c>
    </row>
    <row r="166" customFormat="false" ht="15" hidden="false" customHeight="false" outlineLevel="0" collapsed="false">
      <c r="A166" s="101" t="s">
        <v>1499</v>
      </c>
      <c r="D166" s="18"/>
      <c r="E166" s="103" t="n">
        <f aca="false">IF(TopCust=1,0.24,0.21)*574.9</f>
        <v>137.976</v>
      </c>
    </row>
    <row r="167" customFormat="false" ht="15" hidden="false" customHeight="false" outlineLevel="0" collapsed="false">
      <c r="A167" s="101" t="s">
        <v>1500</v>
      </c>
      <c r="D167" s="18"/>
      <c r="E167" s="103" t="n">
        <f aca="false">Meta1Q-BR_MetaQ2</f>
        <v>6.059</v>
      </c>
    </row>
    <row r="168" customFormat="false" ht="15" hidden="false" customHeight="false" outlineLevel="0" collapsed="false">
      <c r="A168" s="101" t="s">
        <v>1501</v>
      </c>
      <c r="D168" s="18" t="s">
        <v>1502</v>
      </c>
      <c r="E168" s="103" t="n">
        <f aca="false">PxLine_Lo</f>
        <v>40</v>
      </c>
    </row>
    <row r="169" customFormat="false" ht="15" hidden="false" customHeight="false" outlineLevel="0" collapsed="false">
      <c r="A169" s="101" t="s">
        <v>1503</v>
      </c>
      <c r="D169" s="18"/>
      <c r="E169" s="103" t="n">
        <f aca="false">PxLine_Hi</f>
        <v>125</v>
      </c>
    </row>
    <row r="170" customFormat="false" ht="15" hidden="false" customHeight="false" outlineLevel="0" collapsed="false">
      <c r="A170" s="3" t="s">
        <v>1504</v>
      </c>
      <c r="D170" s="18"/>
      <c r="E170" s="109" t="n">
        <f aca="false">BR_Gap-BR_MSInc-BR_MetaInc-BR_PxHi</f>
        <v>579.038305989583</v>
      </c>
    </row>
    <row r="171" customFormat="false" ht="15" hidden="false" customHeight="false" outlineLevel="0" collapsed="false">
      <c r="A171" s="3" t="s">
        <v>1505</v>
      </c>
      <c r="D171" s="18"/>
      <c r="E171" s="109" t="n">
        <f aca="false">BR_Gap-BR_MSInc-BR_MetaInc-BR_PxLo</f>
        <v>664.038305989583</v>
      </c>
    </row>
    <row r="172" customFormat="false" ht="15" hidden="false" customHeight="false" outlineLevel="0" collapsed="false">
      <c r="A172" s="101" t="s">
        <v>1506</v>
      </c>
      <c r="D172" s="18"/>
      <c r="E172" s="25" t="n">
        <f aca="false">BR_ResLo/(NewDealHi/4)</f>
        <v>92.6461289583333</v>
      </c>
    </row>
    <row r="173" customFormat="false" ht="15" hidden="false" customHeight="false" outlineLevel="0" collapsed="false">
      <c r="A173" s="101" t="s">
        <v>1507</v>
      </c>
      <c r="D173" s="18"/>
      <c r="E173" s="25" t="n">
        <f aca="false">BR_ResHi/(NewDealLo/4)</f>
        <v>132.807661197917</v>
      </c>
    </row>
    <row r="174" customFormat="false" ht="15" hidden="false" customHeight="false" outlineLevel="0" collapsed="false">
      <c r="A174" s="101" t="s">
        <v>1508</v>
      </c>
      <c r="D174" s="18"/>
      <c r="E174" s="25" t="n">
        <f aca="false">BR_ResHi/(BaseRateMW/4)</f>
        <v>221.346101996528</v>
      </c>
    </row>
    <row r="175" customFormat="false" ht="15" hidden="false" customHeight="false" outlineLevel="0" collapsed="false">
      <c r="A175" s="101" t="s">
        <v>1509</v>
      </c>
      <c r="D175" s="18"/>
      <c r="E175" s="34" t="str">
        <f aca="false">IF(AND(BR_MW25&lt;=UnseenChkHi,BR_MW20&gt;=UnseenChkLo),"OK - overlaps 83-200 MW","CHECK")</f>
        <v>OK - overlaps 83-200 MW</v>
      </c>
    </row>
    <row r="176" customFormat="false" ht="15" hidden="false" customHeight="false" outlineLevel="0" collapsed="false">
      <c r="A176" s="101" t="s">
        <v>1510</v>
      </c>
      <c r="D176" s="18"/>
      <c r="E176" s="103" t="n">
        <f aca="false">INDEX(PL_Rev,1,12)</f>
        <v>788.424963351483</v>
      </c>
    </row>
    <row r="177" customFormat="false" ht="15" hidden="false" customHeight="false" outlineLevel="0" collapsed="false">
      <c r="A177" s="101" t="s">
        <v>1511</v>
      </c>
      <c r="D177" s="18"/>
      <c r="E177" s="103" t="n">
        <f aca="false">BR_Model-BR_Cons</f>
        <v>-661.575036648517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1512</v>
      </c>
    </row>
    <row r="2" customFormat="false" ht="15" hidden="false" customHeight="false" outlineLevel="0" collapsed="false">
      <c r="A2" s="18" t="s">
        <v>1513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1514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101" t="s">
        <v>1515</v>
      </c>
      <c r="B11" s="18" t="s">
        <v>415</v>
      </c>
      <c r="C11" s="18" t="s">
        <v>1041</v>
      </c>
      <c r="D11" s="18"/>
      <c r="E11" s="25" t="n">
        <f aca="false">INDEX(MW_Act,1,1)</f>
        <v>25</v>
      </c>
      <c r="F11" s="105" t="n">
        <f aca="false">INDEX(MW_Act,1,1)</f>
        <v>25</v>
      </c>
      <c r="G11" s="105" t="n">
        <f aca="false">INDEX(MW_Act,1,2)</f>
        <v>25</v>
      </c>
      <c r="H11" s="105" t="n">
        <f aca="false">INDEX(MW_Act,1,3)</f>
        <v>25</v>
      </c>
      <c r="I11" s="105" t="n">
        <f aca="false">INDEX(MW_Act,1,4)</f>
        <v>30</v>
      </c>
      <c r="J11" s="105" t="n">
        <f aca="false">INDEX(MW_Act,1,5)</f>
        <v>40</v>
      </c>
      <c r="K11" s="105" t="n">
        <f aca="false">INDEX(MW_Act,1,6)</f>
        <v>45</v>
      </c>
      <c r="L11" s="105" t="n">
        <f aca="false">INDEX(MW_Act,1,7)</f>
        <v>62.5</v>
      </c>
      <c r="M11" s="105" t="n">
        <f aca="false">INDEX(MW_Act,1,8)</f>
        <v>147.7</v>
      </c>
      <c r="N11" s="105" t="n">
        <f aca="false">INDEX(MW_Act,1,9)</f>
        <v>171.5</v>
      </c>
      <c r="O11" s="105" t="n">
        <f aca="false">INDEX(MW_Act,1,10)</f>
        <v>173</v>
      </c>
      <c r="P11" s="25" t="n">
        <f aca="false">INDEX(MW_Act,1,11)</f>
        <v>173</v>
      </c>
      <c r="Q11" s="25" t="n">
        <f aca="false">INDEX(MW_Act,1,12)</f>
        <v>207.5</v>
      </c>
      <c r="R11" s="25" t="n">
        <f aca="false">INDEX(MW_Act,1,13)</f>
        <v>292.4</v>
      </c>
      <c r="S11" s="25" t="n">
        <f aca="false">INDEX(MW_Act,1,14)</f>
        <v>416.4</v>
      </c>
      <c r="T11" s="25" t="n">
        <f aca="false">INDEX(MW_Act,1,15)</f>
        <v>545.1</v>
      </c>
      <c r="U11" s="25" t="n">
        <f aca="false">INDEX(MW_Act,1,16)</f>
        <v>684.5</v>
      </c>
      <c r="V11" s="25" t="n">
        <f aca="false">INDEX(MW_Act,1,17)</f>
        <v>950</v>
      </c>
      <c r="W11" s="25" t="n">
        <f aca="false">INDEX(MW_Act,1,18)</f>
        <v>1042.5</v>
      </c>
      <c r="X11" s="25" t="n">
        <f aca="false">INDEX(MW_Act,1,19)</f>
        <v>1198.5</v>
      </c>
      <c r="Y11" s="25" t="n">
        <f aca="false">INDEX(MW_Act,1,20)</f>
        <v>1211</v>
      </c>
      <c r="Z11" s="25" t="n">
        <f aca="false">INDEX(MW_Act,1,21)</f>
        <v>1539</v>
      </c>
      <c r="AA11" s="25" t="n">
        <f aca="false">INDEX(MW_Act,1,22)</f>
        <v>1539</v>
      </c>
      <c r="AB11" s="25" t="n">
        <f aca="false">INDEX(MW_Act,1,23)</f>
        <v>1875</v>
      </c>
      <c r="AC11" s="25" t="n">
        <f aca="false">INDEX(MW_Act,1,24)</f>
        <v>1875</v>
      </c>
      <c r="AD11" s="25" t="n">
        <f aca="false">INDEX(MW_Act,1,25)</f>
        <v>2343</v>
      </c>
      <c r="AE11" s="25" t="n">
        <f aca="false">INDEX(MW_Act,1,26)</f>
        <v>2343</v>
      </c>
      <c r="AF11" s="25" t="n">
        <f aca="false">INDEX(MW_Act,1,27)</f>
        <v>2343</v>
      </c>
      <c r="AG11" s="25" t="n">
        <f aca="false">INDEX(MW_Act,1,28)</f>
        <v>2343</v>
      </c>
      <c r="AI11" s="25" t="n">
        <f aca="false">INDEX($F11:$AG11,1,MATCH(AI$7,$F$7:$AG$7,1))</f>
        <v>30</v>
      </c>
      <c r="AJ11" s="25" t="n">
        <f aca="false">INDEX($F11:$AG11,1,MATCH(AJ$7,$F$7:$AG$7,1))</f>
        <v>147.7</v>
      </c>
      <c r="AK11" s="25" t="n">
        <f aca="false">INDEX($F11:$AG11,1,MATCH(AK$7,$F$7:$AG$7,1))</f>
        <v>207.5</v>
      </c>
      <c r="AL11" s="25" t="n">
        <f aca="false">INDEX($F11:$AG11,1,MATCH(AL$7,$F$7:$AG$7,1))</f>
        <v>684.5</v>
      </c>
      <c r="AM11" s="25" t="n">
        <f aca="false">INDEX($F11:$AG11,1,MATCH(AM$7,$F$7:$AG$7,1))</f>
        <v>1211</v>
      </c>
      <c r="AN11" s="25" t="n">
        <f aca="false">INDEX($F11:$AG11,1,MATCH(AN$7,$F$7:$AG$7,1))</f>
        <v>1875</v>
      </c>
      <c r="AO11" s="25" t="n">
        <f aca="false">INDEX($F11:$AG11,1,MATCH(AO$7,$F$7:$AG$7,1))</f>
        <v>2343</v>
      </c>
    </row>
    <row r="12" customFormat="false" ht="15" hidden="false" customHeight="false" outlineLevel="0" collapsed="false">
      <c r="A12" s="101" t="s">
        <v>1516</v>
      </c>
      <c r="B12" s="18" t="s">
        <v>415</v>
      </c>
      <c r="C12" s="18" t="s">
        <v>336</v>
      </c>
      <c r="D12" s="18"/>
      <c r="F12" s="105" t="n">
        <f aca="false">AVERAGE(E11,F11)</f>
        <v>25</v>
      </c>
      <c r="G12" s="105" t="n">
        <f aca="false">AVERAGE(F11,G11)</f>
        <v>25</v>
      </c>
      <c r="H12" s="105" t="n">
        <f aca="false">AVERAGE(G11,H11)</f>
        <v>25</v>
      </c>
      <c r="I12" s="105" t="n">
        <f aca="false">AVERAGE(H11,I11)</f>
        <v>27.5</v>
      </c>
      <c r="J12" s="105" t="n">
        <f aca="false">AVERAGE(I11,J11)</f>
        <v>35</v>
      </c>
      <c r="K12" s="105" t="n">
        <f aca="false">AVERAGE(J11,K11)</f>
        <v>42.5</v>
      </c>
      <c r="L12" s="105" t="n">
        <f aca="false">AVERAGE(K11,L11)</f>
        <v>53.75</v>
      </c>
      <c r="M12" s="105" t="n">
        <f aca="false">AVERAGE(L11,M11)</f>
        <v>105.1</v>
      </c>
      <c r="N12" s="105" t="n">
        <f aca="false">AVERAGE(M11,N11)</f>
        <v>159.6</v>
      </c>
      <c r="O12" s="105" t="n">
        <f aca="false">AVERAGE(N11,O11)</f>
        <v>172.25</v>
      </c>
      <c r="P12" s="25" t="n">
        <f aca="false">AVERAGE(O11,P11)</f>
        <v>173</v>
      </c>
      <c r="Q12" s="25" t="n">
        <f aca="false">AVERAGE(P11,Q11)</f>
        <v>190.25</v>
      </c>
      <c r="R12" s="25" t="n">
        <f aca="false">AVERAGE(Q11,R11)</f>
        <v>249.95</v>
      </c>
      <c r="S12" s="25" t="n">
        <f aca="false">AVERAGE(R11,S11)</f>
        <v>354.4</v>
      </c>
      <c r="T12" s="25" t="n">
        <f aca="false">AVERAGE(S11,T11)</f>
        <v>480.75</v>
      </c>
      <c r="U12" s="25" t="n">
        <f aca="false">AVERAGE(T11,U11)</f>
        <v>614.8</v>
      </c>
      <c r="V12" s="25" t="n">
        <f aca="false">AVERAGE(U11,V11)</f>
        <v>817.25</v>
      </c>
      <c r="W12" s="25" t="n">
        <f aca="false">AVERAGE(V11,W11)</f>
        <v>996.25</v>
      </c>
      <c r="X12" s="25" t="n">
        <f aca="false">AVERAGE(W11,X11)</f>
        <v>1120.5</v>
      </c>
      <c r="Y12" s="25" t="n">
        <f aca="false">AVERAGE(X11,Y11)</f>
        <v>1204.75</v>
      </c>
      <c r="Z12" s="25" t="n">
        <f aca="false">AVERAGE(Y11,Z11)</f>
        <v>1375</v>
      </c>
      <c r="AA12" s="25" t="n">
        <f aca="false">AVERAGE(Z11,AA11)</f>
        <v>1539</v>
      </c>
      <c r="AB12" s="25" t="n">
        <f aca="false">AVERAGE(AA11,AB11)</f>
        <v>1707</v>
      </c>
      <c r="AC12" s="25" t="n">
        <f aca="false">AVERAGE(AB11,AC11)</f>
        <v>1875</v>
      </c>
      <c r="AD12" s="25" t="n">
        <f aca="false">AVERAGE(AC11,AD11)</f>
        <v>2109</v>
      </c>
      <c r="AE12" s="25" t="n">
        <f aca="false">AVERAGE(AD11,AE11)</f>
        <v>2343</v>
      </c>
      <c r="AF12" s="25" t="n">
        <f aca="false">AVERAGE(AE11,AF11)</f>
        <v>2343</v>
      </c>
      <c r="AG12" s="25" t="n">
        <f aca="false">AVERAGE(AF11,AG11)</f>
        <v>2343</v>
      </c>
      <c r="AI12" s="25" t="n">
        <f aca="false">AVERAGEIF($F$7:$AG$7,AI$7,$F12:$AG12)</f>
        <v>25.625</v>
      </c>
      <c r="AJ12" s="25" t="n">
        <f aca="false">AVERAGEIF($F$7:$AG$7,AJ$7,$F12:$AG12)</f>
        <v>59.0875</v>
      </c>
      <c r="AK12" s="25" t="n">
        <f aca="false">AVERAGEIF($F$7:$AG$7,AK$7,$F12:$AG12)</f>
        <v>173.775</v>
      </c>
      <c r="AL12" s="25" t="n">
        <f aca="false">AVERAGEIF($F$7:$AG$7,AL$7,$F12:$AG12)</f>
        <v>424.975</v>
      </c>
      <c r="AM12" s="25" t="n">
        <f aca="false">AVERAGEIF($F$7:$AG$7,AM$7,$F12:$AG12)</f>
        <v>1034.6875</v>
      </c>
      <c r="AN12" s="25" t="n">
        <f aca="false">AVERAGEIF($F$7:$AG$7,AN$7,$F12:$AG12)</f>
        <v>1624</v>
      </c>
      <c r="AO12" s="25" t="n">
        <f aca="false">AVERAGEIF($F$7:$AG$7,AO$7,$F12:$AG12)</f>
        <v>2284.5</v>
      </c>
    </row>
    <row r="13" customFormat="false" ht="15" hidden="false" customHeight="false" outlineLevel="0" collapsed="false">
      <c r="A13" s="101" t="s">
        <v>1517</v>
      </c>
      <c r="B13" s="18" t="s">
        <v>415</v>
      </c>
      <c r="C13" s="18" t="s">
        <v>336</v>
      </c>
      <c r="D13" s="18"/>
      <c r="F13" s="105" t="n">
        <f aca="false">MAX(0,F11-E11)</f>
        <v>0</v>
      </c>
      <c r="G13" s="105" t="n">
        <f aca="false">MAX(0,G11-F11)</f>
        <v>0</v>
      </c>
      <c r="H13" s="105" t="n">
        <f aca="false">MAX(0,H11-G11)</f>
        <v>0</v>
      </c>
      <c r="I13" s="105" t="n">
        <f aca="false">MAX(0,I11-H11)</f>
        <v>5</v>
      </c>
      <c r="J13" s="105" t="n">
        <f aca="false">MAX(0,J11-I11)</f>
        <v>10</v>
      </c>
      <c r="K13" s="105" t="n">
        <f aca="false">MAX(0,K11-J11)</f>
        <v>5</v>
      </c>
      <c r="L13" s="105" t="n">
        <f aca="false">MAX(0,L11-K11)</f>
        <v>17.5</v>
      </c>
      <c r="M13" s="105" t="n">
        <f aca="false">MAX(0,M11-L11)</f>
        <v>85.2</v>
      </c>
      <c r="N13" s="105" t="n">
        <f aca="false">MAX(0,N11-M11)</f>
        <v>23.8</v>
      </c>
      <c r="O13" s="105" t="n">
        <f aca="false">MAX(0,O11-N11)</f>
        <v>1.5</v>
      </c>
      <c r="P13" s="25" t="n">
        <f aca="false">MAX(0,P11-O11)</f>
        <v>0</v>
      </c>
      <c r="Q13" s="25" t="n">
        <f aca="false">MAX(0,Q11-P11)</f>
        <v>34.5</v>
      </c>
      <c r="R13" s="25" t="n">
        <f aca="false">MAX(0,R11-Q11)</f>
        <v>84.9</v>
      </c>
      <c r="S13" s="25" t="n">
        <f aca="false">MAX(0,S11-R11)</f>
        <v>124</v>
      </c>
      <c r="T13" s="25" t="n">
        <f aca="false">MAX(0,T11-S11)</f>
        <v>128.7</v>
      </c>
      <c r="U13" s="25" t="n">
        <f aca="false">MAX(0,U11-T11)</f>
        <v>139.4</v>
      </c>
      <c r="V13" s="25" t="n">
        <f aca="false">MAX(0,V11-U11)</f>
        <v>265.5</v>
      </c>
      <c r="W13" s="25" t="n">
        <f aca="false">MAX(0,W11-V11)</f>
        <v>92.5</v>
      </c>
      <c r="X13" s="25" t="n">
        <f aca="false">MAX(0,X11-W11)</f>
        <v>156</v>
      </c>
      <c r="Y13" s="25" t="n">
        <f aca="false">MAX(0,Y11-X11)</f>
        <v>12.5</v>
      </c>
      <c r="Z13" s="25" t="n">
        <f aca="false">MAX(0,Z11-Y11)</f>
        <v>328</v>
      </c>
      <c r="AA13" s="25" t="n">
        <f aca="false">MAX(0,AA11-Z11)</f>
        <v>0</v>
      </c>
      <c r="AB13" s="25" t="n">
        <f aca="false">MAX(0,AB11-AA11)</f>
        <v>336</v>
      </c>
      <c r="AC13" s="25" t="n">
        <f aca="false">MAX(0,AC11-AB11)</f>
        <v>0</v>
      </c>
      <c r="AD13" s="25" t="n">
        <f aca="false">MAX(0,AD11-AC11)</f>
        <v>468</v>
      </c>
      <c r="AE13" s="25" t="n">
        <f aca="false">MAX(0,AE11-AD11)</f>
        <v>0</v>
      </c>
      <c r="AF13" s="25" t="n">
        <f aca="false">MAX(0,AF11-AE11)</f>
        <v>0</v>
      </c>
      <c r="AG13" s="25" t="n">
        <f aca="false">MAX(0,AG11-AF11)</f>
        <v>0</v>
      </c>
      <c r="AI13" s="25" t="n">
        <f aca="false">SUMIF($F$7:$AG$7,AI$7,$F13:$AG13)</f>
        <v>5</v>
      </c>
      <c r="AJ13" s="25" t="n">
        <f aca="false">SUMIF($F$7:$AG$7,AJ$7,$F13:$AG13)</f>
        <v>117.7</v>
      </c>
      <c r="AK13" s="25" t="n">
        <f aca="false">SUMIF($F$7:$AG$7,AK$7,$F13:$AG13)</f>
        <v>59.8</v>
      </c>
      <c r="AL13" s="25" t="n">
        <f aca="false">SUMIF($F$7:$AG$7,AL$7,$F13:$AG13)</f>
        <v>477</v>
      </c>
      <c r="AM13" s="25" t="n">
        <f aca="false">SUMIF($F$7:$AG$7,AM$7,$F13:$AG13)</f>
        <v>526.5</v>
      </c>
      <c r="AN13" s="25" t="n">
        <f aca="false">SUMIF($F$7:$AG$7,AN$7,$F13:$AG13)</f>
        <v>664</v>
      </c>
      <c r="AO13" s="25" t="n">
        <f aca="false">SUMIF($F$7:$AG$7,AO$7,$F13:$AG13)</f>
        <v>468</v>
      </c>
    </row>
    <row r="14" customFormat="false" ht="15" hidden="false" customHeight="false" outlineLevel="0" collapsed="false">
      <c r="A14" s="101" t="s">
        <v>1518</v>
      </c>
      <c r="B14" s="18" t="s">
        <v>456</v>
      </c>
      <c r="C14" s="18" t="s">
        <v>336</v>
      </c>
      <c r="D14" s="18" t="s">
        <v>1519</v>
      </c>
      <c r="F14" s="105" t="n">
        <f aca="false">MAX(0,F17-E17)</f>
        <v>0</v>
      </c>
      <c r="G14" s="105" t="n">
        <f aca="false">MAX(0,G17-F17)</f>
        <v>0</v>
      </c>
      <c r="H14" s="105" t="n">
        <f aca="false">MAX(0,H17-G17)</f>
        <v>0</v>
      </c>
      <c r="I14" s="105" t="n">
        <f aca="false">MAX(0,I17-H17)</f>
        <v>2743</v>
      </c>
      <c r="J14" s="105" t="n">
        <f aca="false">MAX(0,J17-I17)</f>
        <v>13544</v>
      </c>
      <c r="K14" s="105" t="n">
        <f aca="false">MAX(0,K17-J17)</f>
        <v>2743</v>
      </c>
      <c r="L14" s="105" t="n">
        <f aca="false">MAX(0,L17-K17)</f>
        <v>0</v>
      </c>
      <c r="M14" s="105" t="n">
        <f aca="false">MAX(0,M17-L17)</f>
        <v>0</v>
      </c>
      <c r="N14" s="105" t="n">
        <f aca="false">MAX(0,N17-M17)</f>
        <v>0</v>
      </c>
      <c r="O14" s="105" t="n">
        <f aca="false">MAX(0,O17-N17)</f>
        <v>0</v>
      </c>
      <c r="P14" s="25" t="n">
        <f aca="false">MAX(0,P17-O17)</f>
        <v>0</v>
      </c>
      <c r="Q14" s="25" t="n">
        <f aca="false">MAX(0,Q17-P17)</f>
        <v>0</v>
      </c>
      <c r="R14" s="25" t="n">
        <f aca="false">MAX(0,R17-Q17)</f>
        <v>0</v>
      </c>
      <c r="S14" s="25" t="n">
        <f aca="false">MAX(0,S17-R17)</f>
        <v>0</v>
      </c>
      <c r="T14" s="25" t="n">
        <f aca="false">MAX(0,T17-S17)</f>
        <v>0</v>
      </c>
      <c r="U14" s="25" t="n">
        <f aca="false">MAX(0,U17-T17)</f>
        <v>0</v>
      </c>
      <c r="V14" s="25" t="n">
        <f aca="false">MAX(0,V17-U17)</f>
        <v>0</v>
      </c>
      <c r="W14" s="25" t="n">
        <f aca="false">MAX(0,W17-V17)</f>
        <v>0</v>
      </c>
      <c r="X14" s="25" t="n">
        <f aca="false">MAX(0,X17-W17)</f>
        <v>0</v>
      </c>
      <c r="Y14" s="25" t="n">
        <f aca="false">MAX(0,Y17-X17)</f>
        <v>0</v>
      </c>
      <c r="Z14" s="25" t="n">
        <f aca="false">MAX(0,Z17-Y17)</f>
        <v>0</v>
      </c>
      <c r="AA14" s="25" t="n">
        <f aca="false">MAX(0,AA17-Z17)</f>
        <v>0</v>
      </c>
      <c r="AB14" s="25" t="n">
        <f aca="false">MAX(0,AB17-AA17)</f>
        <v>0</v>
      </c>
      <c r="AC14" s="25" t="n">
        <f aca="false">MAX(0,AC17-AB17)</f>
        <v>0</v>
      </c>
      <c r="AD14" s="25" t="n">
        <f aca="false">MAX(0,AD17-AC17)</f>
        <v>0</v>
      </c>
      <c r="AE14" s="25" t="n">
        <f aca="false">MAX(0,AE17-AD17)</f>
        <v>0</v>
      </c>
      <c r="AF14" s="25" t="n">
        <f aca="false">MAX(0,AF17-AE17)</f>
        <v>0</v>
      </c>
      <c r="AG14" s="25" t="n">
        <f aca="false">MAX(0,AG17-AF17)</f>
        <v>0</v>
      </c>
      <c r="AI14" s="25" t="n">
        <f aca="false">SUMIF($F$7:$AG$7,AI$7,$F14:$AG14)</f>
        <v>2743</v>
      </c>
      <c r="AJ14" s="25" t="n">
        <f aca="false">SUMIF($F$7:$AG$7,AJ$7,$F14:$AG14)</f>
        <v>16287</v>
      </c>
      <c r="AK14" s="25" t="n">
        <f aca="false">SUMIF($F$7:$AG$7,AK$7,$F14:$AG14)</f>
        <v>0</v>
      </c>
      <c r="AL14" s="25" t="n">
        <f aca="false">SUMIF($F$7:$AG$7,AL$7,$F14:$AG14)</f>
        <v>0</v>
      </c>
      <c r="AM14" s="25" t="n">
        <f aca="false">SUMIF($F$7:$AG$7,AM$7,$F14:$AG14)</f>
        <v>0</v>
      </c>
      <c r="AN14" s="25" t="n">
        <f aca="false">SUMIF($F$7:$AG$7,AN$7,$F14:$AG14)</f>
        <v>0</v>
      </c>
      <c r="AO14" s="25" t="n">
        <f aca="false">SUMIF($F$7:$AG$7,AO$7,$F14:$AG14)</f>
        <v>0</v>
      </c>
    </row>
    <row r="15" customFormat="false" ht="15" hidden="false" customHeight="false" outlineLevel="0" collapsed="false">
      <c r="A15" s="101" t="s">
        <v>1520</v>
      </c>
      <c r="B15" s="18" t="s">
        <v>456</v>
      </c>
      <c r="C15" s="18" t="s">
        <v>336</v>
      </c>
      <c r="D15" s="18" t="s">
        <v>1519</v>
      </c>
      <c r="F15" s="105" t="n">
        <f aca="false">MAX(0,F18-E18)</f>
        <v>0</v>
      </c>
      <c r="G15" s="105" t="n">
        <f aca="false">MAX(0,G18-F18)</f>
        <v>0</v>
      </c>
      <c r="H15" s="105" t="n">
        <f aca="false">MAX(0,H18-G18)</f>
        <v>0</v>
      </c>
      <c r="I15" s="105" t="n">
        <f aca="false">MAX(0,I18-H18)</f>
        <v>0</v>
      </c>
      <c r="J15" s="105" t="n">
        <f aca="false">MAX(0,J18-I18)</f>
        <v>0</v>
      </c>
      <c r="K15" s="105" t="n">
        <f aca="false">MAX(0,K18-J18)</f>
        <v>0</v>
      </c>
      <c r="L15" s="105" t="n">
        <f aca="false">MAX(0,L18-K18)</f>
        <v>7072</v>
      </c>
      <c r="M15" s="105" t="n">
        <f aca="false">MAX(0,M18-L18)</f>
        <v>37255</v>
      </c>
      <c r="N15" s="105" t="n">
        <f aca="false">MAX(0,N18-M18)</f>
        <v>10668</v>
      </c>
      <c r="O15" s="105" t="n">
        <f aca="false">MAX(0,O18-N18)</f>
        <v>737</v>
      </c>
      <c r="P15" s="25" t="n">
        <f aca="false">MAX(0,P18-O18)</f>
        <v>0</v>
      </c>
      <c r="Q15" s="25" t="n">
        <f aca="false">MAX(0,Q18-P18)</f>
        <v>16156</v>
      </c>
      <c r="R15" s="25" t="n">
        <f aca="false">MAX(0,R18-Q18)</f>
        <v>40767</v>
      </c>
      <c r="S15" s="25" t="n">
        <f aca="false">MAX(0,S18-R18)</f>
        <v>54874.0000000001</v>
      </c>
      <c r="T15" s="25" t="n">
        <f aca="false">MAX(0,T18-S18)</f>
        <v>51984</v>
      </c>
      <c r="U15" s="25" t="n">
        <f aca="false">MAX(0,U18-T18)</f>
        <v>25212</v>
      </c>
      <c r="V15" s="25" t="n">
        <f aca="false">MAX(0,V18-U18)</f>
        <v>45662</v>
      </c>
      <c r="W15" s="25" t="n">
        <f aca="false">MAX(0,W18-V18)</f>
        <v>0</v>
      </c>
      <c r="X15" s="25" t="n">
        <f aca="false">MAX(0,X18-W18)</f>
        <v>0</v>
      </c>
      <c r="Y15" s="25" t="n">
        <f aca="false">MAX(0,Y18-X18)</f>
        <v>0</v>
      </c>
      <c r="Z15" s="25" t="n">
        <f aca="false">MAX(0,Z18-Y18)</f>
        <v>24558</v>
      </c>
      <c r="AA15" s="25" t="n">
        <f aca="false">MAX(0,AA18-Z18)</f>
        <v>0</v>
      </c>
      <c r="AB15" s="25" t="n">
        <f aca="false">MAX(0,AB18-AA18)</f>
        <v>0</v>
      </c>
      <c r="AC15" s="25" t="n">
        <f aca="false">MAX(0,AC18-AB18)</f>
        <v>0</v>
      </c>
      <c r="AD15" s="25" t="n">
        <f aca="false">MAX(0,AD18-AC18)</f>
        <v>0</v>
      </c>
      <c r="AE15" s="25" t="n">
        <f aca="false">MAX(0,AE18-AD18)</f>
        <v>0</v>
      </c>
      <c r="AF15" s="25" t="n">
        <f aca="false">MAX(0,AF18-AE18)</f>
        <v>0</v>
      </c>
      <c r="AG15" s="25" t="n">
        <f aca="false">MAX(0,AG18-AF18)</f>
        <v>0</v>
      </c>
      <c r="AI15" s="25" t="n">
        <f aca="false">SUMIF($F$7:$AG$7,AI$7,$F15:$AG15)</f>
        <v>0</v>
      </c>
      <c r="AJ15" s="25" t="n">
        <f aca="false">SUMIF($F$7:$AG$7,AJ$7,$F15:$AG15)</f>
        <v>44327</v>
      </c>
      <c r="AK15" s="25" t="n">
        <f aca="false">SUMIF($F$7:$AG$7,AK$7,$F15:$AG15)</f>
        <v>27561</v>
      </c>
      <c r="AL15" s="25" t="n">
        <f aca="false">SUMIF($F$7:$AG$7,AL$7,$F15:$AG15)</f>
        <v>172837</v>
      </c>
      <c r="AM15" s="25" t="n">
        <f aca="false">SUMIF($F$7:$AG$7,AM$7,$F15:$AG15)</f>
        <v>45662</v>
      </c>
      <c r="AN15" s="25" t="n">
        <f aca="false">SUMIF($F$7:$AG$7,AN$7,$F15:$AG15)</f>
        <v>24558</v>
      </c>
      <c r="AO15" s="25" t="n">
        <f aca="false">SUMIF($F$7:$AG$7,AO$7,$F15:$AG15)</f>
        <v>0</v>
      </c>
    </row>
    <row r="16" customFormat="false" ht="15" hidden="false" customHeight="false" outlineLevel="0" collapsed="false">
      <c r="A16" s="101" t="s">
        <v>1521</v>
      </c>
      <c r="B16" s="18" t="s">
        <v>456</v>
      </c>
      <c r="C16" s="18" t="s">
        <v>336</v>
      </c>
      <c r="D16" s="18" t="s">
        <v>1519</v>
      </c>
      <c r="F16" s="105" t="n">
        <f aca="false">MAX(0,F19-E19)</f>
        <v>0</v>
      </c>
      <c r="G16" s="105" t="n">
        <f aca="false">MAX(0,G19-F19)</f>
        <v>0</v>
      </c>
      <c r="H16" s="105" t="n">
        <f aca="false">MAX(0,H19-G19)</f>
        <v>0</v>
      </c>
      <c r="I16" s="105" t="n">
        <f aca="false">MAX(0,I19-H19)</f>
        <v>0</v>
      </c>
      <c r="J16" s="105" t="n">
        <f aca="false">MAX(0,J19-I19)</f>
        <v>0</v>
      </c>
      <c r="K16" s="105" t="n">
        <f aca="false">MAX(0,K19-J19)</f>
        <v>0</v>
      </c>
      <c r="L16" s="105" t="n">
        <f aca="false">MAX(0,L19-K19)</f>
        <v>0</v>
      </c>
      <c r="M16" s="105" t="n">
        <f aca="false">MAX(0,M19-L19)</f>
        <v>0</v>
      </c>
      <c r="N16" s="105" t="n">
        <f aca="false">MAX(0,N19-M19)</f>
        <v>0</v>
      </c>
      <c r="O16" s="105" t="n">
        <f aca="false">MAX(0,O19-N19)</f>
        <v>0</v>
      </c>
      <c r="P16" s="25" t="n">
        <f aca="false">MAX(0,P19-O19)</f>
        <v>0</v>
      </c>
      <c r="Q16" s="25" t="n">
        <f aca="false">MAX(0,Q19-P19)</f>
        <v>0</v>
      </c>
      <c r="R16" s="25" t="n">
        <f aca="false">MAX(0,R19-Q19)</f>
        <v>0</v>
      </c>
      <c r="S16" s="25" t="n">
        <f aca="false">MAX(0,S19-R19)</f>
        <v>3338</v>
      </c>
      <c r="T16" s="25" t="n">
        <f aca="false">MAX(0,T19-S19)</f>
        <v>8010</v>
      </c>
      <c r="U16" s="25" t="n">
        <f aca="false">MAX(0,U19-T19)</f>
        <v>28697</v>
      </c>
      <c r="V16" s="25" t="n">
        <f aca="false">MAX(0,V19-U19)</f>
        <v>57401</v>
      </c>
      <c r="W16" s="25" t="n">
        <f aca="false">MAX(0,W19-V19)</f>
        <v>30700</v>
      </c>
      <c r="X16" s="25" t="n">
        <f aca="false">MAX(0,X19-W19)</f>
        <v>52064</v>
      </c>
      <c r="Y16" s="25" t="n">
        <f aca="false">MAX(0,Y19-X19)</f>
        <v>4000</v>
      </c>
      <c r="Z16" s="25" t="n">
        <f aca="false">MAX(0,Z19-Y19)</f>
        <v>93450</v>
      </c>
      <c r="AA16" s="25" t="n">
        <f aca="false">MAX(0,AA19-Z19)</f>
        <v>0</v>
      </c>
      <c r="AB16" s="25" t="n">
        <f aca="false">MAX(0,AB19-AA19)</f>
        <v>112140</v>
      </c>
      <c r="AC16" s="25" t="n">
        <f aca="false">MAX(0,AC19-AB19)</f>
        <v>0</v>
      </c>
      <c r="AD16" s="25" t="n">
        <f aca="false">MAX(0,AD19-AC19)</f>
        <v>156195</v>
      </c>
      <c r="AE16" s="25" t="n">
        <f aca="false">MAX(0,AE19-AD19)</f>
        <v>0</v>
      </c>
      <c r="AF16" s="25" t="n">
        <f aca="false">MAX(0,AF19-AE19)</f>
        <v>0</v>
      </c>
      <c r="AG16" s="25" t="n">
        <f aca="false">MAX(0,AG19-AF19)</f>
        <v>0</v>
      </c>
      <c r="AI16" s="25" t="n">
        <f aca="false">SUMIF($F$7:$AG$7,AI$7,$F16:$AG16)</f>
        <v>0</v>
      </c>
      <c r="AJ16" s="25" t="n">
        <f aca="false">SUMIF($F$7:$AG$7,AJ$7,$F16:$AG16)</f>
        <v>0</v>
      </c>
      <c r="AK16" s="25" t="n">
        <f aca="false">SUMIF($F$7:$AG$7,AK$7,$F16:$AG16)</f>
        <v>0</v>
      </c>
      <c r="AL16" s="25" t="n">
        <f aca="false">SUMIF($F$7:$AG$7,AL$7,$F16:$AG16)</f>
        <v>40045</v>
      </c>
      <c r="AM16" s="25" t="n">
        <f aca="false">SUMIF($F$7:$AG$7,AM$7,$F16:$AG16)</f>
        <v>144165</v>
      </c>
      <c r="AN16" s="25" t="n">
        <f aca="false">SUMIF($F$7:$AG$7,AN$7,$F16:$AG16)</f>
        <v>205590</v>
      </c>
      <c r="AO16" s="25" t="n">
        <f aca="false">SUMIF($F$7:$AG$7,AO$7,$F16:$AG16)</f>
        <v>156195</v>
      </c>
    </row>
    <row r="17" customFormat="false" ht="15" hidden="false" customHeight="false" outlineLevel="0" collapsed="false">
      <c r="A17" s="101" t="s">
        <v>1522</v>
      </c>
      <c r="B17" s="18" t="s">
        <v>456</v>
      </c>
      <c r="C17" s="18" t="s">
        <v>554</v>
      </c>
      <c r="D17" s="18" t="s">
        <v>1523</v>
      </c>
      <c r="E17" s="25" t="n">
        <f aca="false">INDEX(FileGPU_H,1,1)</f>
        <v>13713</v>
      </c>
      <c r="F17" s="105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7" s="105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7" s="105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7" s="105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7" s="105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7" s="105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32743</v>
      </c>
      <c r="L17" s="105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32743</v>
      </c>
      <c r="M17" s="105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32743</v>
      </c>
      <c r="N17" s="105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32743</v>
      </c>
      <c r="O17" s="105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32743</v>
      </c>
      <c r="P17" s="25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32743</v>
      </c>
      <c r="Q17" s="25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32743</v>
      </c>
      <c r="R17" s="25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32743</v>
      </c>
      <c r="S17" s="25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32743</v>
      </c>
      <c r="T17" s="25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32743</v>
      </c>
      <c r="U17" s="25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32743</v>
      </c>
      <c r="V17" s="25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32743</v>
      </c>
      <c r="W17" s="25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32743</v>
      </c>
      <c r="X17" s="25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32743</v>
      </c>
      <c r="Y17" s="25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32743</v>
      </c>
      <c r="Z17" s="25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32743</v>
      </c>
      <c r="AA17" s="25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32743</v>
      </c>
      <c r="AB17" s="25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32743</v>
      </c>
      <c r="AC17" s="25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32743</v>
      </c>
      <c r="AD17" s="25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32743</v>
      </c>
      <c r="AE17" s="25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32743</v>
      </c>
      <c r="AF17" s="25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32743</v>
      </c>
      <c r="AG17" s="25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32743</v>
      </c>
      <c r="AI17" s="25" t="n">
        <f aca="false">INDEX($F17:$AG17,1,MATCH(AI$7,$F$7:$AG$7,1))</f>
        <v>16456</v>
      </c>
      <c r="AJ17" s="25" t="n">
        <f aca="false">INDEX($F17:$AG17,1,MATCH(AJ$7,$F$7:$AG$7,1))</f>
        <v>32743</v>
      </c>
      <c r="AK17" s="25" t="n">
        <f aca="false">INDEX($F17:$AG17,1,MATCH(AK$7,$F$7:$AG$7,1))</f>
        <v>32743</v>
      </c>
      <c r="AL17" s="25" t="n">
        <f aca="false">INDEX($F17:$AG17,1,MATCH(AL$7,$F$7:$AG$7,1))</f>
        <v>32743</v>
      </c>
      <c r="AM17" s="25" t="n">
        <f aca="false">INDEX($F17:$AG17,1,MATCH(AM$7,$F$7:$AG$7,1))</f>
        <v>32743</v>
      </c>
      <c r="AN17" s="25" t="n">
        <f aca="false">INDEX($F17:$AG17,1,MATCH(AN$7,$F$7:$AG$7,1))</f>
        <v>32743</v>
      </c>
      <c r="AO17" s="25" t="n">
        <f aca="false">INDEX($F17:$AG17,1,MATCH(AO$7,$F$7:$AG$7,1))</f>
        <v>32743</v>
      </c>
    </row>
    <row r="18" customFormat="false" ht="15" hidden="false" customHeight="false" outlineLevel="0" collapsed="false">
      <c r="A18" s="101" t="s">
        <v>1524</v>
      </c>
      <c r="B18" s="18" t="s">
        <v>456</v>
      </c>
      <c r="C18" s="18" t="s">
        <v>554</v>
      </c>
      <c r="D18" s="18" t="s">
        <v>1523</v>
      </c>
      <c r="E18" s="25" t="n">
        <f aca="false">0</f>
        <v>0</v>
      </c>
      <c r="F18" s="105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8" s="105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8" s="105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8" s="105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8" s="105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8" s="105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8" s="105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7072</v>
      </c>
      <c r="M18" s="105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44327</v>
      </c>
      <c r="N18" s="105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54995</v>
      </c>
      <c r="O18" s="105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55732</v>
      </c>
      <c r="P18" s="25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55732</v>
      </c>
      <c r="Q18" s="25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71888</v>
      </c>
      <c r="R18" s="25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112655</v>
      </c>
      <c r="S18" s="25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167529</v>
      </c>
      <c r="T18" s="25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219513</v>
      </c>
      <c r="U18" s="25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244725</v>
      </c>
      <c r="V18" s="25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290387</v>
      </c>
      <c r="W18" s="25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290387</v>
      </c>
      <c r="X18" s="25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290387</v>
      </c>
      <c r="Y18" s="25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290387</v>
      </c>
      <c r="Z18" s="25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314945</v>
      </c>
      <c r="AA18" s="25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314945</v>
      </c>
      <c r="AB18" s="25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314945</v>
      </c>
      <c r="AC18" s="25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314945</v>
      </c>
      <c r="AD18" s="25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314945</v>
      </c>
      <c r="AE18" s="25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314945</v>
      </c>
      <c r="AF18" s="25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314945</v>
      </c>
      <c r="AG18" s="25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314945</v>
      </c>
      <c r="AI18" s="25" t="n">
        <f aca="false">INDEX($F18:$AG18,1,MATCH(AI$7,$F$7:$AG$7,1))</f>
        <v>0</v>
      </c>
      <c r="AJ18" s="25" t="n">
        <f aca="false">INDEX($F18:$AG18,1,MATCH(AJ$7,$F$7:$AG$7,1))</f>
        <v>44327</v>
      </c>
      <c r="AK18" s="25" t="n">
        <f aca="false">INDEX($F18:$AG18,1,MATCH(AK$7,$F$7:$AG$7,1))</f>
        <v>71888</v>
      </c>
      <c r="AL18" s="25" t="n">
        <f aca="false">INDEX($F18:$AG18,1,MATCH(AL$7,$F$7:$AG$7,1))</f>
        <v>244725</v>
      </c>
      <c r="AM18" s="25" t="n">
        <f aca="false">INDEX($F18:$AG18,1,MATCH(AM$7,$F$7:$AG$7,1))</f>
        <v>290387</v>
      </c>
      <c r="AN18" s="25" t="n">
        <f aca="false">INDEX($F18:$AG18,1,MATCH(AN$7,$F$7:$AG$7,1))</f>
        <v>314945</v>
      </c>
      <c r="AO18" s="25" t="n">
        <f aca="false">INDEX($F18:$AG18,1,MATCH(AO$7,$F$7:$AG$7,1))</f>
        <v>314945</v>
      </c>
    </row>
    <row r="19" customFormat="false" ht="15" hidden="false" customHeight="false" outlineLevel="0" collapsed="false">
      <c r="A19" s="101" t="s">
        <v>1525</v>
      </c>
      <c r="B19" s="18" t="s">
        <v>456</v>
      </c>
      <c r="C19" s="18" t="s">
        <v>554</v>
      </c>
      <c r="D19" s="18" t="s">
        <v>1523</v>
      </c>
      <c r="E19" s="25" t="n">
        <f aca="false">0</f>
        <v>0</v>
      </c>
      <c r="F19" s="105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9" s="105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9" s="105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9" s="105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9" s="105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9" s="105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9" s="105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9" s="105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9" s="105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9" s="105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9" s="25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9" s="25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9" s="25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9" s="25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9" s="25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9" s="25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9" s="25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9" s="25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9" s="25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9" s="25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9" s="25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9" s="25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9" s="25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9" s="25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9" s="25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9" s="25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9" s="25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9" s="25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9" s="25" t="n">
        <f aca="false">INDEX($F19:$AG19,1,MATCH(AI$7,$F$7:$AG$7,1))</f>
        <v>0</v>
      </c>
      <c r="AJ19" s="25" t="n">
        <f aca="false">INDEX($F19:$AG19,1,MATCH(AJ$7,$F$7:$AG$7,1))</f>
        <v>0</v>
      </c>
      <c r="AK19" s="25" t="n">
        <f aca="false">INDEX($F19:$AG19,1,MATCH(AK$7,$F$7:$AG$7,1))</f>
        <v>0</v>
      </c>
      <c r="AL19" s="25" t="n">
        <f aca="false">INDEX($F19:$AG19,1,MATCH(AL$7,$F$7:$AG$7,1))</f>
        <v>40045</v>
      </c>
      <c r="AM19" s="25" t="n">
        <f aca="false">INDEX($F19:$AG19,1,MATCH(AM$7,$F$7:$AG$7,1))</f>
        <v>184210</v>
      </c>
      <c r="AN19" s="25" t="n">
        <f aca="false">INDEX($F19:$AG19,1,MATCH(AN$7,$F$7:$AG$7,1))</f>
        <v>389800</v>
      </c>
      <c r="AO19" s="25" t="n">
        <f aca="false">INDEX($F19:$AG19,1,MATCH(AO$7,$F$7:$AG$7,1))</f>
        <v>545995</v>
      </c>
    </row>
    <row r="20" customFormat="false" ht="15" hidden="false" customHeight="false" outlineLevel="0" collapsed="false">
      <c r="A20" s="3" t="s">
        <v>1526</v>
      </c>
      <c r="B20" s="18" t="s">
        <v>456</v>
      </c>
      <c r="C20" s="18" t="s">
        <v>336</v>
      </c>
      <c r="D20" s="18"/>
      <c r="E20" s="25" t="n">
        <f aca="false">E17+E18+E19</f>
        <v>13713</v>
      </c>
      <c r="F20" s="112" t="n">
        <f aca="false">F17+F18+F19</f>
        <v>13713</v>
      </c>
      <c r="G20" s="112" t="n">
        <f aca="false">G17+G18+G19</f>
        <v>13713</v>
      </c>
      <c r="H20" s="112" t="n">
        <f aca="false">H17+H18+H19</f>
        <v>13713</v>
      </c>
      <c r="I20" s="112" t="n">
        <f aca="false">I17+I18+I19</f>
        <v>16456</v>
      </c>
      <c r="J20" s="112" t="n">
        <f aca="false">J17+J18+J19</f>
        <v>30000</v>
      </c>
      <c r="K20" s="112" t="n">
        <f aca="false">K17+K18+K19</f>
        <v>32743</v>
      </c>
      <c r="L20" s="112" t="n">
        <f aca="false">L17+L18+L19</f>
        <v>39815</v>
      </c>
      <c r="M20" s="112" t="n">
        <f aca="false">M17+M18+M19</f>
        <v>77070</v>
      </c>
      <c r="N20" s="112" t="n">
        <f aca="false">N17+N18+N19</f>
        <v>87738</v>
      </c>
      <c r="O20" s="112" t="n">
        <f aca="false">O17+O18+O19</f>
        <v>88475</v>
      </c>
      <c r="P20" s="5" t="n">
        <f aca="false">P17+P18+P19</f>
        <v>88475</v>
      </c>
      <c r="Q20" s="5" t="n">
        <f aca="false">Q17+Q18+Q19</f>
        <v>104631</v>
      </c>
      <c r="R20" s="5" t="n">
        <f aca="false">R17+R18+R19</f>
        <v>145398</v>
      </c>
      <c r="S20" s="5" t="n">
        <f aca="false">S17+S18+S19</f>
        <v>203610</v>
      </c>
      <c r="T20" s="5" t="n">
        <f aca="false">T17+T18+T19</f>
        <v>263604</v>
      </c>
      <c r="U20" s="5" t="n">
        <f aca="false">U17+U18+U19</f>
        <v>317513</v>
      </c>
      <c r="V20" s="5" t="n">
        <f aca="false">V17+V18+V19</f>
        <v>420576</v>
      </c>
      <c r="W20" s="5" t="n">
        <f aca="false">W17+W18+W19</f>
        <v>451276</v>
      </c>
      <c r="X20" s="5" t="n">
        <f aca="false">X17+X18+X19</f>
        <v>503340</v>
      </c>
      <c r="Y20" s="5" t="n">
        <f aca="false">Y17+Y18+Y19</f>
        <v>507340</v>
      </c>
      <c r="Z20" s="5" t="n">
        <f aca="false">Z17+Z18+Z19</f>
        <v>625348</v>
      </c>
      <c r="AA20" s="5" t="n">
        <f aca="false">AA17+AA18+AA19</f>
        <v>625348</v>
      </c>
      <c r="AB20" s="5" t="n">
        <f aca="false">AB17+AB18+AB19</f>
        <v>737488</v>
      </c>
      <c r="AC20" s="5" t="n">
        <f aca="false">AC17+AC18+AC19</f>
        <v>737488</v>
      </c>
      <c r="AD20" s="5" t="n">
        <f aca="false">AD17+AD18+AD19</f>
        <v>893683</v>
      </c>
      <c r="AE20" s="5" t="n">
        <f aca="false">AE17+AE18+AE19</f>
        <v>893683</v>
      </c>
      <c r="AF20" s="5" t="n">
        <f aca="false">AF17+AF18+AF19</f>
        <v>893683</v>
      </c>
      <c r="AG20" s="5" t="n">
        <f aca="false">AG17+AG18+AG19</f>
        <v>893683</v>
      </c>
      <c r="AI20" s="5" t="n">
        <f aca="false">INDEX($F20:$AG20,1,MATCH(AI$7,$F$7:$AG$7,1))</f>
        <v>16456</v>
      </c>
      <c r="AJ20" s="5" t="n">
        <f aca="false">INDEX($F20:$AG20,1,MATCH(AJ$7,$F$7:$AG$7,1))</f>
        <v>77070</v>
      </c>
      <c r="AK20" s="5" t="n">
        <f aca="false">INDEX($F20:$AG20,1,MATCH(AK$7,$F$7:$AG$7,1))</f>
        <v>104631</v>
      </c>
      <c r="AL20" s="5" t="n">
        <f aca="false">INDEX($F20:$AG20,1,MATCH(AL$7,$F$7:$AG$7,1))</f>
        <v>317513</v>
      </c>
      <c r="AM20" s="5" t="n">
        <f aca="false">INDEX($F20:$AG20,1,MATCH(AM$7,$F$7:$AG$7,1))</f>
        <v>507340</v>
      </c>
      <c r="AN20" s="5" t="n">
        <f aca="false">INDEX($F20:$AG20,1,MATCH(AN$7,$F$7:$AG$7,1))</f>
        <v>737488</v>
      </c>
      <c r="AO20" s="5" t="n">
        <f aca="false">INDEX($F20:$AG20,1,MATCH(AO$7,$F$7:$AG$7,1))</f>
        <v>893683</v>
      </c>
    </row>
    <row r="21" customFormat="false" ht="15" hidden="false" customHeight="false" outlineLevel="0" collapsed="false">
      <c r="A21" s="101" t="s">
        <v>1527</v>
      </c>
      <c r="B21" s="18" t="s">
        <v>456</v>
      </c>
      <c r="C21" s="18" t="s">
        <v>336</v>
      </c>
      <c r="D21" s="18"/>
      <c r="F21" s="105" t="n">
        <f aca="false">AVERAGE(E20,F20)</f>
        <v>13713</v>
      </c>
      <c r="G21" s="105" t="n">
        <f aca="false">AVERAGE(F20,G20)</f>
        <v>13713</v>
      </c>
      <c r="H21" s="105" t="n">
        <f aca="false">AVERAGE(G20,H20)</f>
        <v>13713</v>
      </c>
      <c r="I21" s="105" t="n">
        <f aca="false">AVERAGE(H20,I20)</f>
        <v>15084.5</v>
      </c>
      <c r="J21" s="105" t="n">
        <f aca="false">AVERAGE(I20,J20)</f>
        <v>23228</v>
      </c>
      <c r="K21" s="105" t="n">
        <f aca="false">AVERAGE(J20,K20)</f>
        <v>31371.5</v>
      </c>
      <c r="L21" s="105" t="n">
        <f aca="false">AVERAGE(K20,L20)</f>
        <v>36279</v>
      </c>
      <c r="M21" s="105" t="n">
        <f aca="false">AVERAGE(L20,M20)</f>
        <v>58442.5</v>
      </c>
      <c r="N21" s="105" t="n">
        <f aca="false">AVERAGE(M20,N20)</f>
        <v>82404</v>
      </c>
      <c r="O21" s="105" t="n">
        <f aca="false">AVERAGE(N20,O20)</f>
        <v>88106.5</v>
      </c>
      <c r="P21" s="25" t="n">
        <f aca="false">AVERAGE(O20,P20)</f>
        <v>88475</v>
      </c>
      <c r="Q21" s="25" t="n">
        <f aca="false">AVERAGE(P20,Q20)</f>
        <v>96553</v>
      </c>
      <c r="R21" s="25" t="n">
        <f aca="false">AVERAGE(Q20,R20)</f>
        <v>125014.5</v>
      </c>
      <c r="S21" s="25" t="n">
        <f aca="false">AVERAGE(R20,S20)</f>
        <v>174504</v>
      </c>
      <c r="T21" s="25" t="n">
        <f aca="false">AVERAGE(S20,T20)</f>
        <v>233607</v>
      </c>
      <c r="U21" s="25" t="n">
        <f aca="false">AVERAGE(T20,U20)</f>
        <v>290558.5</v>
      </c>
      <c r="V21" s="25" t="n">
        <f aca="false">AVERAGE(U20,V20)</f>
        <v>369044.5</v>
      </c>
      <c r="W21" s="25" t="n">
        <f aca="false">AVERAGE(V20,W20)</f>
        <v>435926</v>
      </c>
      <c r="X21" s="25" t="n">
        <f aca="false">AVERAGE(W20,X20)</f>
        <v>477308</v>
      </c>
      <c r="Y21" s="25" t="n">
        <f aca="false">AVERAGE(X20,Y20)</f>
        <v>505340</v>
      </c>
      <c r="Z21" s="25" t="n">
        <f aca="false">AVERAGE(Y20,Z20)</f>
        <v>566344</v>
      </c>
      <c r="AA21" s="25" t="n">
        <f aca="false">AVERAGE(Z20,AA20)</f>
        <v>625348</v>
      </c>
      <c r="AB21" s="25" t="n">
        <f aca="false">AVERAGE(AA20,AB20)</f>
        <v>681418</v>
      </c>
      <c r="AC21" s="25" t="n">
        <f aca="false">AVERAGE(AB20,AC20)</f>
        <v>737488</v>
      </c>
      <c r="AD21" s="25" t="n">
        <f aca="false">AVERAGE(AC20,AD20)</f>
        <v>815585.5</v>
      </c>
      <c r="AE21" s="25" t="n">
        <f aca="false">AVERAGE(AD20,AE20)</f>
        <v>893683</v>
      </c>
      <c r="AF21" s="25" t="n">
        <f aca="false">AVERAGE(AE20,AF20)</f>
        <v>893683</v>
      </c>
      <c r="AG21" s="25" t="n">
        <f aca="false">AVERAGE(AF20,AG20)</f>
        <v>893683</v>
      </c>
      <c r="AI21" s="25" t="n">
        <f aca="false">AVERAGEIF($F$7:$AG$7,AI$7,$F21:$AG21)</f>
        <v>14055.875</v>
      </c>
      <c r="AJ21" s="25" t="n">
        <f aca="false">AVERAGEIF($F$7:$AG$7,AJ$7,$F21:$AG21)</f>
        <v>37330.25</v>
      </c>
      <c r="AK21" s="25" t="n">
        <f aca="false">AVERAGEIF($F$7:$AG$7,AK$7,$F21:$AG21)</f>
        <v>88884.625</v>
      </c>
      <c r="AL21" s="25" t="n">
        <f aca="false">AVERAGEIF($F$7:$AG$7,AL$7,$F21:$AG21)</f>
        <v>205921</v>
      </c>
      <c r="AM21" s="25" t="n">
        <f aca="false">AVERAGEIF($F$7:$AG$7,AM$7,$F21:$AG21)</f>
        <v>446904.625</v>
      </c>
      <c r="AN21" s="25" t="n">
        <f aca="false">AVERAGEIF($F$7:$AG$7,AN$7,$F21:$AG21)</f>
        <v>652649.5</v>
      </c>
      <c r="AO21" s="25" t="n">
        <f aca="false">AVERAGEIF($F$7:$AG$7,AO$7,$F21:$AG21)</f>
        <v>874158.625</v>
      </c>
    </row>
    <row r="23" customFormat="false" ht="15" hidden="false" customHeight="false" outlineLevel="0" collapsed="false">
      <c r="A23" s="48" t="s">
        <v>1528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 customFormat="false" ht="15" hidden="false" customHeight="false" outlineLevel="0" collapsed="false">
      <c r="A24" s="101" t="s">
        <v>1529</v>
      </c>
      <c r="B24" s="18" t="s">
        <v>415</v>
      </c>
      <c r="C24" s="18" t="s">
        <v>1313</v>
      </c>
      <c r="D24" s="18"/>
      <c r="F24" s="105" t="n">
        <f aca="false">INDEX(A_MW,1,1)</f>
        <v>0</v>
      </c>
      <c r="G24" s="105" t="n">
        <f aca="false">INDEX(A_MW,1,2)</f>
        <v>0</v>
      </c>
      <c r="H24" s="105" t="n">
        <f aca="false">INDEX(A_MW,1,3)</f>
        <v>0</v>
      </c>
      <c r="I24" s="105" t="n">
        <f aca="false">INDEX(A_MW,1,4)</f>
        <v>0</v>
      </c>
      <c r="J24" s="105" t="n">
        <f aca="false">INDEX(A_MW,1,5)</f>
        <v>0</v>
      </c>
      <c r="K24" s="105" t="n">
        <f aca="false">INDEX(A_MW,1,6)</f>
        <v>0</v>
      </c>
      <c r="L24" s="105" t="n">
        <f aca="false">INDEX(A_MW,1,7)</f>
        <v>0</v>
      </c>
      <c r="M24" s="105" t="n">
        <f aca="false">INDEX(A_MW,1,8)</f>
        <v>50.6725</v>
      </c>
      <c r="N24" s="105" t="n">
        <f aca="false">INDEX(A_MW,1,9)</f>
        <v>101.345</v>
      </c>
      <c r="O24" s="105" t="n">
        <f aca="false">INDEX(A_MW,1,10)</f>
        <v>101.345</v>
      </c>
      <c r="P24" s="25" t="n">
        <f aca="false">INDEX(A_MW,1,11)</f>
        <v>154.678333333333</v>
      </c>
      <c r="Q24" s="25" t="n">
        <f aca="false">INDEX(A_MW,1,12)</f>
        <v>154.678333333333</v>
      </c>
      <c r="R24" s="25" t="n">
        <f aca="false">INDEX(A_MW,1,13)</f>
        <v>154.678333333333</v>
      </c>
      <c r="S24" s="25" t="n">
        <f aca="false">INDEX(A_MW,1,14)</f>
        <v>208.011666666667</v>
      </c>
      <c r="T24" s="25" t="n">
        <f aca="false">INDEX(A_MW,1,15)</f>
        <v>341.345</v>
      </c>
      <c r="U24" s="25" t="n">
        <f aca="false">INDEX(A_MW,1,16)</f>
        <v>394.678333333333</v>
      </c>
      <c r="V24" s="25" t="n">
        <f aca="false">INDEX(A_MW,1,17)</f>
        <v>394.678333333333</v>
      </c>
      <c r="W24" s="25" t="n">
        <f aca="false">INDEX(A_MW,1,18)</f>
        <v>394.678333333333</v>
      </c>
      <c r="X24" s="25" t="n">
        <f aca="false">INDEX(A_MW,1,19)</f>
        <v>394.678333333333</v>
      </c>
      <c r="Y24" s="25" t="n">
        <f aca="false">INDEX(A_MW,1,20)</f>
        <v>394.678333333333</v>
      </c>
      <c r="Z24" s="25" t="n">
        <f aca="false">INDEX(A_MW,1,21)</f>
        <v>394.678333333333</v>
      </c>
      <c r="AA24" s="25" t="n">
        <f aca="false">INDEX(A_MW,1,22)</f>
        <v>394.678333333333</v>
      </c>
      <c r="AB24" s="25" t="n">
        <f aca="false">INDEX(A_MW,1,23)</f>
        <v>394.678333333333</v>
      </c>
      <c r="AC24" s="25" t="n">
        <f aca="false">INDEX(A_MW,1,24)</f>
        <v>394.678333333333</v>
      </c>
      <c r="AD24" s="25" t="n">
        <f aca="false">INDEX(A_MW,1,25)</f>
        <v>394.678333333333</v>
      </c>
      <c r="AE24" s="25" t="n">
        <f aca="false">INDEX(A_MW,1,26)</f>
        <v>394.678333333333</v>
      </c>
      <c r="AF24" s="25" t="n">
        <f aca="false">INDEX(A_MW,1,27)</f>
        <v>394.678333333333</v>
      </c>
      <c r="AG24" s="25" t="n">
        <f aca="false">INDEX(A_MW,1,28)</f>
        <v>344.005833333333</v>
      </c>
      <c r="AI24" s="25" t="n">
        <f aca="false">INDEX($F24:$AG24,1,MATCH(AI$7,$F$7:$AG$7,1))</f>
        <v>0</v>
      </c>
      <c r="AJ24" s="25" t="n">
        <f aca="false">INDEX($F24:$AG24,1,MATCH(AJ$7,$F$7:$AG$7,1))</f>
        <v>50.6725</v>
      </c>
      <c r="AK24" s="25" t="n">
        <f aca="false">INDEX($F24:$AG24,1,MATCH(AK$7,$F$7:$AG$7,1))</f>
        <v>154.678333333333</v>
      </c>
      <c r="AL24" s="25" t="n">
        <f aca="false">INDEX($F24:$AG24,1,MATCH(AL$7,$F$7:$AG$7,1))</f>
        <v>394.678333333333</v>
      </c>
      <c r="AM24" s="25" t="n">
        <f aca="false">INDEX($F24:$AG24,1,MATCH(AM$7,$F$7:$AG$7,1))</f>
        <v>394.678333333333</v>
      </c>
      <c r="AN24" s="25" t="n">
        <f aca="false">INDEX($F24:$AG24,1,MATCH(AN$7,$F$7:$AG$7,1))</f>
        <v>394.678333333333</v>
      </c>
      <c r="AO24" s="25" t="n">
        <f aca="false">INDEX($F24:$AG24,1,MATCH(AO$7,$F$7:$AG$7,1))</f>
        <v>344.005833333333</v>
      </c>
    </row>
    <row r="25" customFormat="false" ht="15" hidden="false" customHeight="false" outlineLevel="0" collapsed="false">
      <c r="A25" s="101" t="s">
        <v>1486</v>
      </c>
      <c r="B25" s="18" t="s">
        <v>415</v>
      </c>
      <c r="C25" s="18" t="s">
        <v>1313</v>
      </c>
      <c r="D25" s="18"/>
      <c r="F25" s="105" t="n">
        <f aca="false">INDEX(A_PostMW,1,1)</f>
        <v>0</v>
      </c>
      <c r="G25" s="105" t="n">
        <f aca="false">INDEX(A_PostMW,1,2)</f>
        <v>0</v>
      </c>
      <c r="H25" s="105" t="n">
        <f aca="false">INDEX(A_PostMW,1,3)</f>
        <v>0</v>
      </c>
      <c r="I25" s="105" t="n">
        <f aca="false">INDEX(A_PostMW,1,4)</f>
        <v>0</v>
      </c>
      <c r="J25" s="105" t="n">
        <f aca="false">INDEX(A_PostMW,1,5)</f>
        <v>0</v>
      </c>
      <c r="K25" s="105" t="n">
        <f aca="false">INDEX(A_PostMW,1,6)</f>
        <v>0</v>
      </c>
      <c r="L25" s="105" t="n">
        <f aca="false">INDEX(A_PostMW,1,7)</f>
        <v>0</v>
      </c>
      <c r="M25" s="105" t="n">
        <f aca="false">INDEX(A_PostMW,1,8)</f>
        <v>0</v>
      </c>
      <c r="N25" s="105" t="n">
        <f aca="false">INDEX(A_PostMW,1,9)</f>
        <v>0</v>
      </c>
      <c r="O25" s="105" t="n">
        <f aca="false">INDEX(A_PostMW,1,10)</f>
        <v>0</v>
      </c>
      <c r="P25" s="25" t="n">
        <f aca="false">INDEX(A_PostMW,1,11)</f>
        <v>0</v>
      </c>
      <c r="Q25" s="25" t="n">
        <f aca="false">INDEX(A_PostMW,1,12)</f>
        <v>0</v>
      </c>
      <c r="R25" s="25" t="n">
        <f aca="false">INDEX(A_PostMW,1,13)</f>
        <v>0</v>
      </c>
      <c r="S25" s="25" t="n">
        <f aca="false">INDEX(A_PostMW,1,14)</f>
        <v>0</v>
      </c>
      <c r="T25" s="25" t="n">
        <f aca="false">INDEX(A_PostMW,1,15)</f>
        <v>0</v>
      </c>
      <c r="U25" s="25" t="n">
        <f aca="false">INDEX(A_PostMW,1,16)</f>
        <v>0</v>
      </c>
      <c r="V25" s="25" t="n">
        <f aca="false">INDEX(A_PostMW,1,17)</f>
        <v>0</v>
      </c>
      <c r="W25" s="25" t="n">
        <f aca="false">INDEX(A_PostMW,1,18)</f>
        <v>0</v>
      </c>
      <c r="X25" s="25" t="n">
        <f aca="false">INDEX(A_PostMW,1,19)</f>
        <v>0</v>
      </c>
      <c r="Y25" s="25" t="n">
        <f aca="false">INDEX(A_PostMW,1,20)</f>
        <v>0</v>
      </c>
      <c r="Z25" s="25" t="n">
        <f aca="false">INDEX(A_PostMW,1,21)</f>
        <v>0</v>
      </c>
      <c r="AA25" s="25" t="n">
        <f aca="false">INDEX(A_PostMW,1,22)</f>
        <v>0</v>
      </c>
      <c r="AB25" s="25" t="n">
        <f aca="false">INDEX(A_PostMW,1,23)</f>
        <v>0</v>
      </c>
      <c r="AC25" s="25" t="n">
        <f aca="false">INDEX(A_PostMW,1,24)</f>
        <v>0</v>
      </c>
      <c r="AD25" s="25" t="n">
        <f aca="false">INDEX(A_PostMW,1,25)</f>
        <v>0</v>
      </c>
      <c r="AE25" s="25" t="n">
        <f aca="false">INDEX(A_PostMW,1,26)</f>
        <v>0</v>
      </c>
      <c r="AF25" s="25" t="n">
        <f aca="false">INDEX(A_PostMW,1,27)</f>
        <v>0</v>
      </c>
      <c r="AG25" s="25" t="n">
        <f aca="false">INDEX(A_PostMW,1,28)</f>
        <v>50.6725</v>
      </c>
      <c r="AI25" s="25" t="n">
        <f aca="false">INDEX($F25:$AG25,1,MATCH(AI$7,$F$7:$AG$7,1))</f>
        <v>0</v>
      </c>
      <c r="AJ25" s="25" t="n">
        <f aca="false">INDEX($F25:$AG25,1,MATCH(AJ$7,$F$7:$AG$7,1))</f>
        <v>0</v>
      </c>
      <c r="AK25" s="25" t="n">
        <f aca="false">INDEX($F25:$AG25,1,MATCH(AK$7,$F$7:$AG$7,1))</f>
        <v>0</v>
      </c>
      <c r="AL25" s="25" t="n">
        <f aca="false">INDEX($F25:$AG25,1,MATCH(AL$7,$F$7:$AG$7,1))</f>
        <v>0</v>
      </c>
      <c r="AM25" s="25" t="n">
        <f aca="false">INDEX($F25:$AG25,1,MATCH(AM$7,$F$7:$AG$7,1))</f>
        <v>0</v>
      </c>
      <c r="AN25" s="25" t="n">
        <f aca="false">INDEX($F25:$AG25,1,MATCH(AN$7,$F$7:$AG$7,1))</f>
        <v>0</v>
      </c>
      <c r="AO25" s="25" t="n">
        <f aca="false">INDEX($F25:$AG25,1,MATCH(AO$7,$F$7:$AG$7,1))</f>
        <v>50.6725</v>
      </c>
    </row>
    <row r="26" customFormat="false" ht="15" hidden="false" customHeight="false" outlineLevel="0" collapsed="false">
      <c r="A26" s="3" t="s">
        <v>1530</v>
      </c>
      <c r="B26" s="18" t="s">
        <v>400</v>
      </c>
      <c r="C26" s="18" t="s">
        <v>1313</v>
      </c>
      <c r="D26" s="18" t="s">
        <v>1531</v>
      </c>
      <c r="F26" s="121" t="n">
        <f aca="false">INDEX(A_Rev,1,1)+INDEX(A_LD,1,1)</f>
        <v>0</v>
      </c>
      <c r="G26" s="121" t="n">
        <f aca="false">INDEX(A_Rev,1,2)+INDEX(A_LD,1,2)</f>
        <v>0</v>
      </c>
      <c r="H26" s="121" t="n">
        <f aca="false">INDEX(A_Rev,1,3)+INDEX(A_LD,1,3)</f>
        <v>0</v>
      </c>
      <c r="I26" s="121" t="n">
        <f aca="false">INDEX(A_Rev,1,4)+INDEX(A_LD,1,4)</f>
        <v>0</v>
      </c>
      <c r="J26" s="121" t="n">
        <f aca="false">INDEX(A_Rev,1,5)+INDEX(A_LD,1,5)</f>
        <v>0</v>
      </c>
      <c r="K26" s="121" t="n">
        <f aca="false">INDEX(A_Rev,1,6)+INDEX(A_LD,1,6)</f>
        <v>0</v>
      </c>
      <c r="L26" s="121" t="n">
        <f aca="false">INDEX(A_Rev,1,7)+INDEX(A_LD,1,7)</f>
        <v>0</v>
      </c>
      <c r="M26" s="121" t="n">
        <f aca="false">INDEX(A_Rev,1,8)+INDEX(A_LD,1,8)</f>
        <v>48.0871527777778</v>
      </c>
      <c r="N26" s="121" t="n">
        <f aca="false">INDEX(A_Rev,1,9)+INDEX(A_LD,1,9)</f>
        <v>168.418263888889</v>
      </c>
      <c r="O26" s="121" t="n">
        <f aca="false">INDEX(A_Rev,1,10)+INDEX(A_LD,1,10)</f>
        <v>264.819027777778</v>
      </c>
      <c r="P26" s="93" t="n">
        <f aca="false">INDEX(A_Rev,1,11)+INDEX(A_LD,1,11)</f>
        <v>329.589462673611</v>
      </c>
      <c r="Q26" s="93" t="n">
        <f aca="false">INDEX(A_Rev,1,12)+INDEX(A_LD,1,12)</f>
        <v>422.366694010417</v>
      </c>
      <c r="R26" s="93" t="n">
        <f aca="false">INDEX(A_Rev,1,13)+INDEX(A_LD,1,13)</f>
        <v>468.755309678819</v>
      </c>
      <c r="S26" s="93" t="n">
        <f aca="false">INDEX(A_Rev,1,14)+INDEX(A_LD,1,14)</f>
        <v>554.700694444445</v>
      </c>
      <c r="T26" s="93" t="n">
        <f aca="false">INDEX(A_Rev,1,15)+INDEX(A_LD,1,15)</f>
        <v>813.406319444445</v>
      </c>
      <c r="U26" s="93" t="n">
        <f aca="false">INDEX(A_Rev,1,16)+INDEX(A_LD,1,16)</f>
        <v>1270.42555555556</v>
      </c>
      <c r="V26" s="93" t="n">
        <f aca="false">INDEX(A_Rev,1,17)+INDEX(A_LD,1,17)</f>
        <v>1541.20958333333</v>
      </c>
      <c r="W26" s="93" t="n">
        <f aca="false">INDEX(A_Rev,1,18)+INDEX(A_LD,1,18)</f>
        <v>1613.68</v>
      </c>
      <c r="X26" s="93" t="n">
        <f aca="false">INDEX(A_Rev,1,19)+INDEX(A_LD,1,19)</f>
        <v>1613.68</v>
      </c>
      <c r="Y26" s="93" t="n">
        <f aca="false">INDEX(A_Rev,1,20)+INDEX(A_LD,1,20)</f>
        <v>1613.68</v>
      </c>
      <c r="Z26" s="93" t="n">
        <f aca="false">INDEX(A_Rev,1,21)+INDEX(A_LD,1,21)</f>
        <v>1613.68</v>
      </c>
      <c r="AA26" s="93" t="n">
        <f aca="false">INDEX(A_Rev,1,22)+INDEX(A_LD,1,22)</f>
        <v>1613.68</v>
      </c>
      <c r="AB26" s="93" t="n">
        <f aca="false">INDEX(A_Rev,1,23)+INDEX(A_LD,1,23)</f>
        <v>1613.68</v>
      </c>
      <c r="AC26" s="93" t="n">
        <f aca="false">INDEX(A_Rev,1,24)+INDEX(A_LD,1,24)</f>
        <v>1613.68</v>
      </c>
      <c r="AD26" s="93" t="n">
        <f aca="false">INDEX(A_Rev,1,25)+INDEX(A_LD,1,25)</f>
        <v>1613.68</v>
      </c>
      <c r="AE26" s="93" t="n">
        <f aca="false">INDEX(A_Rev,1,26)+INDEX(A_LD,1,26)</f>
        <v>1613.68</v>
      </c>
      <c r="AF26" s="93" t="n">
        <f aca="false">INDEX(A_Rev,1,27)+INDEX(A_LD,1,27)</f>
        <v>1613.68</v>
      </c>
      <c r="AG26" s="93" t="n">
        <f aca="false">INDEX(A_Rev,1,28)+INDEX(A_LD,1,28)</f>
        <v>1529.35763888889</v>
      </c>
      <c r="AI26" s="93" t="n">
        <f aca="false">SUMIF($F$7:$AG$7,AI$7,$F26:$AG26)</f>
        <v>0</v>
      </c>
      <c r="AJ26" s="93" t="n">
        <f aca="false">SUMIF($F$7:$AG$7,AJ$7,$F26:$AG26)</f>
        <v>48.0871527777778</v>
      </c>
      <c r="AK26" s="93" t="n">
        <f aca="false">SUMIF($F$7:$AG$7,AK$7,$F26:$AG26)</f>
        <v>1185.19344835069</v>
      </c>
      <c r="AL26" s="93" t="n">
        <f aca="false">SUMIF($F$7:$AG$7,AL$7,$F26:$AG26)</f>
        <v>3107.28787912326</v>
      </c>
      <c r="AM26" s="93" t="n">
        <f aca="false">SUMIF($F$7:$AG$7,AM$7,$F26:$AG26)</f>
        <v>6382.24958333333</v>
      </c>
      <c r="AN26" s="93" t="n">
        <f aca="false">SUMIF($F$7:$AG$7,AN$7,$F26:$AG26)</f>
        <v>6454.72</v>
      </c>
      <c r="AO26" s="93" t="n">
        <f aca="false">SUMIF($F$7:$AG$7,AO$7,$F26:$AG26)</f>
        <v>6370.39763888889</v>
      </c>
    </row>
    <row r="27" customFormat="false" ht="15" hidden="false" customHeight="false" outlineLevel="0" collapsed="false">
      <c r="A27" s="101" t="s">
        <v>1532</v>
      </c>
      <c r="B27" s="18" t="s">
        <v>400</v>
      </c>
      <c r="C27" s="18" t="s">
        <v>1313</v>
      </c>
      <c r="D27" s="18" t="s">
        <v>1533</v>
      </c>
      <c r="F27" s="119" t="n">
        <f aca="false">INDEX(A_Post,1,1)</f>
        <v>0</v>
      </c>
      <c r="G27" s="119" t="n">
        <f aca="false">INDEX(A_Post,1,2)</f>
        <v>0</v>
      </c>
      <c r="H27" s="119" t="n">
        <f aca="false">INDEX(A_Post,1,3)</f>
        <v>0</v>
      </c>
      <c r="I27" s="119" t="n">
        <f aca="false">INDEX(A_Post,1,4)</f>
        <v>0</v>
      </c>
      <c r="J27" s="119" t="n">
        <f aca="false">INDEX(A_Post,1,5)</f>
        <v>0</v>
      </c>
      <c r="K27" s="119" t="n">
        <f aca="false">INDEX(A_Post,1,6)</f>
        <v>0</v>
      </c>
      <c r="L27" s="119" t="n">
        <f aca="false">INDEX(A_Post,1,7)</f>
        <v>0</v>
      </c>
      <c r="M27" s="119" t="n">
        <f aca="false">INDEX(A_Post,1,8)</f>
        <v>0</v>
      </c>
      <c r="N27" s="119" t="n">
        <f aca="false">INDEX(A_Post,1,9)</f>
        <v>0</v>
      </c>
      <c r="O27" s="119" t="n">
        <f aca="false">INDEX(A_Post,1,10)</f>
        <v>0</v>
      </c>
      <c r="P27" s="120" t="n">
        <f aca="false">INDEX(A_Post,1,11)</f>
        <v>0</v>
      </c>
      <c r="Q27" s="120" t="n">
        <f aca="false">INDEX(A_Post,1,12)</f>
        <v>0</v>
      </c>
      <c r="R27" s="120" t="n">
        <f aca="false">INDEX(A_Post,1,13)</f>
        <v>0</v>
      </c>
      <c r="S27" s="120" t="n">
        <f aca="false">INDEX(A_Post,1,14)</f>
        <v>0</v>
      </c>
      <c r="T27" s="120" t="n">
        <f aca="false">INDEX(A_Post,1,15)</f>
        <v>0</v>
      </c>
      <c r="U27" s="120" t="n">
        <f aca="false">INDEX(A_Post,1,16)</f>
        <v>0</v>
      </c>
      <c r="V27" s="120" t="n">
        <f aca="false">INDEX(A_Post,1,17)</f>
        <v>0</v>
      </c>
      <c r="W27" s="120" t="n">
        <f aca="false">INDEX(A_Post,1,18)</f>
        <v>0</v>
      </c>
      <c r="X27" s="120" t="n">
        <f aca="false">INDEX(A_Post,1,19)</f>
        <v>0</v>
      </c>
      <c r="Y27" s="120" t="n">
        <f aca="false">INDEX(A_Post,1,20)</f>
        <v>0</v>
      </c>
      <c r="Z27" s="120" t="n">
        <f aca="false">INDEX(A_Post,1,21)</f>
        <v>0</v>
      </c>
      <c r="AA27" s="120" t="n">
        <f aca="false">INDEX(A_Post,1,22)</f>
        <v>0</v>
      </c>
      <c r="AB27" s="120" t="n">
        <f aca="false">INDEX(A_Post,1,23)</f>
        <v>0</v>
      </c>
      <c r="AC27" s="120" t="n">
        <f aca="false">INDEX(A_Post,1,24)</f>
        <v>0</v>
      </c>
      <c r="AD27" s="120" t="n">
        <f aca="false">INDEX(A_Post,1,25)</f>
        <v>0</v>
      </c>
      <c r="AE27" s="120" t="n">
        <f aca="false">INDEX(A_Post,1,26)</f>
        <v>0</v>
      </c>
      <c r="AF27" s="120" t="n">
        <f aca="false">INDEX(A_Post,1,27)</f>
        <v>0</v>
      </c>
      <c r="AG27" s="120" t="n">
        <f aca="false">INDEX(A_Post,1,28)</f>
        <v>205.8940525785</v>
      </c>
      <c r="AI27" s="120" t="n">
        <f aca="false">SUMIF($F$7:$AG$7,AI$7,$F27:$AG27)</f>
        <v>0</v>
      </c>
      <c r="AJ27" s="120" t="n">
        <f aca="false">SUMIF($F$7:$AG$7,AJ$7,$F27:$AG27)</f>
        <v>0</v>
      </c>
      <c r="AK27" s="120" t="n">
        <f aca="false">SUMIF($F$7:$AG$7,AK$7,$F27:$AG27)</f>
        <v>0</v>
      </c>
      <c r="AL27" s="120" t="n">
        <f aca="false">SUMIF($F$7:$AG$7,AL$7,$F27:$AG27)</f>
        <v>0</v>
      </c>
      <c r="AM27" s="120" t="n">
        <f aca="false">SUMIF($F$7:$AG$7,AM$7,$F27:$AG27)</f>
        <v>0</v>
      </c>
      <c r="AN27" s="120" t="n">
        <f aca="false">SUMIF($F$7:$AG$7,AN$7,$F27:$AG27)</f>
        <v>0</v>
      </c>
      <c r="AO27" s="120" t="n">
        <f aca="false">SUMIF($F$7:$AG$7,AO$7,$F27:$AG27)</f>
        <v>205.8940525785</v>
      </c>
    </row>
    <row r="29" customFormat="false" ht="15" hidden="false" customHeight="false" outlineLevel="0" collapsed="false">
      <c r="A29" s="48" t="s">
        <v>1534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</row>
    <row r="30" customFormat="false" ht="15" hidden="false" customHeight="false" outlineLevel="0" collapsed="false">
      <c r="A30" s="101" t="s">
        <v>1535</v>
      </c>
      <c r="B30" s="18" t="s">
        <v>456</v>
      </c>
      <c r="C30" s="18" t="s">
        <v>336</v>
      </c>
      <c r="D30" s="18" t="s">
        <v>1536</v>
      </c>
      <c r="E30" s="25" t="n">
        <f aca="false">E17</f>
        <v>13713</v>
      </c>
      <c r="F30" s="105" t="n">
        <f aca="false">MAX(0,F17-INDEX(A_GPU_H,1,1))</f>
        <v>13713</v>
      </c>
      <c r="G30" s="105" t="n">
        <f aca="false">MAX(0,G17-INDEX(A_GPU_H,1,2))</f>
        <v>13713</v>
      </c>
      <c r="H30" s="105" t="n">
        <f aca="false">MAX(0,H17-INDEX(A_GPU_H,1,3))</f>
        <v>13713</v>
      </c>
      <c r="I30" s="105" t="n">
        <f aca="false">MAX(0,I17-INDEX(A_GPU_H,1,4))</f>
        <v>16456</v>
      </c>
      <c r="J30" s="105" t="n">
        <f aca="false">MAX(0,J17-INDEX(A_GPU_H,1,5))</f>
        <v>30000</v>
      </c>
      <c r="K30" s="105" t="n">
        <f aca="false">MAX(0,K17-INDEX(A_GPU_H,1,6))</f>
        <v>32743</v>
      </c>
      <c r="L30" s="105" t="n">
        <f aca="false">MAX(0,L17-INDEX(A_GPU_H,1,7))</f>
        <v>32743</v>
      </c>
      <c r="M30" s="105" t="n">
        <f aca="false">MAX(0,M17-INDEX(A_GPU_H,1,8))</f>
        <v>32743</v>
      </c>
      <c r="N30" s="105" t="n">
        <f aca="false">MAX(0,N17-INDEX(A_GPU_H,1,9))</f>
        <v>32743</v>
      </c>
      <c r="O30" s="105" t="n">
        <f aca="false">MAX(0,O17-INDEX(A_GPU_H,1,10))</f>
        <v>32743</v>
      </c>
      <c r="P30" s="25" t="n">
        <f aca="false">MAX(0,P17-INDEX(A_GPU_H,1,11))</f>
        <v>32743</v>
      </c>
      <c r="Q30" s="25" t="n">
        <f aca="false">MAX(0,Q17-INDEX(A_GPU_H,1,12))</f>
        <v>32743</v>
      </c>
      <c r="R30" s="25" t="n">
        <f aca="false">MAX(0,R17-INDEX(A_GPU_H,1,13))</f>
        <v>32743</v>
      </c>
      <c r="S30" s="25" t="n">
        <f aca="false">MAX(0,S17-INDEX(A_GPU_H,1,14))</f>
        <v>32743</v>
      </c>
      <c r="T30" s="25" t="n">
        <f aca="false">MAX(0,T17-INDEX(A_GPU_H,1,15))</f>
        <v>32743</v>
      </c>
      <c r="U30" s="25" t="n">
        <f aca="false">MAX(0,U17-INDEX(A_GPU_H,1,16))</f>
        <v>32743</v>
      </c>
      <c r="V30" s="25" t="n">
        <f aca="false">MAX(0,V17-INDEX(A_GPU_H,1,17))</f>
        <v>32743</v>
      </c>
      <c r="W30" s="25" t="n">
        <f aca="false">MAX(0,W17-INDEX(A_GPU_H,1,18))</f>
        <v>32743</v>
      </c>
      <c r="X30" s="25" t="n">
        <f aca="false">MAX(0,X17-INDEX(A_GPU_H,1,19))</f>
        <v>32743</v>
      </c>
      <c r="Y30" s="25" t="n">
        <f aca="false">MAX(0,Y17-INDEX(A_GPU_H,1,20))</f>
        <v>32743</v>
      </c>
      <c r="Z30" s="25" t="n">
        <f aca="false">MAX(0,Z17-INDEX(A_GPU_H,1,21))</f>
        <v>32743</v>
      </c>
      <c r="AA30" s="25" t="n">
        <f aca="false">MAX(0,AA17-INDEX(A_GPU_H,1,22))</f>
        <v>32743</v>
      </c>
      <c r="AB30" s="25" t="n">
        <f aca="false">MAX(0,AB17-INDEX(A_GPU_H,1,23))</f>
        <v>32743</v>
      </c>
      <c r="AC30" s="25" t="n">
        <f aca="false">MAX(0,AC17-INDEX(A_GPU_H,1,24))</f>
        <v>32743</v>
      </c>
      <c r="AD30" s="25" t="n">
        <f aca="false">MAX(0,AD17-INDEX(A_GPU_H,1,25))</f>
        <v>32743</v>
      </c>
      <c r="AE30" s="25" t="n">
        <f aca="false">MAX(0,AE17-INDEX(A_GPU_H,1,26))</f>
        <v>32743</v>
      </c>
      <c r="AF30" s="25" t="n">
        <f aca="false">MAX(0,AF17-INDEX(A_GPU_H,1,27))</f>
        <v>32743</v>
      </c>
      <c r="AG30" s="25" t="n">
        <f aca="false">MAX(0,AG17-INDEX(A_GPU_H,1,28))</f>
        <v>32743</v>
      </c>
      <c r="AI30" s="25" t="n">
        <f aca="false">INDEX($F30:$AG30,1,MATCH(AI$7,$F$7:$AG$7,1))</f>
        <v>16456</v>
      </c>
      <c r="AJ30" s="25" t="n">
        <f aca="false">INDEX($F30:$AG30,1,MATCH(AJ$7,$F$7:$AG$7,1))</f>
        <v>32743</v>
      </c>
      <c r="AK30" s="25" t="n">
        <f aca="false">INDEX($F30:$AG30,1,MATCH(AK$7,$F$7:$AG$7,1))</f>
        <v>32743</v>
      </c>
      <c r="AL30" s="25" t="n">
        <f aca="false">INDEX($F30:$AG30,1,MATCH(AL$7,$F$7:$AG$7,1))</f>
        <v>32743</v>
      </c>
      <c r="AM30" s="25" t="n">
        <f aca="false">INDEX($F30:$AG30,1,MATCH(AM$7,$F$7:$AG$7,1))</f>
        <v>32743</v>
      </c>
      <c r="AN30" s="25" t="n">
        <f aca="false">INDEX($F30:$AG30,1,MATCH(AN$7,$F$7:$AG$7,1))</f>
        <v>32743</v>
      </c>
      <c r="AO30" s="25" t="n">
        <f aca="false">INDEX($F30:$AG30,1,MATCH(AO$7,$F$7:$AG$7,1))</f>
        <v>32743</v>
      </c>
    </row>
    <row r="31" customFormat="false" ht="15" hidden="false" customHeight="false" outlineLevel="0" collapsed="false">
      <c r="A31" s="101" t="s">
        <v>1537</v>
      </c>
      <c r="B31" s="18" t="s">
        <v>456</v>
      </c>
      <c r="C31" s="18" t="s">
        <v>336</v>
      </c>
      <c r="D31" s="18" t="s">
        <v>1536</v>
      </c>
      <c r="E31" s="25" t="n">
        <f aca="false">E18</f>
        <v>0</v>
      </c>
      <c r="F31" s="105" t="n">
        <f aca="false">MAX(0,F18-INDEX(A_GPU_B,1,1))</f>
        <v>0</v>
      </c>
      <c r="G31" s="105" t="n">
        <f aca="false">MAX(0,G18-INDEX(A_GPU_B,1,2))</f>
        <v>0</v>
      </c>
      <c r="H31" s="105" t="n">
        <f aca="false">MAX(0,H18-INDEX(A_GPU_B,1,3))</f>
        <v>0</v>
      </c>
      <c r="I31" s="105" t="n">
        <f aca="false">MAX(0,I18-INDEX(A_GPU_B,1,4))</f>
        <v>0</v>
      </c>
      <c r="J31" s="105" t="n">
        <f aca="false">MAX(0,J18-INDEX(A_GPU_B,1,5))</f>
        <v>0</v>
      </c>
      <c r="K31" s="105" t="n">
        <f aca="false">MAX(0,K18-INDEX(A_GPU_B,1,6))</f>
        <v>0</v>
      </c>
      <c r="L31" s="105" t="n">
        <f aca="false">MAX(0,L18-INDEX(A_GPU_B,1,7))</f>
        <v>7072</v>
      </c>
      <c r="M31" s="105" t="n">
        <f aca="false">MAX(0,M18-INDEX(A_GPU_B,1,8))</f>
        <v>19224.0833333333</v>
      </c>
      <c r="N31" s="105" t="n">
        <f aca="false">MAX(0,N18-INDEX(A_GPU_B,1,9))</f>
        <v>12239.1666666667</v>
      </c>
      <c r="O31" s="105" t="n">
        <f aca="false">MAX(0,O18-INDEX(A_GPU_B,1,10))</f>
        <v>12226.1666666667</v>
      </c>
      <c r="P31" s="25" t="n">
        <f aca="false">MAX(0,P18-INDEX(A_GPU_B,1,11))</f>
        <v>12226.1666666667</v>
      </c>
      <c r="Q31" s="25" t="n">
        <f aca="false">MAX(0,Q18-INDEX(A_GPU_B,1,12))</f>
        <v>14882.1666666667</v>
      </c>
      <c r="R31" s="25" t="n">
        <f aca="false">MAX(0,R18-INDEX(A_GPU_B,1,13))</f>
        <v>47749.1666666666</v>
      </c>
      <c r="S31" s="25" t="n">
        <f aca="false">MAX(0,S18-INDEX(A_GPU_B,1,14))</f>
        <v>84273.1666666667</v>
      </c>
      <c r="T31" s="25" t="n">
        <f aca="false">MAX(0,T18-INDEX(A_GPU_B,1,15))</f>
        <v>111257.166666667</v>
      </c>
      <c r="U31" s="25" t="n">
        <f aca="false">MAX(0,U18-INDEX(A_GPU_B,1,16))</f>
        <v>118219.166666667</v>
      </c>
      <c r="V31" s="25" t="n">
        <f aca="false">MAX(0,V18-INDEX(A_GPU_B,1,17))</f>
        <v>146381.166666667</v>
      </c>
      <c r="W31" s="25" t="n">
        <f aca="false">MAX(0,W18-INDEX(A_GPU_B,1,18))</f>
        <v>146381.166666667</v>
      </c>
      <c r="X31" s="25" t="n">
        <f aca="false">MAX(0,X18-INDEX(A_GPU_B,1,19))</f>
        <v>146381.166666667</v>
      </c>
      <c r="Y31" s="25" t="n">
        <f aca="false">MAX(0,Y18-INDEX(A_GPU_B,1,20))</f>
        <v>146381.166666667</v>
      </c>
      <c r="Z31" s="25" t="n">
        <f aca="false">MAX(0,Z18-INDEX(A_GPU_B,1,21))</f>
        <v>170939.166666667</v>
      </c>
      <c r="AA31" s="25" t="n">
        <f aca="false">MAX(0,AA18-INDEX(A_GPU_B,1,22))</f>
        <v>170939.166666667</v>
      </c>
      <c r="AB31" s="25" t="n">
        <f aca="false">MAX(0,AB18-INDEX(A_GPU_B,1,23))</f>
        <v>170939.166666667</v>
      </c>
      <c r="AC31" s="25" t="n">
        <f aca="false">MAX(0,AC18-INDEX(A_GPU_B,1,24))</f>
        <v>170939.166666667</v>
      </c>
      <c r="AD31" s="25" t="n">
        <f aca="false">MAX(0,AD18-INDEX(A_GPU_B,1,25))</f>
        <v>170939.166666667</v>
      </c>
      <c r="AE31" s="25" t="n">
        <f aca="false">MAX(0,AE18-INDEX(A_GPU_B,1,26))</f>
        <v>170939.166666667</v>
      </c>
      <c r="AF31" s="25" t="n">
        <f aca="false">MAX(0,AF18-INDEX(A_GPU_B,1,27))</f>
        <v>170939.166666667</v>
      </c>
      <c r="AG31" s="25" t="n">
        <f aca="false">MAX(0,AG18-INDEX(A_GPU_B,1,28))</f>
        <v>170939.166666667</v>
      </c>
      <c r="AI31" s="25" t="n">
        <f aca="false">INDEX($F31:$AG31,1,MATCH(AI$7,$F$7:$AG$7,1))</f>
        <v>0</v>
      </c>
      <c r="AJ31" s="25" t="n">
        <f aca="false">INDEX($F31:$AG31,1,MATCH(AJ$7,$F$7:$AG$7,1))</f>
        <v>19224.0833333333</v>
      </c>
      <c r="AK31" s="25" t="n">
        <f aca="false">INDEX($F31:$AG31,1,MATCH(AK$7,$F$7:$AG$7,1))</f>
        <v>14882.1666666667</v>
      </c>
      <c r="AL31" s="25" t="n">
        <f aca="false">INDEX($F31:$AG31,1,MATCH(AL$7,$F$7:$AG$7,1))</f>
        <v>118219.166666667</v>
      </c>
      <c r="AM31" s="25" t="n">
        <f aca="false">INDEX($F31:$AG31,1,MATCH(AM$7,$F$7:$AG$7,1))</f>
        <v>146381.166666667</v>
      </c>
      <c r="AN31" s="25" t="n">
        <f aca="false">INDEX($F31:$AG31,1,MATCH(AN$7,$F$7:$AG$7,1))</f>
        <v>170939.166666667</v>
      </c>
      <c r="AO31" s="25" t="n">
        <f aca="false">INDEX($F31:$AG31,1,MATCH(AO$7,$F$7:$AG$7,1))</f>
        <v>170939.166666667</v>
      </c>
    </row>
    <row r="32" customFormat="false" ht="15" hidden="false" customHeight="false" outlineLevel="0" collapsed="false">
      <c r="A32" s="101" t="s">
        <v>1538</v>
      </c>
      <c r="B32" s="18" t="s">
        <v>456</v>
      </c>
      <c r="C32" s="18" t="s">
        <v>336</v>
      </c>
      <c r="D32" s="18" t="s">
        <v>1536</v>
      </c>
      <c r="E32" s="25" t="n">
        <f aca="false">E19</f>
        <v>0</v>
      </c>
      <c r="F32" s="105" t="n">
        <f aca="false">MAX(0,F19-INDEX(A_GPU_N,1,1))</f>
        <v>0</v>
      </c>
      <c r="G32" s="105" t="n">
        <f aca="false">MAX(0,G19-INDEX(A_GPU_N,1,2))</f>
        <v>0</v>
      </c>
      <c r="H32" s="105" t="n">
        <f aca="false">MAX(0,H19-INDEX(A_GPU_N,1,3))</f>
        <v>0</v>
      </c>
      <c r="I32" s="105" t="n">
        <f aca="false">MAX(0,I19-INDEX(A_GPU_N,1,4))</f>
        <v>0</v>
      </c>
      <c r="J32" s="105" t="n">
        <f aca="false">MAX(0,J19-INDEX(A_GPU_N,1,5))</f>
        <v>0</v>
      </c>
      <c r="K32" s="105" t="n">
        <f aca="false">MAX(0,K19-INDEX(A_GPU_N,1,6))</f>
        <v>0</v>
      </c>
      <c r="L32" s="105" t="n">
        <f aca="false">MAX(0,L19-INDEX(A_GPU_N,1,7))</f>
        <v>0</v>
      </c>
      <c r="M32" s="105" t="n">
        <f aca="false">MAX(0,M19-INDEX(A_GPU_N,1,8))</f>
        <v>0</v>
      </c>
      <c r="N32" s="105" t="n">
        <f aca="false">MAX(0,N19-INDEX(A_GPU_N,1,9))</f>
        <v>0</v>
      </c>
      <c r="O32" s="105" t="n">
        <f aca="false">MAX(0,O19-INDEX(A_GPU_N,1,10))</f>
        <v>0</v>
      </c>
      <c r="P32" s="25" t="n">
        <f aca="false">MAX(0,P19-INDEX(A_GPU_N,1,11))</f>
        <v>0</v>
      </c>
      <c r="Q32" s="25" t="n">
        <f aca="false">MAX(0,Q19-INDEX(A_GPU_N,1,12))</f>
        <v>0</v>
      </c>
      <c r="R32" s="25" t="n">
        <f aca="false">MAX(0,R19-INDEX(A_GPU_N,1,13))</f>
        <v>0</v>
      </c>
      <c r="S32" s="25" t="n">
        <f aca="false">MAX(0,S19-INDEX(A_GPU_N,1,14))</f>
        <v>3338</v>
      </c>
      <c r="T32" s="25" t="n">
        <f aca="false">MAX(0,T19-INDEX(A_GPU_N,1,15))</f>
        <v>0</v>
      </c>
      <c r="U32" s="25" t="n">
        <f aca="false">MAX(0,U19-INDEX(A_GPU_N,1,16))</f>
        <v>5911.66666666666</v>
      </c>
      <c r="V32" s="25" t="n">
        <f aca="false">MAX(0,V19-INDEX(A_GPU_N,1,17))</f>
        <v>63312.6666666667</v>
      </c>
      <c r="W32" s="25" t="n">
        <f aca="false">MAX(0,W19-INDEX(A_GPU_N,1,18))</f>
        <v>94012.6666666667</v>
      </c>
      <c r="X32" s="25" t="n">
        <f aca="false">MAX(0,X19-INDEX(A_GPU_N,1,19))</f>
        <v>146076.666666667</v>
      </c>
      <c r="Y32" s="25" t="n">
        <f aca="false">MAX(0,Y19-INDEX(A_GPU_N,1,20))</f>
        <v>150076.666666667</v>
      </c>
      <c r="Z32" s="25" t="n">
        <f aca="false">MAX(0,Z19-INDEX(A_GPU_N,1,21))</f>
        <v>243526.666666667</v>
      </c>
      <c r="AA32" s="25" t="n">
        <f aca="false">MAX(0,AA19-INDEX(A_GPU_N,1,22))</f>
        <v>243526.666666667</v>
      </c>
      <c r="AB32" s="25" t="n">
        <f aca="false">MAX(0,AB19-INDEX(A_GPU_N,1,23))</f>
        <v>355666.666666667</v>
      </c>
      <c r="AC32" s="25" t="n">
        <f aca="false">MAX(0,AC19-INDEX(A_GPU_N,1,24))</f>
        <v>355666.666666667</v>
      </c>
      <c r="AD32" s="25" t="n">
        <f aca="false">MAX(0,AD19-INDEX(A_GPU_N,1,25))</f>
        <v>511861.666666667</v>
      </c>
      <c r="AE32" s="25" t="n">
        <f aca="false">MAX(0,AE19-INDEX(A_GPU_N,1,26))</f>
        <v>511861.666666667</v>
      </c>
      <c r="AF32" s="25" t="n">
        <f aca="false">MAX(0,AF19-INDEX(A_GPU_N,1,27))</f>
        <v>511861.666666667</v>
      </c>
      <c r="AG32" s="25" t="n">
        <f aca="false">MAX(0,AG19-INDEX(A_GPU_N,1,28))</f>
        <v>511861.666666667</v>
      </c>
      <c r="AI32" s="25" t="n">
        <f aca="false">INDEX($F32:$AG32,1,MATCH(AI$7,$F$7:$AG$7,1))</f>
        <v>0</v>
      </c>
      <c r="AJ32" s="25" t="n">
        <f aca="false">INDEX($F32:$AG32,1,MATCH(AJ$7,$F$7:$AG$7,1))</f>
        <v>0</v>
      </c>
      <c r="AK32" s="25" t="n">
        <f aca="false">INDEX($F32:$AG32,1,MATCH(AK$7,$F$7:$AG$7,1))</f>
        <v>0</v>
      </c>
      <c r="AL32" s="25" t="n">
        <f aca="false">INDEX($F32:$AG32,1,MATCH(AL$7,$F$7:$AG$7,1))</f>
        <v>5911.66666666666</v>
      </c>
      <c r="AM32" s="25" t="n">
        <f aca="false">INDEX($F32:$AG32,1,MATCH(AM$7,$F$7:$AG$7,1))</f>
        <v>150076.666666667</v>
      </c>
      <c r="AN32" s="25" t="n">
        <f aca="false">INDEX($F32:$AG32,1,MATCH(AN$7,$F$7:$AG$7,1))</f>
        <v>355666.666666667</v>
      </c>
      <c r="AO32" s="25" t="n">
        <f aca="false">INDEX($F32:$AG32,1,MATCH(AO$7,$F$7:$AG$7,1))</f>
        <v>511861.666666667</v>
      </c>
    </row>
    <row r="33" customFormat="false" ht="15" hidden="false" customHeight="false" outlineLevel="0" collapsed="false">
      <c r="A33" s="101" t="s">
        <v>1539</v>
      </c>
      <c r="B33" s="18" t="s">
        <v>456</v>
      </c>
      <c r="C33" s="18" t="s">
        <v>336</v>
      </c>
      <c r="D33" s="18"/>
      <c r="F33" s="105" t="n">
        <f aca="false">AVERAGE(E30,F30)</f>
        <v>13713</v>
      </c>
      <c r="G33" s="105" t="n">
        <f aca="false">AVERAGE(F30,G30)</f>
        <v>13713</v>
      </c>
      <c r="H33" s="105" t="n">
        <f aca="false">AVERAGE(G30,H30)</f>
        <v>13713</v>
      </c>
      <c r="I33" s="105" t="n">
        <f aca="false">AVERAGE(H30,I30)</f>
        <v>15084.5</v>
      </c>
      <c r="J33" s="105" t="n">
        <f aca="false">AVERAGE(I30,J30)</f>
        <v>23228</v>
      </c>
      <c r="K33" s="105" t="n">
        <f aca="false">AVERAGE(J30,K30)</f>
        <v>31371.5</v>
      </c>
      <c r="L33" s="105" t="n">
        <f aca="false">AVERAGE(K30,L30)</f>
        <v>32743</v>
      </c>
      <c r="M33" s="105" t="n">
        <f aca="false">AVERAGE(L30,M30)</f>
        <v>32743</v>
      </c>
      <c r="N33" s="105" t="n">
        <f aca="false">AVERAGE(M30,N30)</f>
        <v>32743</v>
      </c>
      <c r="O33" s="105" t="n">
        <f aca="false">AVERAGE(N30,O30)</f>
        <v>32743</v>
      </c>
      <c r="P33" s="25" t="n">
        <f aca="false">AVERAGE(O30,P30)</f>
        <v>32743</v>
      </c>
      <c r="Q33" s="25" t="n">
        <f aca="false">AVERAGE(P30,Q30)</f>
        <v>32743</v>
      </c>
      <c r="R33" s="25" t="n">
        <f aca="false">AVERAGE(Q30,R30)</f>
        <v>32743</v>
      </c>
      <c r="S33" s="25" t="n">
        <f aca="false">AVERAGE(R30,S30)</f>
        <v>32743</v>
      </c>
      <c r="T33" s="25" t="n">
        <f aca="false">AVERAGE(S30,T30)</f>
        <v>32743</v>
      </c>
      <c r="U33" s="25" t="n">
        <f aca="false">AVERAGE(T30,U30)</f>
        <v>32743</v>
      </c>
      <c r="V33" s="25" t="n">
        <f aca="false">AVERAGE(U30,V30)</f>
        <v>32743</v>
      </c>
      <c r="W33" s="25" t="n">
        <f aca="false">AVERAGE(V30,W30)</f>
        <v>32743</v>
      </c>
      <c r="X33" s="25" t="n">
        <f aca="false">AVERAGE(W30,X30)</f>
        <v>32743</v>
      </c>
      <c r="Y33" s="25" t="n">
        <f aca="false">AVERAGE(X30,Y30)</f>
        <v>32743</v>
      </c>
      <c r="Z33" s="25" t="n">
        <f aca="false">AVERAGE(Y30,Z30)</f>
        <v>32743</v>
      </c>
      <c r="AA33" s="25" t="n">
        <f aca="false">AVERAGE(Z30,AA30)</f>
        <v>32743</v>
      </c>
      <c r="AB33" s="25" t="n">
        <f aca="false">AVERAGE(AA30,AB30)</f>
        <v>32743</v>
      </c>
      <c r="AC33" s="25" t="n">
        <f aca="false">AVERAGE(AB30,AC30)</f>
        <v>32743</v>
      </c>
      <c r="AD33" s="25" t="n">
        <f aca="false">AVERAGE(AC30,AD30)</f>
        <v>32743</v>
      </c>
      <c r="AE33" s="25" t="n">
        <f aca="false">AVERAGE(AD30,AE30)</f>
        <v>32743</v>
      </c>
      <c r="AF33" s="25" t="n">
        <f aca="false">AVERAGE(AE30,AF30)</f>
        <v>32743</v>
      </c>
      <c r="AG33" s="25" t="n">
        <f aca="false">AVERAGE(AF30,AG30)</f>
        <v>32743</v>
      </c>
      <c r="AI33" s="25" t="n">
        <f aca="false">AVERAGEIF($F$7:$AG$7,AI$7,$F33:$AG33)</f>
        <v>14055.875</v>
      </c>
      <c r="AJ33" s="25" t="n">
        <f aca="false">AVERAGEIF($F$7:$AG$7,AJ$7,$F33:$AG33)</f>
        <v>30021.375</v>
      </c>
      <c r="AK33" s="25" t="n">
        <f aca="false">AVERAGEIF($F$7:$AG$7,AK$7,$F33:$AG33)</f>
        <v>32743</v>
      </c>
      <c r="AL33" s="25" t="n">
        <f aca="false">AVERAGEIF($F$7:$AG$7,AL$7,$F33:$AG33)</f>
        <v>32743</v>
      </c>
      <c r="AM33" s="25" t="n">
        <f aca="false">AVERAGEIF($F$7:$AG$7,AM$7,$F33:$AG33)</f>
        <v>32743</v>
      </c>
      <c r="AN33" s="25" t="n">
        <f aca="false">AVERAGEIF($F$7:$AG$7,AN$7,$F33:$AG33)</f>
        <v>32743</v>
      </c>
      <c r="AO33" s="25" t="n">
        <f aca="false">AVERAGEIF($F$7:$AG$7,AO$7,$F33:$AG33)</f>
        <v>32743</v>
      </c>
    </row>
    <row r="34" customFormat="false" ht="15" hidden="false" customHeight="false" outlineLevel="0" collapsed="false">
      <c r="A34" s="101" t="s">
        <v>1540</v>
      </c>
      <c r="B34" s="18" t="s">
        <v>456</v>
      </c>
      <c r="C34" s="18" t="s">
        <v>336</v>
      </c>
      <c r="D34" s="18"/>
      <c r="F34" s="105" t="n">
        <f aca="false">AVERAGE(E31,F31)</f>
        <v>0</v>
      </c>
      <c r="G34" s="105" t="n">
        <f aca="false">AVERAGE(F31,G31)</f>
        <v>0</v>
      </c>
      <c r="H34" s="105" t="n">
        <f aca="false">AVERAGE(G31,H31)</f>
        <v>0</v>
      </c>
      <c r="I34" s="105" t="n">
        <f aca="false">AVERAGE(H31,I31)</f>
        <v>0</v>
      </c>
      <c r="J34" s="105" t="n">
        <f aca="false">AVERAGE(I31,J31)</f>
        <v>0</v>
      </c>
      <c r="K34" s="105" t="n">
        <f aca="false">AVERAGE(J31,K31)</f>
        <v>0</v>
      </c>
      <c r="L34" s="105" t="n">
        <f aca="false">AVERAGE(K31,L31)</f>
        <v>3536</v>
      </c>
      <c r="M34" s="105" t="n">
        <f aca="false">AVERAGE(L31,M31)</f>
        <v>13148.0416666667</v>
      </c>
      <c r="N34" s="105" t="n">
        <f aca="false">AVERAGE(M31,N31)</f>
        <v>15731.625</v>
      </c>
      <c r="O34" s="105" t="n">
        <f aca="false">AVERAGE(N31,O31)</f>
        <v>12232.6666666667</v>
      </c>
      <c r="P34" s="25" t="n">
        <f aca="false">AVERAGE(O31,P31)</f>
        <v>12226.1666666667</v>
      </c>
      <c r="Q34" s="25" t="n">
        <f aca="false">AVERAGE(P31,Q31)</f>
        <v>13554.1666666667</v>
      </c>
      <c r="R34" s="25" t="n">
        <f aca="false">AVERAGE(Q31,R31)</f>
        <v>31315.6666666667</v>
      </c>
      <c r="S34" s="25" t="n">
        <f aca="false">AVERAGE(R31,S31)</f>
        <v>66011.1666666667</v>
      </c>
      <c r="T34" s="25" t="n">
        <f aca="false">AVERAGE(S31,T31)</f>
        <v>97765.1666666667</v>
      </c>
      <c r="U34" s="25" t="n">
        <f aca="false">AVERAGE(T31,U31)</f>
        <v>114738.166666667</v>
      </c>
      <c r="V34" s="25" t="n">
        <f aca="false">AVERAGE(U31,V31)</f>
        <v>132300.166666667</v>
      </c>
      <c r="W34" s="25" t="n">
        <f aca="false">AVERAGE(V31,W31)</f>
        <v>146381.166666667</v>
      </c>
      <c r="X34" s="25" t="n">
        <f aca="false">AVERAGE(W31,X31)</f>
        <v>146381.166666667</v>
      </c>
      <c r="Y34" s="25" t="n">
        <f aca="false">AVERAGE(X31,Y31)</f>
        <v>146381.166666667</v>
      </c>
      <c r="Z34" s="25" t="n">
        <f aca="false">AVERAGE(Y31,Z31)</f>
        <v>158660.166666667</v>
      </c>
      <c r="AA34" s="25" t="n">
        <f aca="false">AVERAGE(Z31,AA31)</f>
        <v>170939.166666667</v>
      </c>
      <c r="AB34" s="25" t="n">
        <f aca="false">AVERAGE(AA31,AB31)</f>
        <v>170939.166666667</v>
      </c>
      <c r="AC34" s="25" t="n">
        <f aca="false">AVERAGE(AB31,AC31)</f>
        <v>170939.166666667</v>
      </c>
      <c r="AD34" s="25" t="n">
        <f aca="false">AVERAGE(AC31,AD31)</f>
        <v>170939.166666667</v>
      </c>
      <c r="AE34" s="25" t="n">
        <f aca="false">AVERAGE(AD31,AE31)</f>
        <v>170939.166666667</v>
      </c>
      <c r="AF34" s="25" t="n">
        <f aca="false">AVERAGE(AE31,AF31)</f>
        <v>170939.166666667</v>
      </c>
      <c r="AG34" s="25" t="n">
        <f aca="false">AVERAGE(AF31,AG31)</f>
        <v>170939.166666667</v>
      </c>
      <c r="AI34" s="25" t="n">
        <f aca="false">AVERAGEIF($F$7:$AG$7,AI$7,$F34:$AG34)</f>
        <v>0</v>
      </c>
      <c r="AJ34" s="25" t="n">
        <f aca="false">AVERAGEIF($F$7:$AG$7,AJ$7,$F34:$AG34)</f>
        <v>4171.01041666667</v>
      </c>
      <c r="AK34" s="25" t="n">
        <f aca="false">AVERAGEIF($F$7:$AG$7,AK$7,$F34:$AG34)</f>
        <v>13436.15625</v>
      </c>
      <c r="AL34" s="25" t="n">
        <f aca="false">AVERAGEIF($F$7:$AG$7,AL$7,$F34:$AG34)</f>
        <v>77457.5416666667</v>
      </c>
      <c r="AM34" s="25" t="n">
        <f aca="false">AVERAGEIF($F$7:$AG$7,AM$7,$F34:$AG34)</f>
        <v>142860.916666667</v>
      </c>
      <c r="AN34" s="25" t="n">
        <f aca="false">AVERAGEIF($F$7:$AG$7,AN$7,$F34:$AG34)</f>
        <v>167869.416666667</v>
      </c>
      <c r="AO34" s="25" t="n">
        <f aca="false">AVERAGEIF($F$7:$AG$7,AO$7,$F34:$AG34)</f>
        <v>170939.166666667</v>
      </c>
    </row>
    <row r="35" customFormat="false" ht="15" hidden="false" customHeight="false" outlineLevel="0" collapsed="false">
      <c r="A35" s="101" t="s">
        <v>1541</v>
      </c>
      <c r="B35" s="18" t="s">
        <v>456</v>
      </c>
      <c r="C35" s="18" t="s">
        <v>336</v>
      </c>
      <c r="D35" s="18"/>
      <c r="F35" s="105" t="n">
        <f aca="false">AVERAGE(E32,F32)</f>
        <v>0</v>
      </c>
      <c r="G35" s="105" t="n">
        <f aca="false">AVERAGE(F32,G32)</f>
        <v>0</v>
      </c>
      <c r="H35" s="105" t="n">
        <f aca="false">AVERAGE(G32,H32)</f>
        <v>0</v>
      </c>
      <c r="I35" s="105" t="n">
        <f aca="false">AVERAGE(H32,I32)</f>
        <v>0</v>
      </c>
      <c r="J35" s="105" t="n">
        <f aca="false">AVERAGE(I32,J32)</f>
        <v>0</v>
      </c>
      <c r="K35" s="105" t="n">
        <f aca="false">AVERAGE(J32,K32)</f>
        <v>0</v>
      </c>
      <c r="L35" s="105" t="n">
        <f aca="false">AVERAGE(K32,L32)</f>
        <v>0</v>
      </c>
      <c r="M35" s="105" t="n">
        <f aca="false">AVERAGE(L32,M32)</f>
        <v>0</v>
      </c>
      <c r="N35" s="105" t="n">
        <f aca="false">AVERAGE(M32,N32)</f>
        <v>0</v>
      </c>
      <c r="O35" s="105" t="n">
        <f aca="false">AVERAGE(N32,O32)</f>
        <v>0</v>
      </c>
      <c r="P35" s="25" t="n">
        <f aca="false">AVERAGE(O32,P32)</f>
        <v>0</v>
      </c>
      <c r="Q35" s="25" t="n">
        <f aca="false">AVERAGE(P32,Q32)</f>
        <v>0</v>
      </c>
      <c r="R35" s="25" t="n">
        <f aca="false">AVERAGE(Q32,R32)</f>
        <v>0</v>
      </c>
      <c r="S35" s="25" t="n">
        <f aca="false">AVERAGE(R32,S32)</f>
        <v>1669</v>
      </c>
      <c r="T35" s="25" t="n">
        <f aca="false">AVERAGE(S32,T32)</f>
        <v>1669</v>
      </c>
      <c r="U35" s="25" t="n">
        <f aca="false">AVERAGE(T32,U32)</f>
        <v>2955.83333333333</v>
      </c>
      <c r="V35" s="25" t="n">
        <f aca="false">AVERAGE(U32,V32)</f>
        <v>34612.1666666667</v>
      </c>
      <c r="W35" s="25" t="n">
        <f aca="false">AVERAGE(V32,W32)</f>
        <v>78662.6666666667</v>
      </c>
      <c r="X35" s="25" t="n">
        <f aca="false">AVERAGE(W32,X32)</f>
        <v>120044.666666667</v>
      </c>
      <c r="Y35" s="25" t="n">
        <f aca="false">AVERAGE(X32,Y32)</f>
        <v>148076.666666667</v>
      </c>
      <c r="Z35" s="25" t="n">
        <f aca="false">AVERAGE(Y32,Z32)</f>
        <v>196801.666666667</v>
      </c>
      <c r="AA35" s="25" t="n">
        <f aca="false">AVERAGE(Z32,AA32)</f>
        <v>243526.666666667</v>
      </c>
      <c r="AB35" s="25" t="n">
        <f aca="false">AVERAGE(AA32,AB32)</f>
        <v>299596.666666667</v>
      </c>
      <c r="AC35" s="25" t="n">
        <f aca="false">AVERAGE(AB32,AC32)</f>
        <v>355666.666666667</v>
      </c>
      <c r="AD35" s="25" t="n">
        <f aca="false">AVERAGE(AC32,AD32)</f>
        <v>433764.166666667</v>
      </c>
      <c r="AE35" s="25" t="n">
        <f aca="false">AVERAGE(AD32,AE32)</f>
        <v>511861.666666667</v>
      </c>
      <c r="AF35" s="25" t="n">
        <f aca="false">AVERAGE(AE32,AF32)</f>
        <v>511861.666666667</v>
      </c>
      <c r="AG35" s="25" t="n">
        <f aca="false">AVERAGE(AF32,AG32)</f>
        <v>511861.666666667</v>
      </c>
      <c r="AI35" s="25" t="n">
        <f aca="false">AVERAGEIF($F$7:$AG$7,AI$7,$F35:$AG35)</f>
        <v>0</v>
      </c>
      <c r="AJ35" s="25" t="n">
        <f aca="false">AVERAGEIF($F$7:$AG$7,AJ$7,$F35:$AG35)</f>
        <v>0</v>
      </c>
      <c r="AK35" s="25" t="n">
        <f aca="false">AVERAGEIF($F$7:$AG$7,AK$7,$F35:$AG35)</f>
        <v>0</v>
      </c>
      <c r="AL35" s="25" t="n">
        <f aca="false">AVERAGEIF($F$7:$AG$7,AL$7,$F35:$AG35)</f>
        <v>1573.45833333333</v>
      </c>
      <c r="AM35" s="25" t="n">
        <f aca="false">AVERAGEIF($F$7:$AG$7,AM$7,$F35:$AG35)</f>
        <v>95349.0416666667</v>
      </c>
      <c r="AN35" s="25" t="n">
        <f aca="false">AVERAGEIF($F$7:$AG$7,AN$7,$F35:$AG35)</f>
        <v>273897.916666667</v>
      </c>
      <c r="AO35" s="25" t="n">
        <f aca="false">AVERAGEIF($F$7:$AG$7,AO$7,$F35:$AG35)</f>
        <v>492337.291666667</v>
      </c>
    </row>
    <row r="36" customFormat="false" ht="15" hidden="false" customHeight="false" outlineLevel="0" collapsed="false">
      <c r="A36" s="101" t="s">
        <v>1542</v>
      </c>
      <c r="B36" s="18" t="s">
        <v>415</v>
      </c>
      <c r="C36" s="18" t="s">
        <v>336</v>
      </c>
      <c r="D36" s="18"/>
      <c r="F36" s="105" t="n">
        <f aca="false">MAX(0,F24+F25-F11)</f>
        <v>0</v>
      </c>
      <c r="G36" s="105" t="n">
        <f aca="false">MAX(0,G24+G25-G11)</f>
        <v>0</v>
      </c>
      <c r="H36" s="105" t="n">
        <f aca="false">MAX(0,H24+H25-H11)</f>
        <v>0</v>
      </c>
      <c r="I36" s="105" t="n">
        <f aca="false">MAX(0,I24+I25-I11)</f>
        <v>0</v>
      </c>
      <c r="J36" s="105" t="n">
        <f aca="false">MAX(0,J24+J25-J11)</f>
        <v>0</v>
      </c>
      <c r="K36" s="105" t="n">
        <f aca="false">MAX(0,K24+K25-K11)</f>
        <v>0</v>
      </c>
      <c r="L36" s="105" t="n">
        <f aca="false">MAX(0,L24+L25-L11)</f>
        <v>0</v>
      </c>
      <c r="M36" s="105" t="n">
        <f aca="false">MAX(0,M24+M25-M11)</f>
        <v>0</v>
      </c>
      <c r="N36" s="105" t="n">
        <f aca="false">MAX(0,N24+N25-N11)</f>
        <v>0</v>
      </c>
      <c r="O36" s="105" t="n">
        <f aca="false">MAX(0,O24+O25-O11)</f>
        <v>0</v>
      </c>
      <c r="P36" s="25" t="n">
        <f aca="false">MAX(0,P24+P25-P11)</f>
        <v>0</v>
      </c>
      <c r="Q36" s="25" t="n">
        <f aca="false">MAX(0,Q24+Q25-Q11)</f>
        <v>0</v>
      </c>
      <c r="R36" s="25" t="n">
        <f aca="false">MAX(0,R24+R25-R11)</f>
        <v>0</v>
      </c>
      <c r="S36" s="25" t="n">
        <f aca="false">MAX(0,S24+S25-S11)</f>
        <v>0</v>
      </c>
      <c r="T36" s="25" t="n">
        <f aca="false">MAX(0,T24+T25-T11)</f>
        <v>0</v>
      </c>
      <c r="U36" s="25" t="n">
        <f aca="false">MAX(0,U24+U25-U11)</f>
        <v>0</v>
      </c>
      <c r="V36" s="25" t="n">
        <f aca="false">MAX(0,V24+V25-V11)</f>
        <v>0</v>
      </c>
      <c r="W36" s="25" t="n">
        <f aca="false">MAX(0,W24+W25-W11)</f>
        <v>0</v>
      </c>
      <c r="X36" s="25" t="n">
        <f aca="false">MAX(0,X24+X25-X11)</f>
        <v>0</v>
      </c>
      <c r="Y36" s="25" t="n">
        <f aca="false">MAX(0,Y24+Y25-Y11)</f>
        <v>0</v>
      </c>
      <c r="Z36" s="25" t="n">
        <f aca="false">MAX(0,Z24+Z25-Z11)</f>
        <v>0</v>
      </c>
      <c r="AA36" s="25" t="n">
        <f aca="false">MAX(0,AA24+AA25-AA11)</f>
        <v>0</v>
      </c>
      <c r="AB36" s="25" t="n">
        <f aca="false">MAX(0,AB24+AB25-AB11)</f>
        <v>0</v>
      </c>
      <c r="AC36" s="25" t="n">
        <f aca="false">MAX(0,AC24+AC25-AC11)</f>
        <v>0</v>
      </c>
      <c r="AD36" s="25" t="n">
        <f aca="false">MAX(0,AD24+AD25-AD11)</f>
        <v>0</v>
      </c>
      <c r="AE36" s="25" t="n">
        <f aca="false">MAX(0,AE24+AE25-AE11)</f>
        <v>0</v>
      </c>
      <c r="AF36" s="25" t="n">
        <f aca="false">MAX(0,AF24+AF25-AF11)</f>
        <v>0</v>
      </c>
      <c r="AG36" s="25" t="n">
        <f aca="false">MAX(0,AG24+AG25-AG11)</f>
        <v>0</v>
      </c>
      <c r="AI36" s="25" t="n">
        <f aca="false">INDEX($F36:$AG36,1,MATCH(AI$7,$F$7:$AG$7,1))</f>
        <v>0</v>
      </c>
      <c r="AJ36" s="25" t="n">
        <f aca="false">INDEX($F36:$AG36,1,MATCH(AJ$7,$F$7:$AG$7,1))</f>
        <v>0</v>
      </c>
      <c r="AK36" s="25" t="n">
        <f aca="false">INDEX($F36:$AG36,1,MATCH(AK$7,$F$7:$AG$7,1))</f>
        <v>0</v>
      </c>
      <c r="AL36" s="25" t="n">
        <f aca="false">INDEX($F36:$AG36,1,MATCH(AL$7,$F$7:$AG$7,1))</f>
        <v>0</v>
      </c>
      <c r="AM36" s="25" t="n">
        <f aca="false">INDEX($F36:$AG36,1,MATCH(AM$7,$F$7:$AG$7,1))</f>
        <v>0</v>
      </c>
      <c r="AN36" s="25" t="n">
        <f aca="false">INDEX($F36:$AG36,1,MATCH(AN$7,$F$7:$AG$7,1))</f>
        <v>0</v>
      </c>
      <c r="AO36" s="25" t="n">
        <f aca="false">INDEX($F36:$AG36,1,MATCH(AO$7,$F$7:$AG$7,1))</f>
        <v>0</v>
      </c>
    </row>
    <row r="38" customFormat="false" ht="15" hidden="false" customHeight="false" outlineLevel="0" collapsed="false">
      <c r="A38" s="48" t="s">
        <v>1543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</row>
    <row r="39" customFormat="false" ht="15" hidden="false" customHeight="false" outlineLevel="0" collapsed="false">
      <c r="A39" s="101" t="s">
        <v>1544</v>
      </c>
      <c r="B39" s="18" t="s">
        <v>400</v>
      </c>
      <c r="C39" s="18" t="s">
        <v>336</v>
      </c>
      <c r="D39" s="18" t="s">
        <v>1545</v>
      </c>
      <c r="F39" s="119" t="n">
        <f aca="false">F33*Timeline!F$9*INDEX(ResSh,1,F$7-FYBase)*INDEX(P_RES_H,1,1)/1000000</f>
        <v>71.024508828</v>
      </c>
      <c r="G39" s="119" t="n">
        <f aca="false">G33*Timeline!G$9*INDEX(ResSh,1,G$7-FYBase)*INDEX(P_RES_H,1,2)/1000000</f>
        <v>71.024508828</v>
      </c>
      <c r="H39" s="119" t="n">
        <f aca="false">H33*Timeline!H$9*INDEX(ResSh,1,H$7-FYBase)*INDEX(P_RES_H,1,3)/1000000</f>
        <v>71.804997936</v>
      </c>
      <c r="I39" s="119" t="n">
        <f aca="false">I33*Timeline!I$9*INDEX(ResSh,1,I$7-FYBase)*INDEX(P_RES_H,1,4)/1000000</f>
        <v>78.986544984</v>
      </c>
      <c r="J39" s="119" t="n">
        <f aca="false">J33*Timeline!J$9*INDEX(ResSh,1,J$7-FYBase)*INDEX(P_RES_H,1,5)/1000000</f>
        <v>123.183472896</v>
      </c>
      <c r="K39" s="119" t="n">
        <f aca="false">K33*Timeline!K$9*INDEX(ResSh,1,K$7-FYBase)*INDEX(P_RES_H,1,6)/1000000</f>
        <v>168.2189020512</v>
      </c>
      <c r="L39" s="119" t="n">
        <f aca="false">L33*Timeline!L$9*INDEX(ResSh,1,L$7-FYBase)*INDEX(P_RES_H,1,7)/1000000</f>
        <v>177.5024748288</v>
      </c>
      <c r="M39" s="119" t="n">
        <f aca="false">M33*Timeline!M$9*INDEX(ResSh,1,M$7-FYBase)*INDEX(P_RES_H,1,8)/1000000</f>
        <v>177.5024748288</v>
      </c>
      <c r="N39" s="119" t="n">
        <f aca="false">N33*Timeline!N$9*INDEX(ResSh,1,N$7-FYBase)*INDEX(P_RES_H,1,9)/1000000</f>
        <v>177.59017368</v>
      </c>
      <c r="O39" s="119" t="n">
        <f aca="false">O33*Timeline!O$9*INDEX(ResSh,1,O$7-FYBase)*INDEX(P_RES_H,1,10)/1000000</f>
        <v>179.563397832</v>
      </c>
      <c r="P39" s="120" t="n">
        <f aca="false">P33*Timeline!P$9*INDEX(ResSh,1,P$7-FYBase)*INDEX(P_RES_H,1,11)/1000000</f>
        <v>183.2934280032</v>
      </c>
      <c r="Q39" s="120" t="n">
        <f aca="false">Q33*Timeline!Q$9*INDEX(ResSh,1,Q$7-FYBase)*INDEX(P_RES_H,1,12)/1000000</f>
        <v>194.1270651216</v>
      </c>
      <c r="R39" s="120" t="n">
        <f aca="false">R33*Timeline!R$9*INDEX(ResSh,1,R$7-FYBase)*INDEX(P_RES_H,1,13)/1000000</f>
        <v>192.678126864763</v>
      </c>
      <c r="S39" s="120" t="n">
        <f aca="false">S33*Timeline!S$9*INDEX(ResSh,1,S$7-FYBase)*INDEX(P_RES_H,1,14)/1000000</f>
        <v>195.51962162068</v>
      </c>
      <c r="T39" s="120" t="n">
        <f aca="false">T33*Timeline!T$9*INDEX(ResSh,1,T$7-FYBase)*INDEX(P_RES_H,1,15)/1000000</f>
        <v>196.380752454046</v>
      </c>
      <c r="U39" s="120" t="n">
        <f aca="false">U33*Timeline!U$9*INDEX(ResSh,1,U$7-FYBase)*INDEX(P_RES_H,1,16)/1000000</f>
        <v>193.21938201168</v>
      </c>
      <c r="V39" s="120" t="n">
        <f aca="false">V33*Timeline!V$9*INDEX(ResSh,1,V$7-FYBase)*INDEX(P_RES_H,1,17)/1000000</f>
        <v>186.25263613281</v>
      </c>
      <c r="W39" s="120" t="n">
        <f aca="false">W33*Timeline!W$9*INDEX(ResSh,1,W$7-FYBase)*INDEX(P_RES_H,1,18)/1000000</f>
        <v>179.754468597957</v>
      </c>
      <c r="X39" s="120" t="n">
        <f aca="false">X33*Timeline!X$9*INDEX(ResSh,1,X$7-FYBase)*INDEX(P_RES_H,1,19)/1000000</f>
        <v>174.494146125663</v>
      </c>
      <c r="Y39" s="120" t="n">
        <f aca="false">Y33*Timeline!Y$9*INDEX(ResSh,1,Y$7-FYBase)*INDEX(P_RES_H,1,20)/1000000</f>
        <v>167.546590051104</v>
      </c>
      <c r="Z39" s="120" t="n">
        <f aca="false">Z33*Timeline!Z$9*INDEX(ResSh,1,Z$7-FYBase)*INDEX(P_RES_H,1,21)/1000000</f>
        <v>157.378356953111</v>
      </c>
      <c r="AA39" s="120" t="n">
        <f aca="false">AA33*Timeline!AA$9*INDEX(ResSh,1,AA$7-FYBase)*INDEX(P_RES_H,1,22)/1000000</f>
        <v>152.791298308263</v>
      </c>
      <c r="AB39" s="120" t="n">
        <f aca="false">AB33*Timeline!AB$9*INDEX(ResSh,1,AB$7-FYBase)*INDEX(P_RES_H,1,23)/1000000</f>
        <v>148.320024206813</v>
      </c>
      <c r="AC39" s="120" t="n">
        <f aca="false">AC33*Timeline!AC$9*INDEX(ResSh,1,AC$7-FYBase)*INDEX(P_RES_H,1,24)/1000000</f>
        <v>142.414601543438</v>
      </c>
      <c r="AD39" s="120" t="n">
        <f aca="false">AD33*Timeline!AD$9*INDEX(ResSh,1,AD$7-FYBase)*INDEX(P_RES_H,1,25)/1000000</f>
        <v>133.771603410144</v>
      </c>
      <c r="AE39" s="120" t="n">
        <f aca="false">AE33*Timeline!AE$9*INDEX(ResSh,1,AE$7-FYBase)*INDEX(P_RES_H,1,26)/1000000</f>
        <v>129.872603562024</v>
      </c>
      <c r="AF39" s="120" t="n">
        <f aca="false">AF33*Timeline!AF$9*INDEX(ResSh,1,AF$7-FYBase)*INDEX(P_RES_H,1,27)/1000000</f>
        <v>126.072020575791</v>
      </c>
      <c r="AG39" s="120" t="n">
        <f aca="false">AG33*Timeline!AG$9*INDEX(ResSh,1,AG$7-FYBase)*INDEX(P_RES_H,1,28)/1000000</f>
        <v>121.052411311923</v>
      </c>
      <c r="AI39" s="120" t="n">
        <f aca="false">SUMIF($F$7:$AG$7,AI$7,$F39:$AG39)</f>
        <v>292.840560576</v>
      </c>
      <c r="AJ39" s="120" t="n">
        <f aca="false">SUMIF($F$7:$AG$7,AJ$7,$F39:$AG39)</f>
        <v>646.4073246048</v>
      </c>
      <c r="AK39" s="120" t="n">
        <f aca="false">SUMIF($F$7:$AG$7,AK$7,$F39:$AG39)</f>
        <v>734.5740646368</v>
      </c>
      <c r="AL39" s="120" t="n">
        <f aca="false">SUMIF($F$7:$AG$7,AL$7,$F39:$AG39)</f>
        <v>777.79788295117</v>
      </c>
      <c r="AM39" s="120" t="n">
        <f aca="false">SUMIF($F$7:$AG$7,AM$7,$F39:$AG39)</f>
        <v>708.047840907533</v>
      </c>
      <c r="AN39" s="120" t="n">
        <f aca="false">SUMIF($F$7:$AG$7,AN$7,$F39:$AG39)</f>
        <v>600.904281011626</v>
      </c>
      <c r="AO39" s="120" t="n">
        <f aca="false">SUMIF($F$7:$AG$7,AO$7,$F39:$AG39)</f>
        <v>510.768638859882</v>
      </c>
    </row>
    <row r="40" customFormat="false" ht="15" hidden="false" customHeight="false" outlineLevel="0" collapsed="false">
      <c r="A40" s="101" t="s">
        <v>1546</v>
      </c>
      <c r="B40" s="18" t="s">
        <v>400</v>
      </c>
      <c r="C40" s="18" t="s">
        <v>336</v>
      </c>
      <c r="D40" s="18" t="s">
        <v>1545</v>
      </c>
      <c r="F40" s="119" t="n">
        <f aca="false">F34*Timeline!F$9*INDEX(ResSh,1,F$7-FYBase)*INDEX(P_RES_B,1,1)/1000000</f>
        <v>0</v>
      </c>
      <c r="G40" s="119" t="n">
        <f aca="false">G34*Timeline!G$9*INDEX(ResSh,1,G$7-FYBase)*INDEX(P_RES_B,1,2)/1000000</f>
        <v>0</v>
      </c>
      <c r="H40" s="119" t="n">
        <f aca="false">H34*Timeline!H$9*INDEX(ResSh,1,H$7-FYBase)*INDEX(P_RES_B,1,3)/1000000</f>
        <v>0</v>
      </c>
      <c r="I40" s="119" t="n">
        <f aca="false">I34*Timeline!I$9*INDEX(ResSh,1,I$7-FYBase)*INDEX(P_RES_B,1,4)/1000000</f>
        <v>0</v>
      </c>
      <c r="J40" s="119" t="n">
        <f aca="false">J34*Timeline!J$9*INDEX(ResSh,1,J$7-FYBase)*INDEX(P_RES_B,1,5)/1000000</f>
        <v>0</v>
      </c>
      <c r="K40" s="119" t="n">
        <f aca="false">K34*Timeline!K$9*INDEX(ResSh,1,K$7-FYBase)*INDEX(P_RES_B,1,6)/1000000</f>
        <v>0</v>
      </c>
      <c r="L40" s="119" t="n">
        <f aca="false">L34*Timeline!L$9*INDEX(ResSh,1,L$7-FYBase)*INDEX(P_RES_B,1,7)/1000000</f>
        <v>42.2384601120768</v>
      </c>
      <c r="M40" s="119" t="n">
        <f aca="false">M34*Timeline!M$9*INDEX(ResSh,1,M$7-FYBase)*INDEX(P_RES_B,1,8)/1000000</f>
        <v>157.056853362394</v>
      </c>
      <c r="N40" s="119" t="n">
        <f aca="false">N34*Timeline!N$9*INDEX(ResSh,1,N$7-FYBase)*INDEX(P_RES_B,1,9)/1000000</f>
        <v>188.01128825388</v>
      </c>
      <c r="O40" s="119" t="n">
        <f aca="false">O34*Timeline!O$9*INDEX(ResSh,1,O$7-FYBase)*INDEX(P_RES_B,1,10)/1000000</f>
        <v>147.819035512512</v>
      </c>
      <c r="P40" s="120" t="n">
        <f aca="false">P34*Timeline!P$9*INDEX(ResSh,1,P$7-FYBase)*INDEX(P_RES_B,1,11)/1000000</f>
        <v>149.364011648448</v>
      </c>
      <c r="Q40" s="120" t="n">
        <f aca="false">Q34*Timeline!Q$9*INDEX(ResSh,1,Q$7-FYBase)*INDEX(P_RES_B,1,12)/1000000</f>
        <v>176.606962335216</v>
      </c>
      <c r="R40" s="120" t="n">
        <f aca="false">R34*Timeline!R$9*INDEX(ResSh,1,R$7-FYBase)*INDEX(P_RES_B,1,13)/1000000</f>
        <v>413.700285318093</v>
      </c>
      <c r="S40" s="120" t="n">
        <f aca="false">S34*Timeline!S$9*INDEX(ResSh,1,S$7-FYBase)*INDEX(P_RES_B,1,14)/1000000</f>
        <v>850.576715517766</v>
      </c>
      <c r="T40" s="120" t="n">
        <f aca="false">T34*Timeline!T$9*INDEX(ResSh,1,T$7-FYBase)*INDEX(P_RES_B,1,15)/1000000</f>
        <v>1202.0818046023</v>
      </c>
      <c r="U40" s="120" t="n">
        <f aca="false">U34*Timeline!U$9*INDEX(ResSh,1,U$7-FYBase)*INDEX(P_RES_B,1,16)/1000000</f>
        <v>1320.48900775665</v>
      </c>
      <c r="V40" s="120" t="n">
        <f aca="false">V34*Timeline!V$9*INDEX(ResSh,1,V$7-FYBase)*INDEX(P_RES_B,1,17)/1000000</f>
        <v>1504.61881910253</v>
      </c>
      <c r="W40" s="120" t="n">
        <f aca="false">W34*Timeline!W$9*INDEX(ResSh,1,W$7-FYBase)*INDEX(P_RES_B,1,18)/1000000</f>
        <v>1638.00702925663</v>
      </c>
      <c r="X40" s="120" t="n">
        <f aca="false">X34*Timeline!X$9*INDEX(ResSh,1,X$7-FYBase)*INDEX(P_RES_B,1,19)/1000000</f>
        <v>1630.58769088044</v>
      </c>
      <c r="Y40" s="120" t="n">
        <f aca="false">Y34*Timeline!Y$9*INDEX(ResSh,1,Y$7-FYBase)*INDEX(P_RES_B,1,20)/1000000</f>
        <v>1605.55845878484</v>
      </c>
      <c r="Z40" s="120" t="n">
        <f aca="false">Z34*Timeline!Z$9*INDEX(ResSh,1,Z$7-FYBase)*INDEX(P_RES_B,1,21)/1000000</f>
        <v>1676.27578137769</v>
      </c>
      <c r="AA40" s="120" t="n">
        <f aca="false">AA34*Timeline!AA$9*INDEX(ResSh,1,AA$7-FYBase)*INDEX(P_RES_B,1,22)/1000000</f>
        <v>1798.04266610405</v>
      </c>
      <c r="AB40" s="120" t="n">
        <f aca="false">AB34*Timeline!AB$9*INDEX(ResSh,1,AB$7-FYBase)*INDEX(P_RES_B,1,23)/1000000</f>
        <v>1789.8984477238</v>
      </c>
      <c r="AC40" s="120" t="n">
        <f aca="false">AC34*Timeline!AC$9*INDEX(ResSh,1,AC$7-FYBase)*INDEX(P_RES_B,1,24)/1000000</f>
        <v>1762.4238237424</v>
      </c>
      <c r="AD40" s="120" t="n">
        <f aca="false">AD34*Timeline!AD$9*INDEX(ResSh,1,AD$7-FYBase)*INDEX(P_RES_B,1,25)/1000000</f>
        <v>1697.64547536224</v>
      </c>
      <c r="AE40" s="120" t="n">
        <f aca="false">AE34*Timeline!AE$9*INDEX(ResSh,1,AE$7-FYBase)*INDEX(P_RES_B,1,26)/1000000</f>
        <v>1690.1601061378</v>
      </c>
      <c r="AF40" s="120" t="n">
        <f aca="false">AF34*Timeline!AF$9*INDEX(ResSh,1,AF$7-FYBase)*INDEX(P_RES_B,1,27)/1000000</f>
        <v>1682.50454086037</v>
      </c>
      <c r="AG40" s="120" t="n">
        <f aca="false">AG34*Timeline!AG$9*INDEX(ResSh,1,AG$7-FYBase)*INDEX(P_RES_B,1,28)/1000000</f>
        <v>1656.67839431786</v>
      </c>
      <c r="AI40" s="120" t="n">
        <f aca="false">SUMIF($F$7:$AG$7,AI$7,$F40:$AG40)</f>
        <v>0</v>
      </c>
      <c r="AJ40" s="120" t="n">
        <f aca="false">SUMIF($F$7:$AG$7,AJ$7,$F40:$AG40)</f>
        <v>199.29531347447</v>
      </c>
      <c r="AK40" s="120" t="n">
        <f aca="false">SUMIF($F$7:$AG$7,AK$7,$F40:$AG40)</f>
        <v>661.801297750056</v>
      </c>
      <c r="AL40" s="120" t="n">
        <f aca="false">SUMIF($F$7:$AG$7,AL$7,$F40:$AG40)</f>
        <v>3786.8478131948</v>
      </c>
      <c r="AM40" s="120" t="n">
        <f aca="false">SUMIF($F$7:$AG$7,AM$7,$F40:$AG40)</f>
        <v>6378.77199802444</v>
      </c>
      <c r="AN40" s="120" t="n">
        <f aca="false">SUMIF($F$7:$AG$7,AN$7,$F40:$AG40)</f>
        <v>7026.64071894794</v>
      </c>
      <c r="AO40" s="120" t="n">
        <f aca="false">SUMIF($F$7:$AG$7,AO$7,$F40:$AG40)</f>
        <v>6726.98851667827</v>
      </c>
    </row>
    <row r="41" customFormat="false" ht="15" hidden="false" customHeight="false" outlineLevel="0" collapsed="false">
      <c r="A41" s="101" t="s">
        <v>1547</v>
      </c>
      <c r="B41" s="18" t="s">
        <v>400</v>
      </c>
      <c r="C41" s="18" t="s">
        <v>336</v>
      </c>
      <c r="D41" s="18" t="s">
        <v>1545</v>
      </c>
      <c r="F41" s="119" t="n">
        <f aca="false">F35*Timeline!F$9*INDEX(ResSh,1,F$7-FYBase)*INDEX(P_RES_N,1,1)/1000000</f>
        <v>0</v>
      </c>
      <c r="G41" s="119" t="n">
        <f aca="false">G35*Timeline!G$9*INDEX(ResSh,1,G$7-FYBase)*INDEX(P_RES_N,1,2)/1000000</f>
        <v>0</v>
      </c>
      <c r="H41" s="119" t="n">
        <f aca="false">H35*Timeline!H$9*INDEX(ResSh,1,H$7-FYBase)*INDEX(P_RES_N,1,3)/1000000</f>
        <v>0</v>
      </c>
      <c r="I41" s="119" t="n">
        <f aca="false">I35*Timeline!I$9*INDEX(ResSh,1,I$7-FYBase)*INDEX(P_RES_N,1,4)/1000000</f>
        <v>0</v>
      </c>
      <c r="J41" s="119" t="n">
        <f aca="false">J35*Timeline!J$9*INDEX(ResSh,1,J$7-FYBase)*INDEX(P_RES_N,1,5)/1000000</f>
        <v>0</v>
      </c>
      <c r="K41" s="119" t="n">
        <f aca="false">K35*Timeline!K$9*INDEX(ResSh,1,K$7-FYBase)*INDEX(P_RES_N,1,6)/1000000</f>
        <v>0</v>
      </c>
      <c r="L41" s="119" t="n">
        <f aca="false">L35*Timeline!L$9*INDEX(ResSh,1,L$7-FYBase)*INDEX(P_RES_N,1,7)/1000000</f>
        <v>0</v>
      </c>
      <c r="M41" s="119" t="n">
        <f aca="false">M35*Timeline!M$9*INDEX(ResSh,1,M$7-FYBase)*INDEX(P_RES_N,1,8)/1000000</f>
        <v>0</v>
      </c>
      <c r="N41" s="119" t="n">
        <f aca="false">N35*Timeline!N$9*INDEX(ResSh,1,N$7-FYBase)*INDEX(P_RES_N,1,9)/1000000</f>
        <v>0</v>
      </c>
      <c r="O41" s="119" t="n">
        <f aca="false">O35*Timeline!O$9*INDEX(ResSh,1,O$7-FYBase)*INDEX(P_RES_N,1,10)/1000000</f>
        <v>0</v>
      </c>
      <c r="P41" s="120" t="n">
        <f aca="false">P35*Timeline!P$9*INDEX(ResSh,1,P$7-FYBase)*INDEX(P_RES_N,1,11)/1000000</f>
        <v>0</v>
      </c>
      <c r="Q41" s="120" t="n">
        <f aca="false">Q35*Timeline!Q$9*INDEX(ResSh,1,Q$7-FYBase)*INDEX(P_RES_N,1,12)/1000000</f>
        <v>0</v>
      </c>
      <c r="R41" s="120" t="n">
        <f aca="false">R35*Timeline!R$9*INDEX(ResSh,1,R$7-FYBase)*INDEX(P_RES_N,1,13)/1000000</f>
        <v>0</v>
      </c>
      <c r="S41" s="120" t="n">
        <f aca="false">S35*Timeline!S$9*INDEX(ResSh,1,S$7-FYBase)*INDEX(P_RES_N,1,14)/1000000</f>
        <v>42.774745923</v>
      </c>
      <c r="T41" s="120" t="n">
        <f aca="false">T35*Timeline!T$9*INDEX(ResSh,1,T$7-FYBase)*INDEX(P_RES_N,1,15)/1000000</f>
        <v>43.244798076</v>
      </c>
      <c r="U41" s="120" t="n">
        <f aca="false">U35*Timeline!U$9*INDEX(ResSh,1,U$7-FYBase)*INDEX(P_RES_N,1,16)/1000000</f>
        <v>76.58742699</v>
      </c>
      <c r="V41" s="120" t="n">
        <f aca="false">V35*Timeline!V$9*INDEX(ResSh,1,V$7-FYBase)*INDEX(P_RES_N,1,17)/1000000</f>
        <v>887.0740772985</v>
      </c>
      <c r="W41" s="120" t="n">
        <f aca="false">W35*Timeline!W$9*INDEX(ResSh,1,W$7-FYBase)*INDEX(P_RES_N,1,18)/1000000</f>
        <v>1985.0969870658</v>
      </c>
      <c r="X41" s="120" t="n">
        <f aca="false">X35*Timeline!X$9*INDEX(ResSh,1,X$7-FYBase)*INDEX(P_RES_N,1,19)/1000000</f>
        <v>3015.67359756671</v>
      </c>
      <c r="Y41" s="120" t="n">
        <f aca="false">Y35*Timeline!Y$9*INDEX(ResSh,1,Y$7-FYBase)*INDEX(P_RES_N,1,20)/1000000</f>
        <v>3662.77344259875</v>
      </c>
      <c r="Z41" s="120" t="n">
        <f aca="false">Z35*Timeline!Z$9*INDEX(ResSh,1,Z$7-FYBase)*INDEX(P_RES_N,1,21)/1000000</f>
        <v>4689.092982177</v>
      </c>
      <c r="AA41" s="120" t="n">
        <f aca="false">AA35*Timeline!AA$9*INDEX(ResSh,1,AA$7-FYBase)*INDEX(P_RES_N,1,22)/1000000</f>
        <v>5776.80147889681</v>
      </c>
      <c r="AB41" s="120" t="n">
        <f aca="false">AB35*Timeline!AB$9*INDEX(ResSh,1,AB$7-FYBase)*INDEX(P_RES_N,1,23)/1000000</f>
        <v>7074.67175104702</v>
      </c>
      <c r="AC41" s="120" t="n">
        <f aca="false">AC35*Timeline!AC$9*INDEX(ResSh,1,AC$7-FYBase)*INDEX(P_RES_N,1,24)/1000000</f>
        <v>8269.78931512436</v>
      </c>
      <c r="AD41" s="120" t="n">
        <f aca="false">AD35*Timeline!AD$9*INDEX(ResSh,1,AD$7-FYBase)*INDEX(P_RES_N,1,25)/1000000</f>
        <v>9714.97300622283</v>
      </c>
      <c r="AE41" s="120" t="n">
        <f aca="false">AE35*Timeline!AE$9*INDEX(ResSh,1,AE$7-FYBase)*INDEX(P_RES_N,1,26)/1000000</f>
        <v>11413.5666416182</v>
      </c>
      <c r="AF41" s="120" t="n">
        <f aca="false">AF35*Timeline!AF$9*INDEX(ResSh,1,AF$7-FYBase)*INDEX(P_RES_N,1,27)/1000000</f>
        <v>11361.8689922915</v>
      </c>
      <c r="AG41" s="120" t="n">
        <f aca="false">AG35*Timeline!AG$9*INDEX(ResSh,1,AG$7-FYBase)*INDEX(P_RES_N,1,28)/1000000</f>
        <v>11187.4663167173</v>
      </c>
      <c r="AI41" s="120" t="n">
        <f aca="false">SUMIF($F$7:$AG$7,AI$7,$F41:$AG41)</f>
        <v>0</v>
      </c>
      <c r="AJ41" s="120" t="n">
        <f aca="false">SUMIF($F$7:$AG$7,AJ$7,$F41:$AG41)</f>
        <v>0</v>
      </c>
      <c r="AK41" s="120" t="n">
        <f aca="false">SUMIF($F$7:$AG$7,AK$7,$F41:$AG41)</f>
        <v>0</v>
      </c>
      <c r="AL41" s="120" t="n">
        <f aca="false">SUMIF($F$7:$AG$7,AL$7,$F41:$AG41)</f>
        <v>162.606970989</v>
      </c>
      <c r="AM41" s="120" t="n">
        <f aca="false">SUMIF($F$7:$AG$7,AM$7,$F41:$AG41)</f>
        <v>9550.61810452976</v>
      </c>
      <c r="AN41" s="120" t="n">
        <f aca="false">SUMIF($F$7:$AG$7,AN$7,$F41:$AG41)</f>
        <v>25810.3555272452</v>
      </c>
      <c r="AO41" s="120" t="n">
        <f aca="false">SUMIF($F$7:$AG$7,AO$7,$F41:$AG41)</f>
        <v>43677.8749568498</v>
      </c>
    </row>
    <row r="42" customFormat="false" ht="15" hidden="false" customHeight="false" outlineLevel="0" collapsed="false">
      <c r="A42" s="101" t="s">
        <v>1548</v>
      </c>
      <c r="B42" s="18" t="s">
        <v>400</v>
      </c>
      <c r="C42" s="18" t="s">
        <v>336</v>
      </c>
      <c r="D42" s="18"/>
      <c r="F42" s="119" t="n">
        <f aca="false">F39+F40+F41</f>
        <v>71.024508828</v>
      </c>
      <c r="G42" s="119" t="n">
        <f aca="false">G39+G40+G41</f>
        <v>71.024508828</v>
      </c>
      <c r="H42" s="119" t="n">
        <f aca="false">H39+H40+H41</f>
        <v>71.804997936</v>
      </c>
      <c r="I42" s="119" t="n">
        <f aca="false">I39+I40+I41</f>
        <v>78.986544984</v>
      </c>
      <c r="J42" s="119" t="n">
        <f aca="false">J39+J40+J41</f>
        <v>123.183472896</v>
      </c>
      <c r="K42" s="119" t="n">
        <f aca="false">K39+K40+K41</f>
        <v>168.2189020512</v>
      </c>
      <c r="L42" s="119" t="n">
        <f aca="false">L39+L40+L41</f>
        <v>219.740934940877</v>
      </c>
      <c r="M42" s="119" t="n">
        <f aca="false">M39+M40+M41</f>
        <v>334.559328191194</v>
      </c>
      <c r="N42" s="119" t="n">
        <f aca="false">N39+N40+N41</f>
        <v>365.60146193388</v>
      </c>
      <c r="O42" s="119" t="n">
        <f aca="false">O39+O40+O41</f>
        <v>327.382433344512</v>
      </c>
      <c r="P42" s="120" t="n">
        <f aca="false">P39+P40+P41</f>
        <v>332.657439651648</v>
      </c>
      <c r="Q42" s="120" t="n">
        <f aca="false">Q39+Q40+Q41</f>
        <v>370.734027456816</v>
      </c>
      <c r="R42" s="120" t="n">
        <f aca="false">R39+R40+R41</f>
        <v>606.378412182856</v>
      </c>
      <c r="S42" s="120" t="n">
        <f aca="false">S39+S40+S41</f>
        <v>1088.87108306145</v>
      </c>
      <c r="T42" s="120" t="n">
        <f aca="false">T39+T40+T41</f>
        <v>1441.70735513234</v>
      </c>
      <c r="U42" s="120" t="n">
        <f aca="false">U39+U40+U41</f>
        <v>1590.29581675833</v>
      </c>
      <c r="V42" s="120" t="n">
        <f aca="false">V39+V40+V41</f>
        <v>2577.94553253384</v>
      </c>
      <c r="W42" s="120" t="n">
        <f aca="false">W39+W40+W41</f>
        <v>3802.85848492039</v>
      </c>
      <c r="X42" s="120" t="n">
        <f aca="false">X39+X40+X41</f>
        <v>4820.75543457282</v>
      </c>
      <c r="Y42" s="120" t="n">
        <f aca="false">Y39+Y40+Y41</f>
        <v>5435.87849143469</v>
      </c>
      <c r="Z42" s="120" t="n">
        <f aca="false">Z39+Z40+Z41</f>
        <v>6522.7471205078</v>
      </c>
      <c r="AA42" s="120" t="n">
        <f aca="false">AA39+AA40+AA41</f>
        <v>7727.63544330912</v>
      </c>
      <c r="AB42" s="120" t="n">
        <f aca="false">AB39+AB40+AB41</f>
        <v>9012.89022297764</v>
      </c>
      <c r="AC42" s="120" t="n">
        <f aca="false">AC39+AC40+AC41</f>
        <v>10174.6277404102</v>
      </c>
      <c r="AD42" s="120" t="n">
        <f aca="false">AD39+AD40+AD41</f>
        <v>11546.3900849952</v>
      </c>
      <c r="AE42" s="120" t="n">
        <f aca="false">AE39+AE40+AE41</f>
        <v>13233.5993513181</v>
      </c>
      <c r="AF42" s="120" t="n">
        <f aca="false">AF39+AF40+AF41</f>
        <v>13170.4455537276</v>
      </c>
      <c r="AG42" s="120" t="n">
        <f aca="false">AG39+AG40+AG41</f>
        <v>12965.197122347</v>
      </c>
      <c r="AI42" s="120" t="n">
        <f aca="false">SUMIF($F$7:$AG$7,AI$7,$F42:$AG42)</f>
        <v>292.840560576</v>
      </c>
      <c r="AJ42" s="120" t="n">
        <f aca="false">SUMIF($F$7:$AG$7,AJ$7,$F42:$AG42)</f>
        <v>845.70263807927</v>
      </c>
      <c r="AK42" s="120" t="n">
        <f aca="false">SUMIF($F$7:$AG$7,AK$7,$F42:$AG42)</f>
        <v>1396.37536238686</v>
      </c>
      <c r="AL42" s="120" t="n">
        <f aca="false">SUMIF($F$7:$AG$7,AL$7,$F42:$AG42)</f>
        <v>4727.25266713497</v>
      </c>
      <c r="AM42" s="120" t="n">
        <f aca="false">SUMIF($F$7:$AG$7,AM$7,$F42:$AG42)</f>
        <v>16637.4379434617</v>
      </c>
      <c r="AN42" s="120" t="n">
        <f aca="false">SUMIF($F$7:$AG$7,AN$7,$F42:$AG42)</f>
        <v>33437.9005272048</v>
      </c>
      <c r="AO42" s="120" t="n">
        <f aca="false">SUMIF($F$7:$AG$7,AO$7,$F42:$AG42)</f>
        <v>50915.6321123879</v>
      </c>
    </row>
    <row r="43" customFormat="false" ht="15" hidden="false" customHeight="false" outlineLevel="0" collapsed="false">
      <c r="A43" s="101" t="s">
        <v>1549</v>
      </c>
      <c r="B43" s="18" t="s">
        <v>400</v>
      </c>
      <c r="C43" s="18" t="s">
        <v>336</v>
      </c>
      <c r="D43" s="18" t="s">
        <v>1550</v>
      </c>
      <c r="F43" s="119" t="n">
        <f aca="false">F33*Timeline!F$9*(1-INDEX(ResSh,1,F$7-FYBase))*((1-INDEX(SpotSh,1,F$7-FYBase))*INDEX(P_OD_H,1,1)*IF(F$5&lt;=LastHist,RealOD_B,RealOD)+INDEX(SpotSh,1,F$7-FYBase)*INDEX(P_SPOT_H,1,1))*(1+INDEX(StudioUp,1,F$7-FYBase))/1000000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3" s="119" t="n">
        <f aca="false">G33*Timeline!G$9*(1-INDEX(ResSh,1,G$7-FYBase))*((1-INDEX(SpotSh,1,G$7-FYBase))*INDEX(P_OD_H,1,2)*IF(G$5&lt;=LastHist,RealOD_B,RealOD)+INDEX(SpotSh,1,G$7-FYBase)*INDEX(P_SPOT_H,1,2))*(1+INDEX(StudioUp,1,G$7-FYBase))/1000000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3" s="119" t="n">
        <f aca="false">H33*Timeline!H$9*(1-INDEX(ResSh,1,H$7-FYBase))*((1-INDEX(SpotSh,1,H$7-FYBase))*INDEX(P_OD_H,1,3)*IF(H$5&lt;=LastHist,RealOD_B,RealOD)+INDEX(SpotSh,1,H$7-FYBase)*INDEX(P_SPOT_H,1,3))*(1+INDEX(StudioUp,1,H$7-FYBase))/1000000</f>
        <v>16.17647723307</v>
      </c>
      <c r="I43" s="119" t="n">
        <f aca="false">I33*Timeline!I$9*(1-INDEX(ResSh,1,I$7-FYBase))*((1-INDEX(SpotSh,1,I$7-FYBase))*INDEX(P_OD_H,1,4)*IF(I$5&lt;=LastHist,RealOD_B,RealOD)+INDEX(SpotSh,1,I$7-FYBase)*INDEX(P_SPOT_H,1,4))*(1+INDEX(StudioUp,1,I$7-FYBase))/1000000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3" s="119" t="n">
        <f aca="false">J33*Timeline!J$9*(1-INDEX(ResSh,1,J$7-FYBase))*((1-INDEX(SpotSh,1,J$7-FYBase))*INDEX(P_OD_H,1,5)*IF(J$5&lt;=LastHist,RealOD_B,RealOD)+INDEX(SpotSh,1,J$7-FYBase)*INDEX(P_SPOT_H,1,5))*(1+INDEX(StudioUp,1,J$7-FYBase))/1000000</f>
        <v>21.44410678872</v>
      </c>
      <c r="K43" s="119" t="n">
        <f aca="false">K33*Timeline!K$9*(1-INDEX(ResSh,1,K$7-FYBase))*((1-INDEX(SpotSh,1,K$7-FYBase))*INDEX(P_OD_H,1,6)*IF(K$5&lt;=LastHist,RealOD_B,RealOD)+INDEX(SpotSh,1,K$7-FYBase)*INDEX(P_SPOT_H,1,6))*(1+INDEX(StudioUp,1,K$7-FYBase))/1000000</f>
        <v>29.283994148409</v>
      </c>
      <c r="L43" s="119" t="n">
        <f aca="false">L33*Timeline!L$9*(1-INDEX(ResSh,1,L$7-FYBase))*((1-INDEX(SpotSh,1,L$7-FYBase))*INDEX(P_OD_H,1,7)*IF(L$5&lt;=LastHist,RealOD_B,RealOD)+INDEX(SpotSh,1,L$7-FYBase)*INDEX(P_SPOT_H,1,7))*(1+INDEX(StudioUp,1,L$7-FYBase))/1000000</f>
        <v>30.900103203816</v>
      </c>
      <c r="M43" s="119" t="n">
        <f aca="false">M33*Timeline!M$9*(1-INDEX(ResSh,1,M$7-FYBase))*((1-INDEX(SpotSh,1,M$7-FYBase))*INDEX(P_OD_H,1,8)*IF(M$5&lt;=LastHist,RealOD_B,RealOD)+INDEX(SpotSh,1,M$7-FYBase)*INDEX(P_SPOT_H,1,8))*(1+INDEX(StudioUp,1,M$7-FYBase))/1000000</f>
        <v>30.900103203816</v>
      </c>
      <c r="N43" s="119" t="n">
        <f aca="false">N33*Timeline!N$9*(1-INDEX(ResSh,1,N$7-FYBase))*((1-INDEX(SpotSh,1,N$7-FYBase))*INDEX(P_OD_H,1,9)*IF(N$5&lt;=LastHist,RealOD_B,RealOD)+INDEX(SpotSh,1,N$7-FYBase)*INDEX(P_SPOT_H,1,9))*(1+INDEX(StudioUp,1,N$7-FYBase))/1000000</f>
        <v>26.3898396927</v>
      </c>
      <c r="O43" s="119" t="n">
        <f aca="false">O33*Timeline!O$9*(1-INDEX(ResSh,1,O$7-FYBase))*((1-INDEX(SpotSh,1,O$7-FYBase))*INDEX(P_OD_H,1,10)*IF(O$5&lt;=LastHist,RealOD_B,RealOD)+INDEX(SpotSh,1,O$7-FYBase)*INDEX(P_SPOT_H,1,10))*(1+INDEX(StudioUp,1,O$7-FYBase))/1000000</f>
        <v>26.68306013373</v>
      </c>
      <c r="P43" s="120" t="n">
        <f aca="false">P33*Timeline!P$9*(1-INDEX(ResSh,1,P$7-FYBase))*((1-INDEX(SpotSh,1,P$7-FYBase))*INDEX(P_OD_H,1,11)*IF(P$5&lt;=LastHist,RealOD_B,RealOD)+INDEX(SpotSh,1,P$7-FYBase)*INDEX(P_SPOT_H,1,11))*(1+INDEX(StudioUp,1,P$7-FYBase))/1000000</f>
        <v>29.01612756372</v>
      </c>
      <c r="Q43" s="120" t="n">
        <f aca="false">Q33*Timeline!Q$9*(1-INDEX(ResSh,1,Q$7-FYBase))*((1-INDEX(SpotSh,1,Q$7-FYBase))*INDEX(P_OD_H,1,12)*IF(Q$5&lt;=LastHist,RealOD_B,RealOD)+INDEX(SpotSh,1,Q$7-FYBase)*INDEX(P_SPOT_H,1,12))*(1+INDEX(StudioUp,1,Q$7-FYBase))/1000000</f>
        <v>34.2857322852</v>
      </c>
      <c r="R43" s="120" t="n">
        <f aca="false">R33*Timeline!R$9*(1-INDEX(ResSh,1,R$7-FYBase))*((1-INDEX(SpotSh,1,R$7-FYBase))*INDEX(P_OD_H,1,13)*IF(R$5&lt;=LastHist,RealOD_B,RealOD)+INDEX(SpotSh,1,R$7-FYBase)*INDEX(P_SPOT_H,1,13))*(1+INDEX(StudioUp,1,R$7-FYBase))/1000000</f>
        <v>33.6688279534295</v>
      </c>
      <c r="S43" s="120" t="n">
        <f aca="false">S33*Timeline!S$9*(1-INDEX(ResSh,1,S$7-FYBase))*((1-INDEX(SpotSh,1,S$7-FYBase))*INDEX(P_OD_H,1,14)*IF(S$5&lt;=LastHist,RealOD_B,RealOD)+INDEX(SpotSh,1,S$7-FYBase)*INDEX(P_SPOT_H,1,14))*(1+INDEX(StudioUp,1,S$7-FYBase))/1000000</f>
        <v>32.6874929635638</v>
      </c>
      <c r="T43" s="120" t="n">
        <f aca="false">T33*Timeline!T$9*(1-INDEX(ResSh,1,T$7-FYBase))*((1-INDEX(SpotSh,1,T$7-FYBase))*INDEX(P_OD_H,1,15)*IF(T$5&lt;=LastHist,RealOD_B,RealOD)+INDEX(SpotSh,1,T$7-FYBase)*INDEX(P_SPOT_H,1,15))*(1+INDEX(StudioUp,1,T$7-FYBase))/1000000</f>
        <v>31.7309284055847</v>
      </c>
      <c r="U43" s="120" t="n">
        <f aca="false">U33*Timeline!U$9*(1-INDEX(ResSh,1,U$7-FYBase))*((1-INDEX(SpotSh,1,U$7-FYBase))*INDEX(P_OD_H,1,16)*IF(U$5&lt;=LastHist,RealOD_B,RealOD)+INDEX(SpotSh,1,U$7-FYBase)*INDEX(P_SPOT_H,1,16))*(1+INDEX(StudioUp,1,U$7-FYBase))/1000000</f>
        <v>30.46754846253</v>
      </c>
      <c r="V43" s="120" t="n">
        <f aca="false">V33*Timeline!V$9*(1-INDEX(ResSh,1,V$7-FYBase))*((1-INDEX(SpotSh,1,V$7-FYBase))*INDEX(P_OD_H,1,17)*IF(V$5&lt;=LastHist,RealOD_B,RealOD)+INDEX(SpotSh,1,V$7-FYBase)*INDEX(P_SPOT_H,1,17))*(1+INDEX(StudioUp,1,V$7-FYBase))/1000000</f>
        <v>30.1945952718583</v>
      </c>
      <c r="W43" s="120" t="n">
        <f aca="false">W33*Timeline!W$9*(1-INDEX(ResSh,1,W$7-FYBase))*((1-INDEX(SpotSh,1,W$7-FYBase))*INDEX(P_OD_H,1,18)*IF(W$5&lt;=LastHist,RealOD_B,RealOD)+INDEX(SpotSh,1,W$7-FYBase)*INDEX(P_SPOT_H,1,18))*(1+INDEX(StudioUp,1,W$7-FYBase))/1000000</f>
        <v>28.9923850633348</v>
      </c>
      <c r="X43" s="120" t="n">
        <f aca="false">X33*Timeline!X$9*(1-INDEX(ResSh,1,X$7-FYBase))*((1-INDEX(SpotSh,1,X$7-FYBase))*INDEX(P_OD_H,1,19)*IF(X$5&lt;=LastHist,RealOD_B,RealOD)+INDEX(SpotSh,1,X$7-FYBase)*INDEX(P_SPOT_H,1,19))*(1+INDEX(StudioUp,1,X$7-FYBase))/1000000</f>
        <v>28.1439538901707</v>
      </c>
      <c r="Y43" s="120" t="n">
        <f aca="false">Y33*Timeline!Y$9*(1-INDEX(ResSh,1,Y$7-FYBase))*((1-INDEX(SpotSh,1,Y$7-FYBase))*INDEX(P_OD_H,1,20)*IF(Y$5&lt;=LastHist,RealOD_B,RealOD)+INDEX(SpotSh,1,Y$7-FYBase)*INDEX(P_SPOT_H,1,20))*(1+INDEX(StudioUp,1,Y$7-FYBase))/1000000</f>
        <v>27.023390810244</v>
      </c>
      <c r="Z43" s="120" t="n">
        <f aca="false">Z33*Timeline!Z$9*(1-INDEX(ResSh,1,Z$7-FYBase))*((1-INDEX(SpotSh,1,Z$7-FYBase))*INDEX(P_OD_H,1,21)*IF(Z$5&lt;=LastHist,RealOD_B,RealOD)+INDEX(SpotSh,1,Z$7-FYBase)*INDEX(P_SPOT_H,1,21))*(1+INDEX(StudioUp,1,Z$7-FYBase))/1000000</f>
        <v>25.383368552716</v>
      </c>
      <c r="AA43" s="120" t="n">
        <f aca="false">AA33*Timeline!AA$9*(1-INDEX(ResSh,1,AA$7-FYBase))*((1-INDEX(SpotSh,1,AA$7-FYBase))*INDEX(P_OD_H,1,22)*IF(AA$5&lt;=LastHist,RealOD_B,RealOD)+INDEX(SpotSh,1,AA$7-FYBase)*INDEX(P_SPOT_H,1,22))*(1+INDEX(StudioUp,1,AA$7-FYBase))/1000000</f>
        <v>24.6435273038346</v>
      </c>
      <c r="AB43" s="120" t="n">
        <f aca="false">AB33*Timeline!AB$9*(1-INDEX(ResSh,1,AB$7-FYBase))*((1-INDEX(SpotSh,1,AB$7-FYBase))*INDEX(P_OD_H,1,23)*IF(AB$5&lt;=LastHist,RealOD_B,RealOD)+INDEX(SpotSh,1,AB$7-FYBase)*INDEX(P_SPOT_H,1,23))*(1+INDEX(StudioUp,1,AB$7-FYBase))/1000000</f>
        <v>23.9223608066451</v>
      </c>
      <c r="AC43" s="120" t="n">
        <f aca="false">AC33*Timeline!AC$9*(1-INDEX(ResSh,1,AC$7-FYBase))*((1-INDEX(SpotSh,1,AC$7-FYBase))*INDEX(P_OD_H,1,24)*IF(AC$5&lt;=LastHist,RealOD_B,RealOD)+INDEX(SpotSh,1,AC$7-FYBase)*INDEX(P_SPOT_H,1,24))*(1+INDEX(StudioUp,1,AC$7-FYBase))/1000000</f>
        <v>22.9698821887074</v>
      </c>
      <c r="AD43" s="120" t="n">
        <f aca="false">AD33*Timeline!AD$9*(1-INDEX(ResSh,1,AD$7-FYBase))*((1-INDEX(SpotSh,1,AD$7-FYBase))*INDEX(P_OD_H,1,25)*IF(AD$5&lt;=LastHist,RealOD_B,RealOD)+INDEX(SpotSh,1,AD$7-FYBase)*INDEX(P_SPOT_H,1,25))*(1+INDEX(StudioUp,1,AD$7-FYBase))/1000000</f>
        <v>21.5758632698086</v>
      </c>
      <c r="AE43" s="120" t="n">
        <f aca="false">AE33*Timeline!AE$9*(1-INDEX(ResSh,1,AE$7-FYBase))*((1-INDEX(SpotSh,1,AE$7-FYBase))*INDEX(P_OD_H,1,26)*IF(AE$5&lt;=LastHist,RealOD_B,RealOD)+INDEX(SpotSh,1,AE$7-FYBase)*INDEX(P_SPOT_H,1,26))*(1+INDEX(StudioUp,1,AE$7-FYBase))/1000000</f>
        <v>20.9469982082594</v>
      </c>
      <c r="AF43" s="120" t="n">
        <f aca="false">AF33*Timeline!AF$9*(1-INDEX(ResSh,1,AF$7-FYBase))*((1-INDEX(SpotSh,1,AF$7-FYBase))*INDEX(P_OD_H,1,27)*IF(AF$5&lt;=LastHist,RealOD_B,RealOD)+INDEX(SpotSh,1,AF$7-FYBase)*INDEX(P_SPOT_H,1,27))*(1+INDEX(StudioUp,1,AF$7-FYBase))/1000000</f>
        <v>20.3340066856484</v>
      </c>
      <c r="AG43" s="120" t="n">
        <f aca="false">AG33*Timeline!AG$9*(1-INDEX(ResSh,1,AG$7-FYBase))*((1-INDEX(SpotSh,1,AG$7-FYBase))*INDEX(P_OD_H,1,28)*IF(AG$5&lt;=LastHist,RealOD_B,RealOD)+INDEX(SpotSh,1,AG$7-FYBase)*INDEX(P_SPOT_H,1,28))*(1+INDEX(StudioUp,1,AG$7-FYBase))/1000000</f>
        <v>19.5243998604013</v>
      </c>
      <c r="AI43" s="120" t="n">
        <f aca="false">SUMIF($F$7:$AG$7,AI$7,$F43:$AG43)</f>
        <v>65.97213003612</v>
      </c>
      <c r="AJ43" s="120" t="n">
        <f aca="false">SUMIF($F$7:$AG$7,AJ$7,$F43:$AG43)</f>
        <v>112.528307344761</v>
      </c>
      <c r="AK43" s="120" t="n">
        <f aca="false">SUMIF($F$7:$AG$7,AK$7,$F43:$AG43)</f>
        <v>116.37475967535</v>
      </c>
      <c r="AL43" s="120" t="n">
        <f aca="false">SUMIF($F$7:$AG$7,AL$7,$F43:$AG43)</f>
        <v>128.554797785108</v>
      </c>
      <c r="AM43" s="120" t="n">
        <f aca="false">SUMIF($F$7:$AG$7,AM$7,$F43:$AG43)</f>
        <v>114.354325035608</v>
      </c>
      <c r="AN43" s="120" t="n">
        <f aca="false">SUMIF($F$7:$AG$7,AN$7,$F43:$AG43)</f>
        <v>96.9191388519031</v>
      </c>
      <c r="AO43" s="120" t="n">
        <f aca="false">SUMIF($F$7:$AG$7,AO$7,$F43:$AG43)</f>
        <v>82.3812680241177</v>
      </c>
    </row>
    <row r="44" customFormat="false" ht="15" hidden="false" customHeight="false" outlineLevel="0" collapsed="false">
      <c r="A44" s="101" t="s">
        <v>1551</v>
      </c>
      <c r="B44" s="18" t="s">
        <v>400</v>
      </c>
      <c r="C44" s="18" t="s">
        <v>336</v>
      </c>
      <c r="D44" s="18" t="s">
        <v>1550</v>
      </c>
      <c r="F44" s="119" t="n">
        <f aca="false">F34*Timeline!F$9*(1-INDEX(ResSh,1,F$7-FYBase))*((1-INDEX(SpotSh,1,F$7-FYBase))*INDEX(P_OD_B,1,1)*IF(F$5&lt;=LastHist,RealOD_B,RealOD)+INDEX(SpotSh,1,F$7-FYBase)*INDEX(P_SPOT_B,1,1))*(1+INDEX(StudioUp,1,F$7-FYBase))/1000000</f>
        <v>0</v>
      </c>
      <c r="G44" s="119" t="n">
        <f aca="false">G34*Timeline!G$9*(1-INDEX(ResSh,1,G$7-FYBase))*((1-INDEX(SpotSh,1,G$7-FYBase))*INDEX(P_OD_B,1,2)*IF(G$5&lt;=LastHist,RealOD_B,RealOD)+INDEX(SpotSh,1,G$7-FYBase)*INDEX(P_SPOT_B,1,2))*(1+INDEX(StudioUp,1,G$7-FYBase))/1000000</f>
        <v>0</v>
      </c>
      <c r="H44" s="119" t="n">
        <f aca="false">H34*Timeline!H$9*(1-INDEX(ResSh,1,H$7-FYBase))*((1-INDEX(SpotSh,1,H$7-FYBase))*INDEX(P_OD_B,1,3)*IF(H$5&lt;=LastHist,RealOD_B,RealOD)+INDEX(SpotSh,1,H$7-FYBase)*INDEX(P_SPOT_B,1,3))*(1+INDEX(StudioUp,1,H$7-FYBase))/1000000</f>
        <v>0</v>
      </c>
      <c r="I44" s="119" t="n">
        <f aca="false">I34*Timeline!I$9*(1-INDEX(ResSh,1,I$7-FYBase))*((1-INDEX(SpotSh,1,I$7-FYBase))*INDEX(P_OD_B,1,4)*IF(I$5&lt;=LastHist,RealOD_B,RealOD)+INDEX(SpotSh,1,I$7-FYBase)*INDEX(P_SPOT_B,1,4))*(1+INDEX(StudioUp,1,I$7-FYBase))/1000000</f>
        <v>0</v>
      </c>
      <c r="J44" s="119" t="n">
        <f aca="false">J34*Timeline!J$9*(1-INDEX(ResSh,1,J$7-FYBase))*((1-INDEX(SpotSh,1,J$7-FYBase))*INDEX(P_OD_B,1,5)*IF(J$5&lt;=LastHist,RealOD_B,RealOD)+INDEX(SpotSh,1,J$7-FYBase)*INDEX(P_SPOT_B,1,5))*(1+INDEX(StudioUp,1,J$7-FYBase))/1000000</f>
        <v>0</v>
      </c>
      <c r="K44" s="119" t="n">
        <f aca="false">K34*Timeline!K$9*(1-INDEX(ResSh,1,K$7-FYBase))*((1-INDEX(SpotSh,1,K$7-FYBase))*INDEX(P_OD_B,1,6)*IF(K$5&lt;=LastHist,RealOD_B,RealOD)+INDEX(SpotSh,1,K$7-FYBase)*INDEX(P_SPOT_B,1,6))*(1+INDEX(StudioUp,1,K$7-FYBase))/1000000</f>
        <v>0</v>
      </c>
      <c r="L44" s="119" t="n">
        <f aca="false">L34*Timeline!L$9*(1-INDEX(ResSh,1,L$7-FYBase))*((1-INDEX(SpotSh,1,L$7-FYBase))*INDEX(P_OD_B,1,7)*IF(L$5&lt;=LastHist,RealOD_B,RealOD)+INDEX(SpotSh,1,L$7-FYBase)*INDEX(P_SPOT_B,1,7))*(1+INDEX(StudioUp,1,L$7-FYBase))/1000000</f>
        <v>7.27912878061824</v>
      </c>
      <c r="M44" s="119" t="n">
        <f aca="false">M34*Timeline!M$9*(1-INDEX(ResSh,1,M$7-FYBase))*((1-INDEX(SpotSh,1,M$7-FYBase))*INDEX(P_OD_B,1,8)*IF(M$5&lt;=LastHist,RealOD_B,RealOD)+INDEX(SpotSh,1,M$7-FYBase)*INDEX(P_SPOT_B,1,8))*(1+INDEX(StudioUp,1,M$7-FYBase))/1000000</f>
        <v>27.066258061256</v>
      </c>
      <c r="N44" s="119" t="n">
        <f aca="false">N34*Timeline!N$9*(1-INDEX(ResSh,1,N$7-FYBase))*((1-INDEX(SpotSh,1,N$7-FYBase))*INDEX(P_OD_B,1,9)*IF(N$5&lt;=LastHist,RealOD_B,RealOD)+INDEX(SpotSh,1,N$7-FYBase)*INDEX(P_SPOT_B,1,9))*(1+INDEX(StudioUp,1,N$7-FYBase))/1000000</f>
        <v>27.6577950516368</v>
      </c>
      <c r="O44" s="119" t="n">
        <f aca="false">O34*Timeline!O$9*(1-INDEX(ResSh,1,O$7-FYBase))*((1-INDEX(SpotSh,1,O$7-FYBase))*INDEX(P_OD_B,1,10)*IF(O$5&lt;=LastHist,RealOD_B,RealOD)+INDEX(SpotSh,1,O$7-FYBase)*INDEX(P_SPOT_B,1,10))*(1+INDEX(StudioUp,1,O$7-FYBase))/1000000</f>
        <v>21.7452293790732</v>
      </c>
      <c r="P44" s="120" t="n">
        <f aca="false">P34*Timeline!P$9*(1-INDEX(ResSh,1,P$7-FYBase))*((1-INDEX(SpotSh,1,P$7-FYBase))*INDEX(P_OD_B,1,11)*IF(P$5&lt;=LastHist,RealOD_B,RealOD)+INDEX(SpotSh,1,P$7-FYBase)*INDEX(P_SPOT_B,1,11))*(1+INDEX(StudioUp,1,P$7-FYBase))/1000000</f>
        <v>21.9725063352828</v>
      </c>
      <c r="Q44" s="120" t="n">
        <f aca="false">Q34*Timeline!Q$9*(1-INDEX(ResSh,1,Q$7-FYBase))*((1-INDEX(SpotSh,1,Q$7-FYBase))*INDEX(P_OD_B,1,12)*IF(Q$5&lt;=LastHist,RealOD_B,RealOD)+INDEX(SpotSh,1,Q$7-FYBase)*INDEX(P_SPOT_B,1,12))*(1+INDEX(StudioUp,1,Q$7-FYBase))/1000000</f>
        <v>29.3031531441</v>
      </c>
      <c r="R44" s="120" t="n">
        <f aca="false">R34*Timeline!R$9*(1-INDEX(ResSh,1,R$7-FYBase))*((1-INDEX(SpotSh,1,R$7-FYBase))*INDEX(P_OD_B,1,13)*IF(R$5&lt;=LastHist,RealOD_B,RealOD)+INDEX(SpotSh,1,R$7-FYBase)*INDEX(P_SPOT_B,1,13))*(1+INDEX(StudioUp,1,R$7-FYBase))/1000000</f>
        <v>65.4750555377404</v>
      </c>
      <c r="S44" s="120" t="n">
        <f aca="false">S34*Timeline!S$9*(1-INDEX(ResSh,1,S$7-FYBase))*((1-INDEX(SpotSh,1,S$7-FYBase))*INDEX(P_OD_B,1,14)*IF(S$5&lt;=LastHist,RealOD_B,RealOD)+INDEX(SpotSh,1,S$7-FYBase)*INDEX(P_SPOT_B,1,14))*(1+INDEX(StudioUp,1,S$7-FYBase))/1000000</f>
        <v>131.523772088009</v>
      </c>
      <c r="T44" s="120" t="n">
        <f aca="false">T34*Timeline!T$9*(1-INDEX(ResSh,1,T$7-FYBase))*((1-INDEX(SpotSh,1,T$7-FYBase))*INDEX(P_OD_B,1,15)*IF(T$5&lt;=LastHist,RealOD_B,RealOD)+INDEX(SpotSh,1,T$7-FYBase)*INDEX(P_SPOT_B,1,15))*(1+INDEX(StudioUp,1,T$7-FYBase))/1000000</f>
        <v>184.914404126395</v>
      </c>
      <c r="U44" s="120" t="n">
        <f aca="false">U34*Timeline!U$9*(1-INDEX(ResSh,1,U$7-FYBase))*((1-INDEX(SpotSh,1,U$7-FYBase))*INDEX(P_OD_B,1,16)*IF(U$5&lt;=LastHist,RealOD_B,RealOD)+INDEX(SpotSh,1,U$7-FYBase)*INDEX(P_SPOT_B,1,16))*(1+INDEX(StudioUp,1,U$7-FYBase))/1000000</f>
        <v>202.912799898808</v>
      </c>
      <c r="V44" s="120" t="n">
        <f aca="false">V34*Timeline!V$9*(1-INDEX(ResSh,1,V$7-FYBase))*((1-INDEX(SpotSh,1,V$7-FYBase))*INDEX(P_OD_B,1,17)*IF(V$5&lt;=LastHist,RealOD_B,RealOD)+INDEX(SpotSh,1,V$7-FYBase)*INDEX(P_SPOT_B,1,17))*(1+INDEX(StudioUp,1,V$7-FYBase))/1000000</f>
        <v>241.489859722479</v>
      </c>
      <c r="W44" s="120" t="n">
        <f aca="false">W34*Timeline!W$9*(1-INDEX(ResSh,1,W$7-FYBase))*((1-INDEX(SpotSh,1,W$7-FYBase))*INDEX(P_OD_B,1,18)*IF(W$5&lt;=LastHist,RealOD_B,RealOD)+INDEX(SpotSh,1,W$7-FYBase)*INDEX(P_SPOT_B,1,18))*(1+INDEX(StudioUp,1,W$7-FYBase))/1000000</f>
        <v>263.090808470011</v>
      </c>
      <c r="X44" s="120" t="n">
        <f aca="false">X34*Timeline!X$9*(1-INDEX(ResSh,1,X$7-FYBase))*((1-INDEX(SpotSh,1,X$7-FYBase))*INDEX(P_OD_B,1,19)*IF(X$5&lt;=LastHist,RealOD_B,RealOD)+INDEX(SpotSh,1,X$7-FYBase)*INDEX(P_SPOT_B,1,19))*(1+INDEX(StudioUp,1,X$7-FYBase))/1000000</f>
        <v>261.899140976014</v>
      </c>
      <c r="Y44" s="120" t="n">
        <f aca="false">Y34*Timeline!Y$9*(1-INDEX(ResSh,1,Y$7-FYBase))*((1-INDEX(SpotSh,1,Y$7-FYBase))*INDEX(P_OD_B,1,20)*IF(Y$5&lt;=LastHist,RealOD_B,RealOD)+INDEX(SpotSh,1,Y$7-FYBase)*INDEX(P_SPOT_B,1,20))*(1+INDEX(StudioUp,1,Y$7-FYBase))/1000000</f>
        <v>257.879035573656</v>
      </c>
      <c r="Z44" s="120" t="n">
        <f aca="false">Z34*Timeline!Z$9*(1-INDEX(ResSh,1,Z$7-FYBase))*((1-INDEX(SpotSh,1,Z$7-FYBase))*INDEX(P_OD_B,1,21)*IF(Z$5&lt;=LastHist,RealOD_B,RealOD)+INDEX(SpotSh,1,Z$7-FYBase)*INDEX(P_SPOT_B,1,21))*(1+INDEX(StudioUp,1,Z$7-FYBase))/1000000</f>
        <v>269.23739804798</v>
      </c>
      <c r="AA44" s="120" t="n">
        <f aca="false">AA34*Timeline!AA$9*(1-INDEX(ResSh,1,AA$7-FYBase))*((1-INDEX(SpotSh,1,AA$7-FYBase))*INDEX(P_OD_B,1,22)*IF(AA$5&lt;=LastHist,RealOD_B,RealOD)+INDEX(SpotSh,1,AA$7-FYBase)*INDEX(P_SPOT_B,1,22))*(1+INDEX(StudioUp,1,AA$7-FYBase))/1000000</f>
        <v>288.795157920396</v>
      </c>
      <c r="AB44" s="120" t="n">
        <f aca="false">AB34*Timeline!AB$9*(1-INDEX(ResSh,1,AB$7-FYBase))*((1-INDEX(SpotSh,1,AB$7-FYBase))*INDEX(P_OD_B,1,23)*IF(AB$5&lt;=LastHist,RealOD_B,RealOD)+INDEX(SpotSh,1,AB$7-FYBase)*INDEX(P_SPOT_B,1,23))*(1+INDEX(StudioUp,1,AB$7-FYBase))/1000000</f>
        <v>287.487062802522</v>
      </c>
      <c r="AC44" s="120" t="n">
        <f aca="false">AC34*Timeline!AC$9*(1-INDEX(ResSh,1,AC$7-FYBase))*((1-INDEX(SpotSh,1,AC$7-FYBase))*INDEX(P_OD_B,1,24)*IF(AC$5&lt;=LastHist,RealOD_B,RealOD)+INDEX(SpotSh,1,AC$7-FYBase)*INDEX(P_SPOT_B,1,24))*(1+INDEX(StudioUp,1,AC$7-FYBase))/1000000</f>
        <v>283.074187334608</v>
      </c>
      <c r="AD44" s="120" t="n">
        <f aca="false">AD34*Timeline!AD$9*(1-INDEX(ResSh,1,AD$7-FYBase))*((1-INDEX(SpotSh,1,AD$7-FYBase))*INDEX(P_OD_B,1,25)*IF(AD$5&lt;=LastHist,RealOD_B,RealOD)+INDEX(SpotSh,1,AD$7-FYBase)*INDEX(P_SPOT_B,1,25))*(1+INDEX(StudioUp,1,AD$7-FYBase))/1000000</f>
        <v>272.669721576959</v>
      </c>
      <c r="AE44" s="120" t="n">
        <f aca="false">AE34*Timeline!AE$9*(1-INDEX(ResSh,1,AE$7-FYBase))*((1-INDEX(SpotSh,1,AE$7-FYBase))*INDEX(P_OD_B,1,26)*IF(AE$5&lt;=LastHist,RealOD_B,RealOD)+INDEX(SpotSh,1,AE$7-FYBase)*INDEX(P_SPOT_B,1,26))*(1+INDEX(StudioUp,1,AE$7-FYBase))/1000000</f>
        <v>271.467448445173</v>
      </c>
      <c r="AF44" s="120" t="n">
        <f aca="false">AF34*Timeline!AF$9*(1-INDEX(ResSh,1,AF$7-FYBase))*((1-INDEX(SpotSh,1,AF$7-FYBase))*INDEX(P_OD_B,1,27)*IF(AF$5&lt;=LastHist,RealOD_B,RealOD)+INDEX(SpotSh,1,AF$7-FYBase)*INDEX(P_SPOT_B,1,27))*(1+INDEX(StudioUp,1,AF$7-FYBase))/1000000</f>
        <v>270.23783903437</v>
      </c>
      <c r="AG44" s="120" t="n">
        <f aca="false">AG34*Timeline!AG$9*(1-INDEX(ResSh,1,AG$7-FYBase))*((1-INDEX(SpotSh,1,AG$7-FYBase))*INDEX(P_OD_B,1,28)*IF(AG$5&lt;=LastHist,RealOD_B,RealOD)+INDEX(SpotSh,1,AG$7-FYBase)*INDEX(P_SPOT_B,1,28))*(1+INDEX(StudioUp,1,AG$7-FYBase))/1000000</f>
        <v>266.089736094532</v>
      </c>
      <c r="AI44" s="120" t="n">
        <f aca="false">SUMIF($F$7:$AG$7,AI$7,$F44:$AG44)</f>
        <v>0</v>
      </c>
      <c r="AJ44" s="120" t="n">
        <f aca="false">SUMIF($F$7:$AG$7,AJ$7,$F44:$AG44)</f>
        <v>34.3453868418742</v>
      </c>
      <c r="AK44" s="120" t="n">
        <f aca="false">SUMIF($F$7:$AG$7,AK$7,$F44:$AG44)</f>
        <v>100.678683910093</v>
      </c>
      <c r="AL44" s="120" t="n">
        <f aca="false">SUMIF($F$7:$AG$7,AL$7,$F44:$AG44)</f>
        <v>584.826031650952</v>
      </c>
      <c r="AM44" s="120" t="n">
        <f aca="false">SUMIF($F$7:$AG$7,AM$7,$F44:$AG44)</f>
        <v>1024.35884474216</v>
      </c>
      <c r="AN44" s="120" t="n">
        <f aca="false">SUMIF($F$7:$AG$7,AN$7,$F44:$AG44)</f>
        <v>1128.59380610551</v>
      </c>
      <c r="AO44" s="120" t="n">
        <f aca="false">SUMIF($F$7:$AG$7,AO$7,$F44:$AG44)</f>
        <v>1080.46474515103</v>
      </c>
    </row>
    <row r="45" customFormat="false" ht="15" hidden="false" customHeight="false" outlineLevel="0" collapsed="false">
      <c r="A45" s="101" t="s">
        <v>1552</v>
      </c>
      <c r="B45" s="18" t="s">
        <v>400</v>
      </c>
      <c r="C45" s="18" t="s">
        <v>336</v>
      </c>
      <c r="D45" s="18" t="s">
        <v>1550</v>
      </c>
      <c r="F45" s="119" t="n">
        <f aca="false">F35*Timeline!F$9*(1-INDEX(ResSh,1,F$7-FYBase))*((1-INDEX(SpotSh,1,F$7-FYBase))*INDEX(P_OD_N,1,1)*IF(F$5&lt;=LastHist,RealOD_B,RealOD)+INDEX(SpotSh,1,F$7-FYBase)*INDEX(P_SPOT_N,1,1))*(1+INDEX(StudioUp,1,F$7-FYBase))/1000000</f>
        <v>0</v>
      </c>
      <c r="G45" s="119" t="n">
        <f aca="false">G35*Timeline!G$9*(1-INDEX(ResSh,1,G$7-FYBase))*((1-INDEX(SpotSh,1,G$7-FYBase))*INDEX(P_OD_N,1,2)*IF(G$5&lt;=LastHist,RealOD_B,RealOD)+INDEX(SpotSh,1,G$7-FYBase)*INDEX(P_SPOT_N,1,2))*(1+INDEX(StudioUp,1,G$7-FYBase))/1000000</f>
        <v>0</v>
      </c>
      <c r="H45" s="119" t="n">
        <f aca="false">H35*Timeline!H$9*(1-INDEX(ResSh,1,H$7-FYBase))*((1-INDEX(SpotSh,1,H$7-FYBase))*INDEX(P_OD_N,1,3)*IF(H$5&lt;=LastHist,RealOD_B,RealOD)+INDEX(SpotSh,1,H$7-FYBase)*INDEX(P_SPOT_N,1,3))*(1+INDEX(StudioUp,1,H$7-FYBase))/1000000</f>
        <v>0</v>
      </c>
      <c r="I45" s="119" t="n">
        <f aca="false">I35*Timeline!I$9*(1-INDEX(ResSh,1,I$7-FYBase))*((1-INDEX(SpotSh,1,I$7-FYBase))*INDEX(P_OD_N,1,4)*IF(I$5&lt;=LastHist,RealOD_B,RealOD)+INDEX(SpotSh,1,I$7-FYBase)*INDEX(P_SPOT_N,1,4))*(1+INDEX(StudioUp,1,I$7-FYBase))/1000000</f>
        <v>0</v>
      </c>
      <c r="J45" s="119" t="n">
        <f aca="false">J35*Timeline!J$9*(1-INDEX(ResSh,1,J$7-FYBase))*((1-INDEX(SpotSh,1,J$7-FYBase))*INDEX(P_OD_N,1,5)*IF(J$5&lt;=LastHist,RealOD_B,RealOD)+INDEX(SpotSh,1,J$7-FYBase)*INDEX(P_SPOT_N,1,5))*(1+INDEX(StudioUp,1,J$7-FYBase))/1000000</f>
        <v>0</v>
      </c>
      <c r="K45" s="119" t="n">
        <f aca="false">K35*Timeline!K$9*(1-INDEX(ResSh,1,K$7-FYBase))*((1-INDEX(SpotSh,1,K$7-FYBase))*INDEX(P_OD_N,1,6)*IF(K$5&lt;=LastHist,RealOD_B,RealOD)+INDEX(SpotSh,1,K$7-FYBase)*INDEX(P_SPOT_N,1,6))*(1+INDEX(StudioUp,1,K$7-FYBase))/1000000</f>
        <v>0</v>
      </c>
      <c r="L45" s="119" t="n">
        <f aca="false">L35*Timeline!L$9*(1-INDEX(ResSh,1,L$7-FYBase))*((1-INDEX(SpotSh,1,L$7-FYBase))*INDEX(P_OD_N,1,7)*IF(L$5&lt;=LastHist,RealOD_B,RealOD)+INDEX(SpotSh,1,L$7-FYBase)*INDEX(P_SPOT_N,1,7))*(1+INDEX(StudioUp,1,L$7-FYBase))/1000000</f>
        <v>0</v>
      </c>
      <c r="M45" s="119" t="n">
        <f aca="false">M35*Timeline!M$9*(1-INDEX(ResSh,1,M$7-FYBase))*((1-INDEX(SpotSh,1,M$7-FYBase))*INDEX(P_OD_N,1,8)*IF(M$5&lt;=LastHist,RealOD_B,RealOD)+INDEX(SpotSh,1,M$7-FYBase)*INDEX(P_SPOT_N,1,8))*(1+INDEX(StudioUp,1,M$7-FYBase))/1000000</f>
        <v>0</v>
      </c>
      <c r="N45" s="119" t="n">
        <f aca="false">N35*Timeline!N$9*(1-INDEX(ResSh,1,N$7-FYBase))*((1-INDEX(SpotSh,1,N$7-FYBase))*INDEX(P_OD_N,1,9)*IF(N$5&lt;=LastHist,RealOD_B,RealOD)+INDEX(SpotSh,1,N$7-FYBase)*INDEX(P_SPOT_N,1,9))*(1+INDEX(StudioUp,1,N$7-FYBase))/1000000</f>
        <v>0</v>
      </c>
      <c r="O45" s="119" t="n">
        <f aca="false">O35*Timeline!O$9*(1-INDEX(ResSh,1,O$7-FYBase))*((1-INDEX(SpotSh,1,O$7-FYBase))*INDEX(P_OD_N,1,10)*IF(O$5&lt;=LastHist,RealOD_B,RealOD)+INDEX(SpotSh,1,O$7-FYBase)*INDEX(P_SPOT_N,1,10))*(1+INDEX(StudioUp,1,O$7-FYBase))/1000000</f>
        <v>0</v>
      </c>
      <c r="P45" s="120" t="n">
        <f aca="false">P35*Timeline!P$9*(1-INDEX(ResSh,1,P$7-FYBase))*((1-INDEX(SpotSh,1,P$7-FYBase))*INDEX(P_OD_N,1,11)*IF(P$5&lt;=LastHist,RealOD_B,RealOD)+INDEX(SpotSh,1,P$7-FYBase)*INDEX(P_SPOT_N,1,11))*(1+INDEX(StudioUp,1,P$7-FYBase))/1000000</f>
        <v>0</v>
      </c>
      <c r="Q45" s="120" t="n">
        <f aca="false">Q35*Timeline!Q$9*(1-INDEX(ResSh,1,Q$7-FYBase))*((1-INDEX(SpotSh,1,Q$7-FYBase))*INDEX(P_OD_N,1,12)*IF(Q$5&lt;=LastHist,RealOD_B,RealOD)+INDEX(SpotSh,1,Q$7-FYBase)*INDEX(P_SPOT_N,1,12))*(1+INDEX(StudioUp,1,Q$7-FYBase))/1000000</f>
        <v>0</v>
      </c>
      <c r="R45" s="120" t="n">
        <f aca="false">R35*Timeline!R$9*(1-INDEX(ResSh,1,R$7-FYBase))*((1-INDEX(SpotSh,1,R$7-FYBase))*INDEX(P_OD_N,1,13)*IF(R$5&lt;=LastHist,RealOD_B,RealOD)+INDEX(SpotSh,1,R$7-FYBase)*INDEX(P_SPOT_N,1,13))*(1+INDEX(StudioUp,1,R$7-FYBase))/1000000</f>
        <v>0</v>
      </c>
      <c r="S45" s="120" t="n">
        <f aca="false">S35*Timeline!S$9*(1-INDEX(ResSh,1,S$7-FYBase))*((1-INDEX(SpotSh,1,S$7-FYBase))*INDEX(P_OD_N,1,14)*IF(S$5&lt;=LastHist,RealOD_B,RealOD)+INDEX(SpotSh,1,S$7-FYBase)*INDEX(P_SPOT_N,1,14))*(1+INDEX(StudioUp,1,S$7-FYBase))/1000000</f>
        <v>6.53197301808188</v>
      </c>
      <c r="T45" s="120" t="n">
        <f aca="false">T35*Timeline!T$9*(1-INDEX(ResSh,1,T$7-FYBase))*((1-INDEX(SpotSh,1,T$7-FYBase))*INDEX(P_OD_N,1,15)*IF(T$5&lt;=LastHist,RealOD_B,RealOD)+INDEX(SpotSh,1,T$7-FYBase)*INDEX(P_SPOT_N,1,15))*(1+INDEX(StudioUp,1,T$7-FYBase))/1000000</f>
        <v>6.6037529413575</v>
      </c>
      <c r="U45" s="120" t="n">
        <f aca="false">U35*Timeline!U$9*(1-INDEX(ResSh,1,U$7-FYBase))*((1-INDEX(SpotSh,1,U$7-FYBase))*INDEX(P_OD_N,1,16)*IF(U$5&lt;=LastHist,RealOD_B,RealOD)+INDEX(SpotSh,1,U$7-FYBase)*INDEX(P_SPOT_N,1,16))*(1+INDEX(StudioUp,1,U$7-FYBase))/1000000</f>
        <v>11.6953823062687</v>
      </c>
      <c r="V45" s="120" t="n">
        <f aca="false">V35*Timeline!V$9*(1-INDEX(ResSh,1,V$7-FYBase))*((1-INDEX(SpotSh,1,V$7-FYBase))*INDEX(P_OD_N,1,17)*IF(V$5&lt;=LastHist,RealOD_B,RealOD)+INDEX(SpotSh,1,V$7-FYBase)*INDEX(P_SPOT_N,1,17))*(1+INDEX(StudioUp,1,V$7-FYBase))/1000000</f>
        <v>141.351440079622</v>
      </c>
      <c r="W45" s="120" t="n">
        <f aca="false">W35*Timeline!W$9*(1-INDEX(ResSh,1,W$7-FYBase))*((1-INDEX(SpotSh,1,W$7-FYBase))*INDEX(P_OD_N,1,18)*IF(W$5&lt;=LastHist,RealOD_B,RealOD)+INDEX(SpotSh,1,W$7-FYBase)*INDEX(P_SPOT_N,1,18))*(1+INDEX(StudioUp,1,W$7-FYBase))/1000000</f>
        <v>316.316669599905</v>
      </c>
      <c r="X45" s="120" t="n">
        <f aca="false">X35*Timeline!X$9*(1-INDEX(ResSh,1,X$7-FYBase))*((1-INDEX(SpotSh,1,X$7-FYBase))*INDEX(P_OD_N,1,19)*IF(X$5&lt;=LastHist,RealOD_B,RealOD)+INDEX(SpotSh,1,X$7-FYBase)*INDEX(P_SPOT_N,1,19))*(1+INDEX(StudioUp,1,X$7-FYBase))/1000000</f>
        <v>480.534621329839</v>
      </c>
      <c r="Y45" s="120" t="n">
        <f aca="false">Y35*Timeline!Y$9*(1-INDEX(ResSh,1,Y$7-FYBase))*((1-INDEX(SpotSh,1,Y$7-FYBase))*INDEX(P_OD_N,1,20)*IF(Y$5&lt;=LastHist,RealOD_B,RealOD)+INDEX(SpotSh,1,Y$7-FYBase)*INDEX(P_SPOT_N,1,20))*(1+INDEX(StudioUp,1,Y$7-FYBase))/1000000</f>
        <v>583.647199311079</v>
      </c>
      <c r="Z45" s="120" t="n">
        <f aca="false">Z35*Timeline!Z$9*(1-INDEX(ResSh,1,Z$7-FYBase))*((1-INDEX(SpotSh,1,Z$7-FYBase))*INDEX(P_OD_N,1,21)*IF(Z$5&lt;=LastHist,RealOD_B,RealOD)+INDEX(SpotSh,1,Z$7-FYBase)*INDEX(P_SPOT_N,1,21))*(1+INDEX(StudioUp,1,Z$7-FYBase))/1000000</f>
        <v>747.186805093545</v>
      </c>
      <c r="AA45" s="120" t="n">
        <f aca="false">AA35*Timeline!AA$9*(1-INDEX(ResSh,1,AA$7-FYBase))*((1-INDEX(SpotSh,1,AA$7-FYBase))*INDEX(P_OD_N,1,22)*IF(AA$5&lt;=LastHist,RealOD_B,RealOD)+INDEX(SpotSh,1,AA$7-FYBase)*INDEX(P_SPOT_N,1,22))*(1+INDEX(StudioUp,1,AA$7-FYBase))/1000000</f>
        <v>920.508477243423</v>
      </c>
      <c r="AB45" s="120" t="n">
        <f aca="false">AB35*Timeline!AB$9*(1-INDEX(ResSh,1,AB$7-FYBase))*((1-INDEX(SpotSh,1,AB$7-FYBase))*INDEX(P_OD_N,1,23)*IF(AB$5&lt;=LastHist,RealOD_B,RealOD)+INDEX(SpotSh,1,AB$7-FYBase)*INDEX(P_SPOT_N,1,23))*(1+INDEX(StudioUp,1,AB$7-FYBase))/1000000</f>
        <v>1127.31852467899</v>
      </c>
      <c r="AC45" s="120" t="n">
        <f aca="false">AC35*Timeline!AC$9*(1-INDEX(ResSh,1,AC$7-FYBase))*((1-INDEX(SpotSh,1,AC$7-FYBase))*INDEX(P_OD_N,1,24)*IF(AC$5&lt;=LastHist,RealOD_B,RealOD)+INDEX(SpotSh,1,AC$7-FYBase)*INDEX(P_SPOT_N,1,24))*(1+INDEX(StudioUp,1,AC$7-FYBase))/1000000</f>
        <v>1317.75536988728</v>
      </c>
      <c r="AD45" s="120" t="n">
        <f aca="false">AD35*Timeline!AD$9*(1-INDEX(ResSh,1,AD$7-FYBase))*((1-INDEX(SpotSh,1,AD$7-FYBase))*INDEX(P_OD_N,1,25)*IF(AD$5&lt;=LastHist,RealOD_B,RealOD)+INDEX(SpotSh,1,AD$7-FYBase)*INDEX(P_SPOT_N,1,25))*(1+INDEX(StudioUp,1,AD$7-FYBase))/1000000</f>
        <v>1548.03917723116</v>
      </c>
      <c r="AE45" s="120" t="n">
        <f aca="false">AE35*Timeline!AE$9*(1-INDEX(ResSh,1,AE$7-FYBase))*((1-INDEX(SpotSh,1,AE$7-FYBase))*INDEX(P_OD_N,1,26)*IF(AE$5&lt;=LastHist,RealOD_B,RealOD)+INDEX(SpotSh,1,AE$7-FYBase)*INDEX(P_SPOT_N,1,26))*(1+INDEX(StudioUp,1,AE$7-FYBase))/1000000</f>
        <v>1818.70276961616</v>
      </c>
      <c r="AF45" s="120" t="n">
        <f aca="false">AF35*Timeline!AF$9*(1-INDEX(ResSh,1,AF$7-FYBase))*((1-INDEX(SpotSh,1,AF$7-FYBase))*INDEX(P_OD_N,1,27)*IF(AF$5&lt;=LastHist,RealOD_B,RealOD)+INDEX(SpotSh,1,AF$7-FYBase)*INDEX(P_SPOT_N,1,27))*(1+INDEX(StudioUp,1,AF$7-FYBase))/1000000</f>
        <v>1810.46497147947</v>
      </c>
      <c r="AG45" s="120" t="n">
        <f aca="false">AG35*Timeline!AG$9*(1-INDEX(ResSh,1,AG$7-FYBase))*((1-INDEX(SpotSh,1,AG$7-FYBase))*INDEX(P_OD_N,1,28)*IF(AG$5&lt;=LastHist,RealOD_B,RealOD)+INDEX(SpotSh,1,AG$7-FYBase)*INDEX(P_SPOT_N,1,28))*(1+INDEX(StudioUp,1,AG$7-FYBase))/1000000</f>
        <v>1782.67465500305</v>
      </c>
      <c r="AI45" s="120" t="n">
        <f aca="false">SUMIF($F$7:$AG$7,AI$7,$F45:$AG45)</f>
        <v>0</v>
      </c>
      <c r="AJ45" s="120" t="n">
        <f aca="false">SUMIF($F$7:$AG$7,AJ$7,$F45:$AG45)</f>
        <v>0</v>
      </c>
      <c r="AK45" s="120" t="n">
        <f aca="false">SUMIF($F$7:$AG$7,AK$7,$F45:$AG45)</f>
        <v>0</v>
      </c>
      <c r="AL45" s="120" t="n">
        <f aca="false">SUMIF($F$7:$AG$7,AL$7,$F45:$AG45)</f>
        <v>24.8311082657081</v>
      </c>
      <c r="AM45" s="120" t="n">
        <f aca="false">SUMIF($F$7:$AG$7,AM$7,$F45:$AG45)</f>
        <v>1521.84993032045</v>
      </c>
      <c r="AN45" s="120" t="n">
        <f aca="false">SUMIF($F$7:$AG$7,AN$7,$F45:$AG45)</f>
        <v>4112.76917690324</v>
      </c>
      <c r="AO45" s="120" t="n">
        <f aca="false">SUMIF($F$7:$AG$7,AO$7,$F45:$AG45)</f>
        <v>6959.88157332984</v>
      </c>
    </row>
    <row r="46" customFormat="false" ht="15" hidden="false" customHeight="false" outlineLevel="0" collapsed="false">
      <c r="A46" s="101" t="s">
        <v>1553</v>
      </c>
      <c r="B46" s="18" t="s">
        <v>400</v>
      </c>
      <c r="C46" s="18" t="s">
        <v>336</v>
      </c>
      <c r="D46" s="18"/>
      <c r="F46" s="119" t="n">
        <f aca="false">F43+F44+F45</f>
        <v>16.0006459587975</v>
      </c>
      <c r="G46" s="119" t="n">
        <f aca="false">G43+G44+G45</f>
        <v>16.0006459587975</v>
      </c>
      <c r="H46" s="119" t="n">
        <f aca="false">H43+H44+H45</f>
        <v>16.17647723307</v>
      </c>
      <c r="I46" s="119" t="n">
        <f aca="false">I43+I44+I45</f>
        <v>17.794360885455</v>
      </c>
      <c r="J46" s="119" t="n">
        <f aca="false">J43+J44+J45</f>
        <v>21.44410678872</v>
      </c>
      <c r="K46" s="119" t="n">
        <f aca="false">K43+K44+K45</f>
        <v>29.283994148409</v>
      </c>
      <c r="L46" s="119" t="n">
        <f aca="false">L43+L44+L45</f>
        <v>38.1792319844342</v>
      </c>
      <c r="M46" s="119" t="n">
        <f aca="false">M43+M44+M45</f>
        <v>57.966361265072</v>
      </c>
      <c r="N46" s="119" t="n">
        <f aca="false">N43+N44+N45</f>
        <v>54.0476347443368</v>
      </c>
      <c r="O46" s="119" t="n">
        <f aca="false">O43+O44+O45</f>
        <v>48.4282895128032</v>
      </c>
      <c r="P46" s="120" t="n">
        <f aca="false">P43+P44+P45</f>
        <v>50.9886338990028</v>
      </c>
      <c r="Q46" s="120" t="n">
        <f aca="false">Q43+Q44+Q45</f>
        <v>63.5888854293</v>
      </c>
      <c r="R46" s="120" t="n">
        <f aca="false">R43+R44+R45</f>
        <v>99.1438834911699</v>
      </c>
      <c r="S46" s="120" t="n">
        <f aca="false">S43+S44+S45</f>
        <v>170.743238069654</v>
      </c>
      <c r="T46" s="120" t="n">
        <f aca="false">T43+T44+T45</f>
        <v>223.249085473337</v>
      </c>
      <c r="U46" s="120" t="n">
        <f aca="false">U43+U44+U45</f>
        <v>245.075730667607</v>
      </c>
      <c r="V46" s="120" t="n">
        <f aca="false">V43+V44+V45</f>
        <v>413.035895073959</v>
      </c>
      <c r="W46" s="120" t="n">
        <f aca="false">W43+W44+W45</f>
        <v>608.399863133251</v>
      </c>
      <c r="X46" s="120" t="n">
        <f aca="false">X43+X44+X45</f>
        <v>770.577716196024</v>
      </c>
      <c r="Y46" s="120" t="n">
        <f aca="false">Y43+Y44+Y45</f>
        <v>868.549625694979</v>
      </c>
      <c r="Z46" s="120" t="n">
        <f aca="false">Z43+Z44+Z45</f>
        <v>1041.80757169424</v>
      </c>
      <c r="AA46" s="120" t="n">
        <f aca="false">AA43+AA44+AA45</f>
        <v>1233.94716246765</v>
      </c>
      <c r="AB46" s="120" t="n">
        <f aca="false">AB43+AB44+AB45</f>
        <v>1438.72794828816</v>
      </c>
      <c r="AC46" s="120" t="n">
        <f aca="false">AC43+AC44+AC45</f>
        <v>1623.7994394106</v>
      </c>
      <c r="AD46" s="120" t="n">
        <f aca="false">AD43+AD44+AD45</f>
        <v>1842.28476207792</v>
      </c>
      <c r="AE46" s="120" t="n">
        <f aca="false">AE43+AE44+AE45</f>
        <v>2111.11721626959</v>
      </c>
      <c r="AF46" s="120" t="n">
        <f aca="false">AF43+AF44+AF45</f>
        <v>2101.03681719949</v>
      </c>
      <c r="AG46" s="120" t="n">
        <f aca="false">AG43+AG44+AG45</f>
        <v>2068.28879095799</v>
      </c>
      <c r="AI46" s="120" t="n">
        <f aca="false">SUMIF($F$7:$AG$7,AI$7,$F46:$AG46)</f>
        <v>65.97213003612</v>
      </c>
      <c r="AJ46" s="120" t="n">
        <f aca="false">SUMIF($F$7:$AG$7,AJ$7,$F46:$AG46)</f>
        <v>146.873694186635</v>
      </c>
      <c r="AK46" s="120" t="n">
        <f aca="false">SUMIF($F$7:$AG$7,AK$7,$F46:$AG46)</f>
        <v>217.053443585443</v>
      </c>
      <c r="AL46" s="120" t="n">
        <f aca="false">SUMIF($F$7:$AG$7,AL$7,$F46:$AG46)</f>
        <v>738.211937701768</v>
      </c>
      <c r="AM46" s="120" t="n">
        <f aca="false">SUMIF($F$7:$AG$7,AM$7,$F46:$AG46)</f>
        <v>2660.56310009821</v>
      </c>
      <c r="AN46" s="120" t="n">
        <f aca="false">SUMIF($F$7:$AG$7,AN$7,$F46:$AG46)</f>
        <v>5338.28212186065</v>
      </c>
      <c r="AO46" s="120" t="n">
        <f aca="false">SUMIF($F$7:$AG$7,AO$7,$F46:$AG46)</f>
        <v>8122.72758650499</v>
      </c>
    </row>
    <row r="47" customFormat="false" ht="15" hidden="false" customHeight="false" outlineLevel="0" collapsed="false">
      <c r="A47" s="3" t="s">
        <v>1554</v>
      </c>
      <c r="E47" s="62" t="n">
        <f aca="false">(INDEX(H_AIRev,1,LastHist)-INDEX(Book_A,1,LastHist)-INDEX(Book_Post,1,LastHist)-INDEX(AssetLight,1,INDEX(Q_Yr,1,LastHist)-FYBase)/4)/(INDEX($F$42:$AG$42,1,LastHist)+INDEX($F$46:$AG$46,1,LastHist))</f>
        <v>0.82509878873241</v>
      </c>
      <c r="F47" s="4" t="str">
        <f aca="false">IF(OR(UtilQ2&gt;1,UtilQ2&lt;0.4),"FLAG: outside 40-100% - not forced","OK (40-100%)")</f>
        <v>OK (40-100%)</v>
      </c>
    </row>
    <row r="48" customFormat="false" ht="15" hidden="false" customHeight="false" outlineLevel="0" collapsed="false">
      <c r="A48" s="101" t="s">
        <v>1555</v>
      </c>
      <c r="B48" s="18" t="s">
        <v>388</v>
      </c>
      <c r="C48" s="18" t="s">
        <v>385</v>
      </c>
      <c r="D48" s="18" t="s">
        <v>1556</v>
      </c>
      <c r="F48" s="113" t="n">
        <f aca="false">IF(F$5&lt;=LastHist,UtilQ2,Util_Res)</f>
        <v>0.82509878873241</v>
      </c>
      <c r="G48" s="113" t="n">
        <f aca="false">IF(G$5&lt;=LastHist,UtilQ2,Util_Res)</f>
        <v>0.82509878873241</v>
      </c>
      <c r="H48" s="113" t="n">
        <f aca="false">IF(H$5&lt;=LastHist,UtilQ2,Util_Res)</f>
        <v>0.82509878873241</v>
      </c>
      <c r="I48" s="113" t="n">
        <f aca="false">IF(I$5&lt;=LastHist,UtilQ2,Util_Res)</f>
        <v>0.82509878873241</v>
      </c>
      <c r="J48" s="113" t="n">
        <f aca="false">IF(J$5&lt;=LastHist,UtilQ2,Util_Res)</f>
        <v>0.82509878873241</v>
      </c>
      <c r="K48" s="113" t="n">
        <f aca="false">IF(K$5&lt;=LastHist,UtilQ2,Util_Res)</f>
        <v>0.82509878873241</v>
      </c>
      <c r="L48" s="113" t="n">
        <f aca="false">IF(L$5&lt;=LastHist,UtilQ2,Util_Res)</f>
        <v>0.82509878873241</v>
      </c>
      <c r="M48" s="113" t="n">
        <f aca="false">IF(M$5&lt;=LastHist,UtilQ2,Util_Res)</f>
        <v>0.82509878873241</v>
      </c>
      <c r="N48" s="113" t="n">
        <f aca="false">IF(N$5&lt;=LastHist,UtilQ2,Util_Res)</f>
        <v>0.82509878873241</v>
      </c>
      <c r="O48" s="113" t="n">
        <f aca="false">IF(O$5&lt;=LastHist,UtilQ2,Util_Res)</f>
        <v>0.82509878873241</v>
      </c>
      <c r="P48" s="31" t="n">
        <f aca="false">IF(P$5&lt;=LastHist,UtilQ2,Util_Res)</f>
        <v>0.82509878873241</v>
      </c>
      <c r="Q48" s="31" t="n">
        <f aca="false">IF(Q$5&lt;=LastHist,UtilQ2,Util_Res)</f>
        <v>0.82509878873241</v>
      </c>
      <c r="R48" s="31" t="n">
        <f aca="false">IF(R$5&lt;=LastHist,UtilQ2,Util_Res)</f>
        <v>0.82509878873241</v>
      </c>
      <c r="S48" s="31" t="n">
        <f aca="false">IF(S$5&lt;=LastHist,UtilQ2,Util_Res)</f>
        <v>0.82509878873241</v>
      </c>
      <c r="T48" s="31" t="n">
        <f aca="false">IF(T$5&lt;=LastHist,UtilQ2,Util_Res)</f>
        <v>0.82509878873241</v>
      </c>
      <c r="U48" s="31" t="n">
        <f aca="false">IF(U$5&lt;=LastHist,UtilQ2,Util_Res)</f>
        <v>0.82509878873241</v>
      </c>
      <c r="V48" s="31" t="n">
        <f aca="false">IF(V$5&lt;=LastHist,UtilQ2,Util_Res)</f>
        <v>0.82509878873241</v>
      </c>
      <c r="W48" s="31" t="n">
        <f aca="false">IF(W$5&lt;=LastHist,UtilQ2,Util_Res)</f>
        <v>0.82509878873241</v>
      </c>
      <c r="X48" s="31" t="n">
        <f aca="false">IF(X$5&lt;=LastHist,UtilQ2,Util_Res)</f>
        <v>0.82509878873241</v>
      </c>
      <c r="Y48" s="31" t="n">
        <f aca="false">IF(Y$5&lt;=LastHist,UtilQ2,Util_Res)</f>
        <v>0.82509878873241</v>
      </c>
      <c r="Z48" s="31" t="n">
        <f aca="false">IF(Z$5&lt;=LastHist,UtilQ2,Util_Res)</f>
        <v>0.82509878873241</v>
      </c>
      <c r="AA48" s="31" t="n">
        <f aca="false">IF(AA$5&lt;=LastHist,UtilQ2,Util_Res)</f>
        <v>0.82509878873241</v>
      </c>
      <c r="AB48" s="31" t="n">
        <f aca="false">IF(AB$5&lt;=LastHist,UtilQ2,Util_Res)</f>
        <v>0.82509878873241</v>
      </c>
      <c r="AC48" s="31" t="n">
        <f aca="false">IF(AC$5&lt;=LastHist,UtilQ2,Util_Res)</f>
        <v>0.82509878873241</v>
      </c>
      <c r="AD48" s="31" t="n">
        <f aca="false">IF(AD$5&lt;=LastHist,UtilQ2,Util_Res)</f>
        <v>0.82509878873241</v>
      </c>
      <c r="AE48" s="31" t="n">
        <f aca="false">IF(AE$5&lt;=LastHist,UtilQ2,Util_Res)</f>
        <v>0.82509878873241</v>
      </c>
      <c r="AF48" s="31" t="n">
        <f aca="false">IF(AF$5&lt;=LastHist,UtilQ2,Util_Res)</f>
        <v>0.82509878873241</v>
      </c>
      <c r="AG48" s="31" t="n">
        <f aca="false">IF(AG$5&lt;=LastHist,UtilQ2,Util_Res)</f>
        <v>0.82509878873241</v>
      </c>
      <c r="AI48" s="31" t="n">
        <f aca="false">AVERAGEIF($F$7:$AG$7,AI$7,$F48:$AG48)</f>
        <v>0.82509878873241</v>
      </c>
      <c r="AJ48" s="31" t="n">
        <f aca="false">AVERAGEIF($F$7:$AG$7,AJ$7,$F48:$AG48)</f>
        <v>0.82509878873241</v>
      </c>
      <c r="AK48" s="31" t="n">
        <f aca="false">AVERAGEIF($F$7:$AG$7,AK$7,$F48:$AG48)</f>
        <v>0.82509878873241</v>
      </c>
      <c r="AL48" s="31" t="n">
        <f aca="false">AVERAGEIF($F$7:$AG$7,AL$7,$F48:$AG48)</f>
        <v>0.82509878873241</v>
      </c>
      <c r="AM48" s="31" t="n">
        <f aca="false">AVERAGEIF($F$7:$AG$7,AM$7,$F48:$AG48)</f>
        <v>0.82509878873241</v>
      </c>
      <c r="AN48" s="31" t="n">
        <f aca="false">AVERAGEIF($F$7:$AG$7,AN$7,$F48:$AG48)</f>
        <v>0.82509878873241</v>
      </c>
      <c r="AO48" s="31" t="n">
        <f aca="false">AVERAGEIF($F$7:$AG$7,AO$7,$F48:$AG48)</f>
        <v>0.82509878873241</v>
      </c>
    </row>
    <row r="49" customFormat="false" ht="15" hidden="false" customHeight="false" outlineLevel="0" collapsed="false">
      <c r="A49" s="101" t="s">
        <v>1557</v>
      </c>
      <c r="B49" s="18" t="s">
        <v>388</v>
      </c>
      <c r="C49" s="18" t="s">
        <v>385</v>
      </c>
      <c r="D49" s="18" t="s">
        <v>1558</v>
      </c>
      <c r="F49" s="113" t="n">
        <f aca="false">IF(F$5&lt;=LastHist,UtilQ2,Util_OD)</f>
        <v>0.82509878873241</v>
      </c>
      <c r="G49" s="113" t="n">
        <f aca="false">IF(G$5&lt;=LastHist,UtilQ2,Util_OD)</f>
        <v>0.82509878873241</v>
      </c>
      <c r="H49" s="113" t="n">
        <f aca="false">IF(H$5&lt;=LastHist,UtilQ2,Util_OD)</f>
        <v>0.82509878873241</v>
      </c>
      <c r="I49" s="113" t="n">
        <f aca="false">IF(I$5&lt;=LastHist,UtilQ2,Util_OD)</f>
        <v>0.82509878873241</v>
      </c>
      <c r="J49" s="113" t="n">
        <f aca="false">IF(J$5&lt;=LastHist,UtilQ2,Util_OD)</f>
        <v>0.82509878873241</v>
      </c>
      <c r="K49" s="113" t="n">
        <f aca="false">IF(K$5&lt;=LastHist,UtilQ2,Util_OD)</f>
        <v>0.82509878873241</v>
      </c>
      <c r="L49" s="113" t="n">
        <f aca="false">IF(L$5&lt;=LastHist,UtilQ2,Util_OD)</f>
        <v>0.82509878873241</v>
      </c>
      <c r="M49" s="113" t="n">
        <f aca="false">IF(M$5&lt;=LastHist,UtilQ2,Util_OD)</f>
        <v>0.82509878873241</v>
      </c>
      <c r="N49" s="113" t="n">
        <f aca="false">IF(N$5&lt;=LastHist,UtilQ2,Util_OD)</f>
        <v>0.82509878873241</v>
      </c>
      <c r="O49" s="113" t="n">
        <f aca="false">IF(O$5&lt;=LastHist,UtilQ2,Util_OD)</f>
        <v>0.82509878873241</v>
      </c>
      <c r="P49" s="31" t="n">
        <f aca="false">IF(P$5&lt;=LastHist,UtilQ2,Util_OD)</f>
        <v>0.82509878873241</v>
      </c>
      <c r="Q49" s="31" t="n">
        <f aca="false">IF(Q$5&lt;=LastHist,UtilQ2,Util_OD)</f>
        <v>0.82509878873241</v>
      </c>
      <c r="R49" s="31" t="n">
        <f aca="false">IF(R$5&lt;=LastHist,UtilQ2,Util_OD)</f>
        <v>0.82509878873241</v>
      </c>
      <c r="S49" s="31" t="n">
        <f aca="false">IF(S$5&lt;=LastHist,UtilQ2,Util_OD)</f>
        <v>0.82509878873241</v>
      </c>
      <c r="T49" s="31" t="n">
        <f aca="false">IF(T$5&lt;=LastHist,UtilQ2,Util_OD)</f>
        <v>0.82509878873241</v>
      </c>
      <c r="U49" s="31" t="n">
        <f aca="false">IF(U$5&lt;=LastHist,UtilQ2,Util_OD)</f>
        <v>0.82509878873241</v>
      </c>
      <c r="V49" s="31" t="n">
        <f aca="false">IF(V$5&lt;=LastHist,UtilQ2,Util_OD)</f>
        <v>0.82509878873241</v>
      </c>
      <c r="W49" s="31" t="n">
        <f aca="false">IF(W$5&lt;=LastHist,UtilQ2,Util_OD)</f>
        <v>0.82509878873241</v>
      </c>
      <c r="X49" s="31" t="n">
        <f aca="false">IF(X$5&lt;=LastHist,UtilQ2,Util_OD)</f>
        <v>0.82509878873241</v>
      </c>
      <c r="Y49" s="31" t="n">
        <f aca="false">IF(Y$5&lt;=LastHist,UtilQ2,Util_OD)</f>
        <v>0.82509878873241</v>
      </c>
      <c r="Z49" s="31" t="n">
        <f aca="false">IF(Z$5&lt;=LastHist,UtilQ2,Util_OD)</f>
        <v>0.82509878873241</v>
      </c>
      <c r="AA49" s="31" t="n">
        <f aca="false">IF(AA$5&lt;=LastHist,UtilQ2,Util_OD)</f>
        <v>0.82509878873241</v>
      </c>
      <c r="AB49" s="31" t="n">
        <f aca="false">IF(AB$5&lt;=LastHist,UtilQ2,Util_OD)</f>
        <v>0.82509878873241</v>
      </c>
      <c r="AC49" s="31" t="n">
        <f aca="false">IF(AC$5&lt;=LastHist,UtilQ2,Util_OD)</f>
        <v>0.82509878873241</v>
      </c>
      <c r="AD49" s="31" t="n">
        <f aca="false">IF(AD$5&lt;=LastHist,UtilQ2,Util_OD)</f>
        <v>0.82509878873241</v>
      </c>
      <c r="AE49" s="31" t="n">
        <f aca="false">IF(AE$5&lt;=LastHist,UtilQ2,Util_OD)</f>
        <v>0.82509878873241</v>
      </c>
      <c r="AF49" s="31" t="n">
        <f aca="false">IF(AF$5&lt;=LastHist,UtilQ2,Util_OD)</f>
        <v>0.82509878873241</v>
      </c>
      <c r="AG49" s="31" t="n">
        <f aca="false">IF(AG$5&lt;=LastHist,UtilQ2,Util_OD)</f>
        <v>0.82509878873241</v>
      </c>
      <c r="AI49" s="31" t="n">
        <f aca="false">AVERAGEIF($F$7:$AG$7,AI$7,$F49:$AG49)</f>
        <v>0.82509878873241</v>
      </c>
      <c r="AJ49" s="31" t="n">
        <f aca="false">AVERAGEIF($F$7:$AG$7,AJ$7,$F49:$AG49)</f>
        <v>0.82509878873241</v>
      </c>
      <c r="AK49" s="31" t="n">
        <f aca="false">AVERAGEIF($F$7:$AG$7,AK$7,$F49:$AG49)</f>
        <v>0.82509878873241</v>
      </c>
      <c r="AL49" s="31" t="n">
        <f aca="false">AVERAGEIF($F$7:$AG$7,AL$7,$F49:$AG49)</f>
        <v>0.82509878873241</v>
      </c>
      <c r="AM49" s="31" t="n">
        <f aca="false">AVERAGEIF($F$7:$AG$7,AM$7,$F49:$AG49)</f>
        <v>0.82509878873241</v>
      </c>
      <c r="AN49" s="31" t="n">
        <f aca="false">AVERAGEIF($F$7:$AG$7,AN$7,$F49:$AG49)</f>
        <v>0.82509878873241</v>
      </c>
      <c r="AO49" s="31" t="n">
        <f aca="false">AVERAGEIF($F$7:$AG$7,AO$7,$F49:$AG49)</f>
        <v>0.82509878873241</v>
      </c>
    </row>
    <row r="50" customFormat="false" ht="15" hidden="false" customHeight="false" outlineLevel="0" collapsed="false">
      <c r="A50" s="3" t="s">
        <v>1559</v>
      </c>
      <c r="B50" s="18" t="s">
        <v>400</v>
      </c>
      <c r="C50" s="18" t="s">
        <v>336</v>
      </c>
      <c r="D50" s="18"/>
      <c r="F50" s="121" t="n">
        <f aca="false">F42*F48</f>
        <v>58.6022362042972</v>
      </c>
      <c r="G50" s="121" t="n">
        <f aca="false">G42*G48</f>
        <v>58.6022362042972</v>
      </c>
      <c r="H50" s="121" t="n">
        <f aca="false">H42*H48</f>
        <v>59.2462168219268</v>
      </c>
      <c r="I50" s="121" t="n">
        <f aca="false">I42*I48</f>
        <v>65.1717025924564</v>
      </c>
      <c r="J50" s="121" t="n">
        <f aca="false">J42*J48</f>
        <v>101.638534278341</v>
      </c>
      <c r="K50" s="121" t="n">
        <f aca="false">K42*K48</f>
        <v>138.797212324341</v>
      </c>
      <c r="L50" s="121" t="n">
        <f aca="false">L42*L48</f>
        <v>181.307979254645</v>
      </c>
      <c r="M50" s="121" t="n">
        <f aca="false">M42*M48</f>
        <v>276.044496449683</v>
      </c>
      <c r="N50" s="121" t="n">
        <f aca="false">N42*N48</f>
        <v>301.657323400443</v>
      </c>
      <c r="O50" s="121" t="n">
        <f aca="false">O42*O48</f>
        <v>270.122849204826</v>
      </c>
      <c r="P50" s="93" t="n">
        <f aca="false">P42*P48</f>
        <v>274.4752505194</v>
      </c>
      <c r="Q50" s="93" t="n">
        <f aca="false">Q42*Q48</f>
        <v>305.892196996507</v>
      </c>
      <c r="R50" s="93" t="n">
        <f aca="false">R42*R48</f>
        <v>500.322093405557</v>
      </c>
      <c r="S50" s="93" t="n">
        <f aca="false">S42*S48</f>
        <v>898.426211719746</v>
      </c>
      <c r="T50" s="93" t="n">
        <f aca="false">T42*T48</f>
        <v>1189.5509924263</v>
      </c>
      <c r="U50" s="93" t="n">
        <f aca="false">U42*U48</f>
        <v>1312.15115213351</v>
      </c>
      <c r="V50" s="93" t="n">
        <f aca="false">V42*V48</f>
        <v>2127.0597363118</v>
      </c>
      <c r="W50" s="93" t="n">
        <f aca="false">W42*W48</f>
        <v>3137.73392962858</v>
      </c>
      <c r="X50" s="93" t="n">
        <f aca="false">X42*X48</f>
        <v>3977.59946984122</v>
      </c>
      <c r="Y50" s="93" t="n">
        <f aca="false">Y42*Y48</f>
        <v>4485.13675897932</v>
      </c>
      <c r="Z50" s="93" t="n">
        <f aca="false">Z42*Z48</f>
        <v>5381.9107483388</v>
      </c>
      <c r="AA50" s="93" t="n">
        <f aca="false">AA42*AA48</f>
        <v>6376.06264404</v>
      </c>
      <c r="AB50" s="93" t="n">
        <f aca="false">AB42*AB48</f>
        <v>7436.52480595703</v>
      </c>
      <c r="AC50" s="93" t="n">
        <f aca="false">AC42*AC48</f>
        <v>8395.07302441563</v>
      </c>
      <c r="AD50" s="93" t="n">
        <f aca="false">AD42*AD48</f>
        <v>9526.91247336146</v>
      </c>
      <c r="AE50" s="93" t="n">
        <f aca="false">AE42*AE48</f>
        <v>10919.0267953425</v>
      </c>
      <c r="AF50" s="93" t="n">
        <f aca="false">AF42*AF48</f>
        <v>10866.9186734468</v>
      </c>
      <c r="AG50" s="93" t="n">
        <f aca="false">AG42*AG48</f>
        <v>10697.5684413255</v>
      </c>
      <c r="AI50" s="93" t="n">
        <f aca="false">SUMIF($F$7:$AG$7,AI$7,$F50:$AG50)</f>
        <v>241.622391822977</v>
      </c>
      <c r="AJ50" s="93" t="n">
        <f aca="false">SUMIF($F$7:$AG$7,AJ$7,$F50:$AG50)</f>
        <v>697.78822230701</v>
      </c>
      <c r="AK50" s="93" t="n">
        <f aca="false">SUMIF($F$7:$AG$7,AK$7,$F50:$AG50)</f>
        <v>1152.14762012118</v>
      </c>
      <c r="AL50" s="93" t="n">
        <f aca="false">SUMIF($F$7:$AG$7,AL$7,$F50:$AG50)</f>
        <v>3900.45044968512</v>
      </c>
      <c r="AM50" s="93" t="n">
        <f aca="false">SUMIF($F$7:$AG$7,AM$7,$F50:$AG50)</f>
        <v>13727.5298947609</v>
      </c>
      <c r="AN50" s="93" t="n">
        <f aca="false">SUMIF($F$7:$AG$7,AN$7,$F50:$AG50)</f>
        <v>27589.5712227515</v>
      </c>
      <c r="AO50" s="93" t="n">
        <f aca="false">SUMIF($F$7:$AG$7,AO$7,$F50:$AG50)</f>
        <v>42010.4263834763</v>
      </c>
    </row>
    <row r="51" customFormat="false" ht="15" hidden="false" customHeight="false" outlineLevel="0" collapsed="false">
      <c r="A51" s="3" t="s">
        <v>1560</v>
      </c>
      <c r="B51" s="18" t="s">
        <v>400</v>
      </c>
      <c r="C51" s="18" t="s">
        <v>336</v>
      </c>
      <c r="D51" s="18"/>
      <c r="F51" s="121" t="n">
        <f aca="false">F46*F49</f>
        <v>13.20211359954</v>
      </c>
      <c r="G51" s="121" t="n">
        <f aca="false">G46*G49</f>
        <v>13.20211359954</v>
      </c>
      <c r="H51" s="121" t="n">
        <f aca="false">H46*H49</f>
        <v>13.3471917709635</v>
      </c>
      <c r="I51" s="121" t="n">
        <f aca="false">I46*I49</f>
        <v>14.6821056128563</v>
      </c>
      <c r="J51" s="121" t="n">
        <f aca="false">J46*J49</f>
        <v>17.6935065368213</v>
      </c>
      <c r="K51" s="121" t="n">
        <f aca="false">K46*K49</f>
        <v>24.1621881010993</v>
      </c>
      <c r="L51" s="121" t="n">
        <f aca="false">L46*L49</f>
        <v>31.5016380650904</v>
      </c>
      <c r="M51" s="121" t="n">
        <f aca="false">M46*M49</f>
        <v>47.8279744670362</v>
      </c>
      <c r="N51" s="121" t="n">
        <f aca="false">N46*N49</f>
        <v>44.594637961404</v>
      </c>
      <c r="O51" s="121" t="n">
        <f aca="false">O46*O49</f>
        <v>39.9581230173964</v>
      </c>
      <c r="P51" s="93" t="n">
        <f aca="false">P46*P49</f>
        <v>42.0706600691875</v>
      </c>
      <c r="Q51" s="93" t="n">
        <f aca="false">Q46*Q49</f>
        <v>52.4671123445594</v>
      </c>
      <c r="R51" s="93" t="n">
        <f aca="false">R46*R49</f>
        <v>81.8034981787915</v>
      </c>
      <c r="S51" s="93" t="n">
        <f aca="false">S46*S49</f>
        <v>140.880038915521</v>
      </c>
      <c r="T51" s="93" t="n">
        <f aca="false">T46*T49</f>
        <v>184.202550009668</v>
      </c>
      <c r="U51" s="93" t="n">
        <f aca="false">U46*U49</f>
        <v>202.211688521553</v>
      </c>
      <c r="V51" s="93" t="n">
        <f aca="false">V46*V49</f>
        <v>340.795416728531</v>
      </c>
      <c r="W51" s="93" t="n">
        <f aca="false">W46*W49</f>
        <v>501.989990136209</v>
      </c>
      <c r="X51" s="93" t="n">
        <f aca="false">X46*X49</f>
        <v>635.802740257526</v>
      </c>
      <c r="Y51" s="93" t="n">
        <f aca="false">Y46*Y49</f>
        <v>716.639244114915</v>
      </c>
      <c r="Z51" s="93" t="n">
        <f aca="false">Z46*Z49</f>
        <v>859.594165497171</v>
      </c>
      <c r="AA51" s="93" t="n">
        <f aca="false">AA46*AA49</f>
        <v>1018.12830911186</v>
      </c>
      <c r="AB51" s="93" t="n">
        <f aca="false">AB46*AB49</f>
        <v>1187.09268744802</v>
      </c>
      <c r="AC51" s="93" t="n">
        <f aca="false">AC46*AC49</f>
        <v>1339.79495060205</v>
      </c>
      <c r="AD51" s="93" t="n">
        <f aca="false">AD46*AD49</f>
        <v>1520.06692569067</v>
      </c>
      <c r="AE51" s="93" t="n">
        <f aca="false">AE46*AE49</f>
        <v>1741.88025801617</v>
      </c>
      <c r="AF51" s="93" t="n">
        <f aca="false">AF46*AF49</f>
        <v>1733.5629329535</v>
      </c>
      <c r="AG51" s="93" t="n">
        <f aca="false">AG46*AG49</f>
        <v>1706.54257616825</v>
      </c>
      <c r="AI51" s="93" t="n">
        <f aca="false">SUMIF($F$7:$AG$7,AI$7,$F51:$AG51)</f>
        <v>54.4335245828997</v>
      </c>
      <c r="AJ51" s="93" t="n">
        <f aca="false">SUMIF($F$7:$AG$7,AJ$7,$F51:$AG51)</f>
        <v>121.185307170047</v>
      </c>
      <c r="AK51" s="93" t="n">
        <f aca="false">SUMIF($F$7:$AG$7,AK$7,$F51:$AG51)</f>
        <v>179.090533392547</v>
      </c>
      <c r="AL51" s="93" t="n">
        <f aca="false">SUMIF($F$7:$AG$7,AL$7,$F51:$AG51)</f>
        <v>609.097775625534</v>
      </c>
      <c r="AM51" s="93" t="n">
        <f aca="false">SUMIF($F$7:$AG$7,AM$7,$F51:$AG51)</f>
        <v>2195.22739123718</v>
      </c>
      <c r="AN51" s="93" t="n">
        <f aca="false">SUMIF($F$7:$AG$7,AN$7,$F51:$AG51)</f>
        <v>4404.6101126591</v>
      </c>
      <c r="AO51" s="93" t="n">
        <f aca="false">SUMIF($F$7:$AG$7,AO$7,$F51:$AG51)</f>
        <v>6702.0526928286</v>
      </c>
    </row>
    <row r="53" customFormat="false" ht="15" hidden="false" customHeight="false" outlineLevel="0" collapsed="false">
      <c r="A53" s="48" t="s">
        <v>1561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</row>
    <row r="54" customFormat="false" ht="15" hidden="false" customHeight="false" outlineLevel="0" collapsed="false">
      <c r="A54" s="101" t="s">
        <v>1562</v>
      </c>
      <c r="B54" s="18" t="s">
        <v>456</v>
      </c>
      <c r="C54" s="18" t="s">
        <v>336</v>
      </c>
      <c r="D54" s="18"/>
      <c r="F54" s="105" t="n">
        <f aca="false">IF(F$5&lt;NewDealIdx,F33,MIN(F33,INDEX($F$33:$AG$33,1,NewDealIdx-1)))</f>
        <v>13713</v>
      </c>
      <c r="G54" s="105" t="n">
        <f aca="false">IF(G$5&lt;NewDealIdx,G33,MIN(G33,INDEX($F$33:$AG$33,1,NewDealIdx-1)))</f>
        <v>13713</v>
      </c>
      <c r="H54" s="105" t="n">
        <f aca="false">IF(H$5&lt;NewDealIdx,H33,MIN(H33,INDEX($F$33:$AG$33,1,NewDealIdx-1)))</f>
        <v>13713</v>
      </c>
      <c r="I54" s="105" t="n">
        <f aca="false">IF(I$5&lt;NewDealIdx,I33,MIN(I33,INDEX($F$33:$AG$33,1,NewDealIdx-1)))</f>
        <v>15084.5</v>
      </c>
      <c r="J54" s="105" t="n">
        <f aca="false">IF(J$5&lt;NewDealIdx,J33,MIN(J33,INDEX($F$33:$AG$33,1,NewDealIdx-1)))</f>
        <v>23228</v>
      </c>
      <c r="K54" s="105" t="n">
        <f aca="false">IF(K$5&lt;NewDealIdx,K33,MIN(K33,INDEX($F$33:$AG$33,1,NewDealIdx-1)))</f>
        <v>31371.5</v>
      </c>
      <c r="L54" s="105" t="n">
        <f aca="false">IF(L$5&lt;NewDealIdx,L33,MIN(L33,INDEX($F$33:$AG$33,1,NewDealIdx-1)))</f>
        <v>32743</v>
      </c>
      <c r="M54" s="105" t="n">
        <f aca="false">IF(M$5&lt;NewDealIdx,M33,MIN(M33,INDEX($F$33:$AG$33,1,NewDealIdx-1)))</f>
        <v>32743</v>
      </c>
      <c r="N54" s="105" t="n">
        <f aca="false">IF(N$5&lt;NewDealIdx,N33,MIN(N33,INDEX($F$33:$AG$33,1,NewDealIdx-1)))</f>
        <v>32743</v>
      </c>
      <c r="O54" s="105" t="n">
        <f aca="false">IF(O$5&lt;NewDealIdx,O33,MIN(O33,INDEX($F$33:$AG$33,1,NewDealIdx-1)))</f>
        <v>32743</v>
      </c>
      <c r="P54" s="25" t="n">
        <f aca="false">IF(P$5&lt;NewDealIdx,P33,MIN(P33,INDEX($F$33:$AG$33,1,NewDealIdx-1)))</f>
        <v>32743</v>
      </c>
      <c r="Q54" s="25" t="n">
        <f aca="false">IF(Q$5&lt;NewDealIdx,Q33,MIN(Q33,INDEX($F$33:$AG$33,1,NewDealIdx-1)))</f>
        <v>32743</v>
      </c>
      <c r="R54" s="25" t="n">
        <f aca="false">IF(R$5&lt;NewDealIdx,R33,MIN(R33,INDEX($F$33:$AG$33,1,NewDealIdx-1)))</f>
        <v>32743</v>
      </c>
      <c r="S54" s="25" t="n">
        <f aca="false">IF(S$5&lt;NewDealIdx,S33,MIN(S33,INDEX($F$33:$AG$33,1,NewDealIdx-1)))</f>
        <v>32743</v>
      </c>
      <c r="T54" s="25" t="n">
        <f aca="false">IF(T$5&lt;NewDealIdx,T33,MIN(T33,INDEX($F$33:$AG$33,1,NewDealIdx-1)))</f>
        <v>32743</v>
      </c>
      <c r="U54" s="25" t="n">
        <f aca="false">IF(U$5&lt;NewDealIdx,U33,MIN(U33,INDEX($F$33:$AG$33,1,NewDealIdx-1)))</f>
        <v>32743</v>
      </c>
      <c r="V54" s="25" t="n">
        <f aca="false">IF(V$5&lt;NewDealIdx,V33,MIN(V33,INDEX($F$33:$AG$33,1,NewDealIdx-1)))</f>
        <v>32743</v>
      </c>
      <c r="W54" s="25" t="n">
        <f aca="false">IF(W$5&lt;NewDealIdx,W33,MIN(W33,INDEX($F$33:$AG$33,1,NewDealIdx-1)))</f>
        <v>32743</v>
      </c>
      <c r="X54" s="25" t="n">
        <f aca="false">IF(X$5&lt;NewDealIdx,X33,MIN(X33,INDEX($F$33:$AG$33,1,NewDealIdx-1)))</f>
        <v>32743</v>
      </c>
      <c r="Y54" s="25" t="n">
        <f aca="false">IF(Y$5&lt;NewDealIdx,Y33,MIN(Y33,INDEX($F$33:$AG$33,1,NewDealIdx-1)))</f>
        <v>32743</v>
      </c>
      <c r="Z54" s="25" t="n">
        <f aca="false">IF(Z$5&lt;NewDealIdx,Z33,MIN(Z33,INDEX($F$33:$AG$33,1,NewDealIdx-1)))</f>
        <v>32743</v>
      </c>
      <c r="AA54" s="25" t="n">
        <f aca="false">IF(AA$5&lt;NewDealIdx,AA33,MIN(AA33,INDEX($F$33:$AG$33,1,NewDealIdx-1)))</f>
        <v>32743</v>
      </c>
      <c r="AB54" s="25" t="n">
        <f aca="false">IF(AB$5&lt;NewDealIdx,AB33,MIN(AB33,INDEX($F$33:$AG$33,1,NewDealIdx-1)))</f>
        <v>32743</v>
      </c>
      <c r="AC54" s="25" t="n">
        <f aca="false">IF(AC$5&lt;NewDealIdx,AC33,MIN(AC33,INDEX($F$33:$AG$33,1,NewDealIdx-1)))</f>
        <v>32743</v>
      </c>
      <c r="AD54" s="25" t="n">
        <f aca="false">IF(AD$5&lt;NewDealIdx,AD33,MIN(AD33,INDEX($F$33:$AG$33,1,NewDealIdx-1)))</f>
        <v>32743</v>
      </c>
      <c r="AE54" s="25" t="n">
        <f aca="false">IF(AE$5&lt;NewDealIdx,AE33,MIN(AE33,INDEX($F$33:$AG$33,1,NewDealIdx-1)))</f>
        <v>32743</v>
      </c>
      <c r="AF54" s="25" t="n">
        <f aca="false">IF(AF$5&lt;NewDealIdx,AF33,MIN(AF33,INDEX($F$33:$AG$33,1,NewDealIdx-1)))</f>
        <v>32743</v>
      </c>
      <c r="AG54" s="25" t="n">
        <f aca="false">IF(AG$5&lt;NewDealIdx,AG33,MIN(AG33,INDEX($F$33:$AG$33,1,NewDealIdx-1)))</f>
        <v>32743</v>
      </c>
      <c r="AI54" s="25" t="n">
        <f aca="false">AVERAGEIF($F$7:$AG$7,AI$7,$F54:$AG54)</f>
        <v>14055.875</v>
      </c>
      <c r="AJ54" s="25" t="n">
        <f aca="false">AVERAGEIF($F$7:$AG$7,AJ$7,$F54:$AG54)</f>
        <v>30021.375</v>
      </c>
      <c r="AK54" s="25" t="n">
        <f aca="false">AVERAGEIF($F$7:$AG$7,AK$7,$F54:$AG54)</f>
        <v>32743</v>
      </c>
      <c r="AL54" s="25" t="n">
        <f aca="false">AVERAGEIF($F$7:$AG$7,AL$7,$F54:$AG54)</f>
        <v>32743</v>
      </c>
      <c r="AM54" s="25" t="n">
        <f aca="false">AVERAGEIF($F$7:$AG$7,AM$7,$F54:$AG54)</f>
        <v>32743</v>
      </c>
      <c r="AN54" s="25" t="n">
        <f aca="false">AVERAGEIF($F$7:$AG$7,AN$7,$F54:$AG54)</f>
        <v>32743</v>
      </c>
      <c r="AO54" s="25" t="n">
        <f aca="false">AVERAGEIF($F$7:$AG$7,AO$7,$F54:$AG54)</f>
        <v>32743</v>
      </c>
    </row>
    <row r="55" customFormat="false" ht="15" hidden="false" customHeight="false" outlineLevel="0" collapsed="false">
      <c r="A55" s="101" t="s">
        <v>1563</v>
      </c>
      <c r="B55" s="18" t="s">
        <v>456</v>
      </c>
      <c r="C55" s="18" t="s">
        <v>336</v>
      </c>
      <c r="D55" s="18"/>
      <c r="F55" s="105" t="n">
        <f aca="false">IF(F$5&lt;NewDealIdx,F34,MIN(F34,INDEX($F$34:$AG$34,1,NewDealIdx-1)))</f>
        <v>0</v>
      </c>
      <c r="G55" s="105" t="n">
        <f aca="false">IF(G$5&lt;NewDealIdx,G34,MIN(G34,INDEX($F$34:$AG$34,1,NewDealIdx-1)))</f>
        <v>0</v>
      </c>
      <c r="H55" s="105" t="n">
        <f aca="false">IF(H$5&lt;NewDealIdx,H34,MIN(H34,INDEX($F$34:$AG$34,1,NewDealIdx-1)))</f>
        <v>0</v>
      </c>
      <c r="I55" s="105" t="n">
        <f aca="false">IF(I$5&lt;NewDealIdx,I34,MIN(I34,INDEX($F$34:$AG$34,1,NewDealIdx-1)))</f>
        <v>0</v>
      </c>
      <c r="J55" s="105" t="n">
        <f aca="false">IF(J$5&lt;NewDealIdx,J34,MIN(J34,INDEX($F$34:$AG$34,1,NewDealIdx-1)))</f>
        <v>0</v>
      </c>
      <c r="K55" s="105" t="n">
        <f aca="false">IF(K$5&lt;NewDealIdx,K34,MIN(K34,INDEX($F$34:$AG$34,1,NewDealIdx-1)))</f>
        <v>0</v>
      </c>
      <c r="L55" s="105" t="n">
        <f aca="false">IF(L$5&lt;NewDealIdx,L34,MIN(L34,INDEX($F$34:$AG$34,1,NewDealIdx-1)))</f>
        <v>3536</v>
      </c>
      <c r="M55" s="105" t="n">
        <f aca="false">IF(M$5&lt;NewDealIdx,M34,MIN(M34,INDEX($F$34:$AG$34,1,NewDealIdx-1)))</f>
        <v>13148.0416666667</v>
      </c>
      <c r="N55" s="105" t="n">
        <f aca="false">IF(N$5&lt;NewDealIdx,N34,MIN(N34,INDEX($F$34:$AG$34,1,NewDealIdx-1)))</f>
        <v>15731.625</v>
      </c>
      <c r="O55" s="105" t="n">
        <f aca="false">IF(O$5&lt;NewDealIdx,O34,MIN(O34,INDEX($F$34:$AG$34,1,NewDealIdx-1)))</f>
        <v>12232.6666666667</v>
      </c>
      <c r="P55" s="25" t="n">
        <f aca="false">IF(P$5&lt;NewDealIdx,P34,MIN(P34,INDEX($F$34:$AG$34,1,NewDealIdx-1)))</f>
        <v>12226.1666666667</v>
      </c>
      <c r="Q55" s="25" t="n">
        <f aca="false">IF(Q$5&lt;NewDealIdx,Q34,MIN(Q34,INDEX($F$34:$AG$34,1,NewDealIdx-1)))</f>
        <v>13554.1666666667</v>
      </c>
      <c r="R55" s="25" t="n">
        <f aca="false">IF(R$5&lt;NewDealIdx,R34,MIN(R34,INDEX($F$34:$AG$34,1,NewDealIdx-1)))</f>
        <v>13554.1666666667</v>
      </c>
      <c r="S55" s="25" t="n">
        <f aca="false">IF(S$5&lt;NewDealIdx,S34,MIN(S34,INDEX($F$34:$AG$34,1,NewDealIdx-1)))</f>
        <v>13554.1666666667</v>
      </c>
      <c r="T55" s="25" t="n">
        <f aca="false">IF(T$5&lt;NewDealIdx,T34,MIN(T34,INDEX($F$34:$AG$34,1,NewDealIdx-1)))</f>
        <v>13554.1666666667</v>
      </c>
      <c r="U55" s="25" t="n">
        <f aca="false">IF(U$5&lt;NewDealIdx,U34,MIN(U34,INDEX($F$34:$AG$34,1,NewDealIdx-1)))</f>
        <v>13554.1666666667</v>
      </c>
      <c r="V55" s="25" t="n">
        <f aca="false">IF(V$5&lt;NewDealIdx,V34,MIN(V34,INDEX($F$34:$AG$34,1,NewDealIdx-1)))</f>
        <v>13554.1666666667</v>
      </c>
      <c r="W55" s="25" t="n">
        <f aca="false">IF(W$5&lt;NewDealIdx,W34,MIN(W34,INDEX($F$34:$AG$34,1,NewDealIdx-1)))</f>
        <v>13554.1666666667</v>
      </c>
      <c r="X55" s="25" t="n">
        <f aca="false">IF(X$5&lt;NewDealIdx,X34,MIN(X34,INDEX($F$34:$AG$34,1,NewDealIdx-1)))</f>
        <v>13554.1666666667</v>
      </c>
      <c r="Y55" s="25" t="n">
        <f aca="false">IF(Y$5&lt;NewDealIdx,Y34,MIN(Y34,INDEX($F$34:$AG$34,1,NewDealIdx-1)))</f>
        <v>13554.1666666667</v>
      </c>
      <c r="Z55" s="25" t="n">
        <f aca="false">IF(Z$5&lt;NewDealIdx,Z34,MIN(Z34,INDEX($F$34:$AG$34,1,NewDealIdx-1)))</f>
        <v>13554.1666666667</v>
      </c>
      <c r="AA55" s="25" t="n">
        <f aca="false">IF(AA$5&lt;NewDealIdx,AA34,MIN(AA34,INDEX($F$34:$AG$34,1,NewDealIdx-1)))</f>
        <v>13554.1666666667</v>
      </c>
      <c r="AB55" s="25" t="n">
        <f aca="false">IF(AB$5&lt;NewDealIdx,AB34,MIN(AB34,INDEX($F$34:$AG$34,1,NewDealIdx-1)))</f>
        <v>13554.1666666667</v>
      </c>
      <c r="AC55" s="25" t="n">
        <f aca="false">IF(AC$5&lt;NewDealIdx,AC34,MIN(AC34,INDEX($F$34:$AG$34,1,NewDealIdx-1)))</f>
        <v>13554.1666666667</v>
      </c>
      <c r="AD55" s="25" t="n">
        <f aca="false">IF(AD$5&lt;NewDealIdx,AD34,MIN(AD34,INDEX($F$34:$AG$34,1,NewDealIdx-1)))</f>
        <v>13554.1666666667</v>
      </c>
      <c r="AE55" s="25" t="n">
        <f aca="false">IF(AE$5&lt;NewDealIdx,AE34,MIN(AE34,INDEX($F$34:$AG$34,1,NewDealIdx-1)))</f>
        <v>13554.1666666667</v>
      </c>
      <c r="AF55" s="25" t="n">
        <f aca="false">IF(AF$5&lt;NewDealIdx,AF34,MIN(AF34,INDEX($F$34:$AG$34,1,NewDealIdx-1)))</f>
        <v>13554.1666666667</v>
      </c>
      <c r="AG55" s="25" t="n">
        <f aca="false">IF(AG$5&lt;NewDealIdx,AG34,MIN(AG34,INDEX($F$34:$AG$34,1,NewDealIdx-1)))</f>
        <v>13554.1666666667</v>
      </c>
      <c r="AI55" s="25" t="n">
        <f aca="false">AVERAGEIF($F$7:$AG$7,AI$7,$F55:$AG55)</f>
        <v>0</v>
      </c>
      <c r="AJ55" s="25" t="n">
        <f aca="false">AVERAGEIF($F$7:$AG$7,AJ$7,$F55:$AG55)</f>
        <v>4171.01041666667</v>
      </c>
      <c r="AK55" s="25" t="n">
        <f aca="false">AVERAGEIF($F$7:$AG$7,AK$7,$F55:$AG55)</f>
        <v>13436.15625</v>
      </c>
      <c r="AL55" s="25" t="n">
        <f aca="false">AVERAGEIF($F$7:$AG$7,AL$7,$F55:$AG55)</f>
        <v>13554.1666666667</v>
      </c>
      <c r="AM55" s="25" t="n">
        <f aca="false">AVERAGEIF($F$7:$AG$7,AM$7,$F55:$AG55)</f>
        <v>13554.1666666667</v>
      </c>
      <c r="AN55" s="25" t="n">
        <f aca="false">AVERAGEIF($F$7:$AG$7,AN$7,$F55:$AG55)</f>
        <v>13554.1666666667</v>
      </c>
      <c r="AO55" s="25" t="n">
        <f aca="false">AVERAGEIF($F$7:$AG$7,AO$7,$F55:$AG55)</f>
        <v>13554.1666666667</v>
      </c>
    </row>
    <row r="56" customFormat="false" ht="15" hidden="false" customHeight="false" outlineLevel="0" collapsed="false">
      <c r="A56" s="101" t="s">
        <v>1564</v>
      </c>
      <c r="B56" s="18" t="s">
        <v>456</v>
      </c>
      <c r="C56" s="18" t="s">
        <v>336</v>
      </c>
      <c r="D56" s="18"/>
      <c r="F56" s="105" t="n">
        <f aca="false">IF(F$5&lt;NewDealIdx,F35,MIN(F35,INDEX($F$35:$AG$35,1,NewDealIdx-1)))</f>
        <v>0</v>
      </c>
      <c r="G56" s="105" t="n">
        <f aca="false">IF(G$5&lt;NewDealIdx,G35,MIN(G35,INDEX($F$35:$AG$35,1,NewDealIdx-1)))</f>
        <v>0</v>
      </c>
      <c r="H56" s="105" t="n">
        <f aca="false">IF(H$5&lt;NewDealIdx,H35,MIN(H35,INDEX($F$35:$AG$35,1,NewDealIdx-1)))</f>
        <v>0</v>
      </c>
      <c r="I56" s="105" t="n">
        <f aca="false">IF(I$5&lt;NewDealIdx,I35,MIN(I35,INDEX($F$35:$AG$35,1,NewDealIdx-1)))</f>
        <v>0</v>
      </c>
      <c r="J56" s="105" t="n">
        <f aca="false">IF(J$5&lt;NewDealIdx,J35,MIN(J35,INDEX($F$35:$AG$35,1,NewDealIdx-1)))</f>
        <v>0</v>
      </c>
      <c r="K56" s="105" t="n">
        <f aca="false">IF(K$5&lt;NewDealIdx,K35,MIN(K35,INDEX($F$35:$AG$35,1,NewDealIdx-1)))</f>
        <v>0</v>
      </c>
      <c r="L56" s="105" t="n">
        <f aca="false">IF(L$5&lt;NewDealIdx,L35,MIN(L35,INDEX($F$35:$AG$35,1,NewDealIdx-1)))</f>
        <v>0</v>
      </c>
      <c r="M56" s="105" t="n">
        <f aca="false">IF(M$5&lt;NewDealIdx,M35,MIN(M35,INDEX($F$35:$AG$35,1,NewDealIdx-1)))</f>
        <v>0</v>
      </c>
      <c r="N56" s="105" t="n">
        <f aca="false">IF(N$5&lt;NewDealIdx,N35,MIN(N35,INDEX($F$35:$AG$35,1,NewDealIdx-1)))</f>
        <v>0</v>
      </c>
      <c r="O56" s="105" t="n">
        <f aca="false">IF(O$5&lt;NewDealIdx,O35,MIN(O35,INDEX($F$35:$AG$35,1,NewDealIdx-1)))</f>
        <v>0</v>
      </c>
      <c r="P56" s="25" t="n">
        <f aca="false">IF(P$5&lt;NewDealIdx,P35,MIN(P35,INDEX($F$35:$AG$35,1,NewDealIdx-1)))</f>
        <v>0</v>
      </c>
      <c r="Q56" s="25" t="n">
        <f aca="false">IF(Q$5&lt;NewDealIdx,Q35,MIN(Q35,INDEX($F$35:$AG$35,1,NewDealIdx-1)))</f>
        <v>0</v>
      </c>
      <c r="R56" s="25" t="n">
        <f aca="false">IF(R$5&lt;NewDealIdx,R35,MIN(R35,INDEX($F$35:$AG$35,1,NewDealIdx-1)))</f>
        <v>0</v>
      </c>
      <c r="S56" s="25" t="n">
        <f aca="false">IF(S$5&lt;NewDealIdx,S35,MIN(S35,INDEX($F$35:$AG$35,1,NewDealIdx-1)))</f>
        <v>0</v>
      </c>
      <c r="T56" s="25" t="n">
        <f aca="false">IF(T$5&lt;NewDealIdx,T35,MIN(T35,INDEX($F$35:$AG$35,1,NewDealIdx-1)))</f>
        <v>0</v>
      </c>
      <c r="U56" s="25" t="n">
        <f aca="false">IF(U$5&lt;NewDealIdx,U35,MIN(U35,INDEX($F$35:$AG$35,1,NewDealIdx-1)))</f>
        <v>0</v>
      </c>
      <c r="V56" s="25" t="n">
        <f aca="false">IF(V$5&lt;NewDealIdx,V35,MIN(V35,INDEX($F$35:$AG$35,1,NewDealIdx-1)))</f>
        <v>0</v>
      </c>
      <c r="W56" s="25" t="n">
        <f aca="false">IF(W$5&lt;NewDealIdx,W35,MIN(W35,INDEX($F$35:$AG$35,1,NewDealIdx-1)))</f>
        <v>0</v>
      </c>
      <c r="X56" s="25" t="n">
        <f aca="false">IF(X$5&lt;NewDealIdx,X35,MIN(X35,INDEX($F$35:$AG$35,1,NewDealIdx-1)))</f>
        <v>0</v>
      </c>
      <c r="Y56" s="25" t="n">
        <f aca="false">IF(Y$5&lt;NewDealIdx,Y35,MIN(Y35,INDEX($F$35:$AG$35,1,NewDealIdx-1)))</f>
        <v>0</v>
      </c>
      <c r="Z56" s="25" t="n">
        <f aca="false">IF(Z$5&lt;NewDealIdx,Z35,MIN(Z35,INDEX($F$35:$AG$35,1,NewDealIdx-1)))</f>
        <v>0</v>
      </c>
      <c r="AA56" s="25" t="n">
        <f aca="false">IF(AA$5&lt;NewDealIdx,AA35,MIN(AA35,INDEX($F$35:$AG$35,1,NewDealIdx-1)))</f>
        <v>0</v>
      </c>
      <c r="AB56" s="25" t="n">
        <f aca="false">IF(AB$5&lt;NewDealIdx,AB35,MIN(AB35,INDEX($F$35:$AG$35,1,NewDealIdx-1)))</f>
        <v>0</v>
      </c>
      <c r="AC56" s="25" t="n">
        <f aca="false">IF(AC$5&lt;NewDealIdx,AC35,MIN(AC35,INDEX($F$35:$AG$35,1,NewDealIdx-1)))</f>
        <v>0</v>
      </c>
      <c r="AD56" s="25" t="n">
        <f aca="false">IF(AD$5&lt;NewDealIdx,AD35,MIN(AD35,INDEX($F$35:$AG$35,1,NewDealIdx-1)))</f>
        <v>0</v>
      </c>
      <c r="AE56" s="25" t="n">
        <f aca="false">IF(AE$5&lt;NewDealIdx,AE35,MIN(AE35,INDEX($F$35:$AG$35,1,NewDealIdx-1)))</f>
        <v>0</v>
      </c>
      <c r="AF56" s="25" t="n">
        <f aca="false">IF(AF$5&lt;NewDealIdx,AF35,MIN(AF35,INDEX($F$35:$AG$35,1,NewDealIdx-1)))</f>
        <v>0</v>
      </c>
      <c r="AG56" s="25" t="n">
        <f aca="false">IF(AG$5&lt;NewDealIdx,AG35,MIN(AG35,INDEX($F$35:$AG$35,1,NewDealIdx-1)))</f>
        <v>0</v>
      </c>
      <c r="AI56" s="25" t="n">
        <f aca="false">AVERAGEIF($F$7:$AG$7,AI$7,$F56:$AG56)</f>
        <v>0</v>
      </c>
      <c r="AJ56" s="25" t="n">
        <f aca="false">AVERAGEIF($F$7:$AG$7,AJ$7,$F56:$AG56)</f>
        <v>0</v>
      </c>
      <c r="AK56" s="25" t="n">
        <f aca="false">AVERAGEIF($F$7:$AG$7,AK$7,$F56:$AG56)</f>
        <v>0</v>
      </c>
      <c r="AL56" s="25" t="n">
        <f aca="false">AVERAGEIF($F$7:$AG$7,AL$7,$F56:$AG56)</f>
        <v>0</v>
      </c>
      <c r="AM56" s="25" t="n">
        <f aca="false">AVERAGEIF($F$7:$AG$7,AM$7,$F56:$AG56)</f>
        <v>0</v>
      </c>
      <c r="AN56" s="25" t="n">
        <f aca="false">AVERAGEIF($F$7:$AG$7,AN$7,$F56:$AG56)</f>
        <v>0</v>
      </c>
      <c r="AO56" s="25" t="n">
        <f aca="false">AVERAGEIF($F$7:$AG$7,AO$7,$F56:$AG56)</f>
        <v>0</v>
      </c>
    </row>
    <row r="57" customFormat="false" ht="15" hidden="false" customHeight="false" outlineLevel="0" collapsed="false">
      <c r="A57" s="101" t="s">
        <v>1565</v>
      </c>
      <c r="B57" s="18" t="s">
        <v>400</v>
      </c>
      <c r="C57" s="18" t="s">
        <v>336</v>
      </c>
      <c r="D57" s="18"/>
      <c r="F57" s="119" t="n">
        <f aca="false">IF(F33&gt;0,F54/F33,0)*(F39*F48+F43*F49)+IF(F34&gt;0,F55/F34,0)*(F40*F48+F44*F49)+IF(F35&gt;0,F56/F35,0)*(F41*F48+F45*F49)</f>
        <v>71.8043498038371</v>
      </c>
      <c r="G57" s="119" t="n">
        <f aca="false">IF(G33&gt;0,G54/G33,0)*(G39*G48+G43*G49)+IF(G34&gt;0,G55/G34,0)*(G40*G48+G44*G49)+IF(G35&gt;0,G56/G35,0)*(G41*G48+G45*G49)</f>
        <v>71.8043498038371</v>
      </c>
      <c r="H57" s="119" t="n">
        <f aca="false">IF(H33&gt;0,H54/H33,0)*(H39*H48+H43*H49)+IF(H34&gt;0,H55/H34,0)*(H40*H48+H44*H49)+IF(H35&gt;0,H56/H35,0)*(H41*H48+H45*H49)</f>
        <v>72.5934085928903</v>
      </c>
      <c r="I57" s="119" t="n">
        <f aca="false">IF(I33&gt;0,I54/I33,0)*(I39*I48+I43*I49)+IF(I34&gt;0,I55/I34,0)*(I40*I48+I44*I49)+IF(I35&gt;0,I56/I35,0)*(I41*I48+I45*I49)</f>
        <v>79.8538082053127</v>
      </c>
      <c r="J57" s="119" t="n">
        <f aca="false">IF(J33&gt;0,J54/J33,0)*(J39*J48+J43*J49)+IF(J34&gt;0,J55/J34,0)*(J40*J48+J44*J49)+IF(J35&gt;0,J56/J35,0)*(J41*J48+J45*J49)</f>
        <v>119.332040815163</v>
      </c>
      <c r="K57" s="119" t="n">
        <f aca="false">IF(K33&gt;0,K54/K33,0)*(K39*K48+K43*K49)+IF(K34&gt;0,K55/K34,0)*(K40*K48+K44*K49)+IF(K35&gt;0,K56/K35,0)*(K41*K48+K45*K49)</f>
        <v>162.95940042544</v>
      </c>
      <c r="L57" s="119" t="n">
        <f aca="false">IF(L33&gt;0,L54/L33,0)*(L39*L48+L43*L49)+IF(L34&gt;0,L55/L34,0)*(L40*L48+L44*L49)+IF(L35&gt;0,L56/L35,0)*(L41*L48+L45*L49)</f>
        <v>212.809617319735</v>
      </c>
      <c r="M57" s="119" t="n">
        <f aca="false">IF(M33&gt;0,M54/M33,0)*(M39*M48+M43*M49)+IF(M34&gt;0,M55/M34,0)*(M40*M48+M44*M49)+IF(M35&gt;0,M56/M35,0)*(M41*M48+M45*M49)</f>
        <v>323.872470916719</v>
      </c>
      <c r="N57" s="119" t="n">
        <f aca="false">IF(N33&gt;0,N54/N33,0)*(N39*N48+N43*N49)+IF(N34&gt;0,N55/N34,0)*(N40*N48+N44*N49)+IF(N35&gt;0,N56/N35,0)*(N41*N48+N45*N49)</f>
        <v>346.251961361847</v>
      </c>
      <c r="O57" s="119" t="n">
        <f aca="false">IF(O33&gt;0,O54/O33,0)*(O39*O48+O43*O49)+IF(O34&gt;0,O55/O34,0)*(O40*O48+O44*O49)+IF(O35&gt;0,O56/O35,0)*(O41*O48+O45*O49)</f>
        <v>310.080972222222</v>
      </c>
      <c r="P57" s="120" t="n">
        <f aca="false">IF(P33&gt;0,P54/P33,0)*(P39*P48+P43*P49)+IF(P34&gt;0,P55/P34,0)*(P40*P48+P44*P49)+IF(P35&gt;0,P56/P35,0)*(P41*P48+P45*P49)</f>
        <v>316.545910588587</v>
      </c>
      <c r="Q57" s="120" t="n">
        <f aca="false">IF(Q33&gt;0,Q54/Q33,0)*(Q39*Q48+Q43*Q49)+IF(Q34&gt;0,Q55/Q34,0)*(Q40*Q48+Q44*Q49)+IF(Q35&gt;0,Q56/Q35,0)*(Q41*Q48+Q45*Q49)</f>
        <v>358.359309341066</v>
      </c>
      <c r="R57" s="120" t="n">
        <f aca="false">IF(R33&gt;0,R54/R33,0)*(R39*R48+R43*R49)+IF(R34&gt;0,R55/R34,0)*(R40*R48+R44*R49)+IF(R35&gt;0,R56/R35,0)*(R41*R48+R45*R49)</f>
        <v>357.882853060247</v>
      </c>
      <c r="S57" s="120" t="n">
        <f aca="false">IF(S33&gt;0,S54/S33,0)*(S39*S48+S43*S49)+IF(S34&gt;0,S55/S34,0)*(S40*S48+S44*S49)+IF(S35&gt;0,S56/S35,0)*(S41*S48+S45*S49)</f>
        <v>354.679608499199</v>
      </c>
      <c r="T57" s="120" t="n">
        <f aca="false">IF(T33&gt;0,T54/T33,0)*(T39*T48+T43*T49)+IF(T34&gt;0,T55/T34,0)*(T40*T48+T44*T49)+IF(T35&gt;0,T56/T35,0)*(T41*T48+T45*T49)</f>
        <v>346.875566686477</v>
      </c>
      <c r="U57" s="120" t="n">
        <f aca="false">IF(U33&gt;0,U54/U33,0)*(U39*U48+U43*U49)+IF(U34&gt;0,U55/U34,0)*(U40*U48+U44*U49)+IF(U35&gt;0,U56/U35,0)*(U41*U48+U45*U49)</f>
        <v>333.049754980585</v>
      </c>
      <c r="V57" s="120" t="n">
        <f aca="false">IF(V33&gt;0,V54/V33,0)*(V39*V48+V43*V49)+IF(V34&gt;0,V55/V34,0)*(V40*V48+V44*V49)+IF(V35&gt;0,V56/V35,0)*(V41*V48+V45*V49)</f>
        <v>326.191467726988</v>
      </c>
      <c r="W57" s="120" t="n">
        <f aca="false">IF(W33&gt;0,W54/W33,0)*(W39*W48+W43*W49)+IF(W34&gt;0,W55/W34,0)*(W40*W48+W44*W49)+IF(W35&gt;0,W56/W35,0)*(W41*W48+W45*W49)</f>
        <v>317.480720594805</v>
      </c>
      <c r="X57" s="120" t="n">
        <f aca="false">IF(X33&gt;0,X54/X33,0)*(X39*X48+X43*X49)+IF(X34&gt;0,X55/X34,0)*(X40*X48+X44*X49)+IF(X35&gt;0,X56/X35,0)*(X41*X48+X45*X49)</f>
        <v>311.782514197154</v>
      </c>
      <c r="Y57" s="120" t="n">
        <f aca="false">IF(Y33&gt;0,Y54/Y33,0)*(Y39*Y48+Y43*Y49)+IF(Y34&gt;0,Y55/Y34,0)*(Y40*Y48+Y44*Y49)+IF(Y35&gt;0,Y56/Y35,0)*(Y41*Y48+Y45*Y49)</f>
        <v>302.90614840579</v>
      </c>
      <c r="Z57" s="120" t="n">
        <f aca="false">IF(Z33&gt;0,Z54/Z33,0)*(Z39*Z48+Z43*Z49)+IF(Z34&gt;0,Z55/Z34,0)*(Z40*Z48+Z44*Z49)+IF(Z35&gt;0,Z56/Z35,0)*(Z41*Z48+Z45*Z49)</f>
        <v>287.930446200385</v>
      </c>
      <c r="AA57" s="120" t="n">
        <f aca="false">IF(AA33&gt;0,AA54/AA33,0)*(AA39*AA48+AA43*AA49)+IF(AA34&gt;0,AA55/AA34,0)*(AA40*AA48+AA44*AA49)+IF(AA35&gt;0,AA56/AA35,0)*(AA41*AA48+AA45*AA49)</f>
        <v>282.93056750943</v>
      </c>
      <c r="AB57" s="120" t="n">
        <f aca="false">IF(AB33&gt;0,AB54/AB33,0)*(AB39*AB48+AB43*AB49)+IF(AB34&gt;0,AB55/AB34,0)*(AB40*AB48+AB44*AB49)+IF(AB35&gt;0,AB56/AB35,0)*(AB41*AB48+AB45*AB49)</f>
        <v>278.027882766656</v>
      </c>
      <c r="AC57" s="120" t="n">
        <f aca="false">IF(AC33&gt;0,AC54/AC33,0)*(AC39*AC48+AC43*AC49)+IF(AC34&gt;0,AC55/AC34,0)*(AC40*AC48+AC44*AC49)+IF(AC35&gt;0,AC56/AC35,0)*(AC41*AC48+AC45*AC49)</f>
        <v>270.283228503528</v>
      </c>
      <c r="AD57" s="120" t="n">
        <f aca="false">IF(AD33&gt;0,AD54/AD33,0)*(AD39*AD48+AD43*AD49)+IF(AD34&gt;0,AD55/AD34,0)*(AD40*AD48+AD44*AD49)+IF(AD35&gt;0,AD56/AD35,0)*(AD41*AD48+AD45*AD49)</f>
        <v>257.082936377627</v>
      </c>
      <c r="AE57" s="120" t="n">
        <f aca="false">IF(AE33&gt;0,AE54/AE33,0)*(AE39*AE48+AE43*AE49)+IF(AE34&gt;0,AE55/AE34,0)*(AE40*AE48+AE44*AE49)+IF(AE35&gt;0,AE56/AE35,0)*(AE41*AE48+AE45*AE49)</f>
        <v>252.77862008663</v>
      </c>
      <c r="AF57" s="120" t="n">
        <f aca="false">IF(AF33&gt;0,AF54/AF33,0)*(AF39*AF48+AF43*AF49)+IF(AF34&gt;0,AF55/AF34,0)*(AF40*AF48+AF44*AF49)+IF(AF35&gt;0,AF56/AF35,0)*(AF41*AF48+AF45*AF49)</f>
        <v>248.555681308788</v>
      </c>
      <c r="AG57" s="120" t="n">
        <f aca="false">IF(AG33&gt;0,AG54/AG33,0)*(AG39*AG48+AG43*AG49)+IF(AG34&gt;0,AG55/AG34,0)*(AG40*AG48+AG44*AG49)+IF(AG35&gt;0,AG56/AG35,0)*(AG41*AG48+AG45*AG49)</f>
        <v>241.784966445089</v>
      </c>
      <c r="AI57" s="120" t="n">
        <f aca="false">SUMIF($F$7:$AG$7,AI$7,$F57:$AG57)</f>
        <v>296.055916405877</v>
      </c>
      <c r="AJ57" s="120" t="n">
        <f aca="false">SUMIF($F$7:$AG$7,AJ$7,$F57:$AG57)</f>
        <v>818.973529477057</v>
      </c>
      <c r="AK57" s="120" t="n">
        <f aca="false">SUMIF($F$7:$AG$7,AK$7,$F57:$AG57)</f>
        <v>1331.23815351372</v>
      </c>
      <c r="AL57" s="120" t="n">
        <f aca="false">SUMIF($F$7:$AG$7,AL$7,$F57:$AG57)</f>
        <v>1392.48778322651</v>
      </c>
      <c r="AM57" s="120" t="n">
        <f aca="false">SUMIF($F$7:$AG$7,AM$7,$F57:$AG57)</f>
        <v>1258.36085092474</v>
      </c>
      <c r="AN57" s="120" t="n">
        <f aca="false">SUMIF($F$7:$AG$7,AN$7,$F57:$AG57)</f>
        <v>1119.17212498</v>
      </c>
      <c r="AO57" s="120" t="n">
        <f aca="false">SUMIF($F$7:$AG$7,AO$7,$F57:$AG57)</f>
        <v>1000.20220421813</v>
      </c>
    </row>
    <row r="58" customFormat="false" ht="15" hidden="false" customHeight="false" outlineLevel="0" collapsed="false">
      <c r="A58" s="101" t="s">
        <v>1566</v>
      </c>
      <c r="B58" s="18" t="s">
        <v>415</v>
      </c>
      <c r="C58" s="18" t="s">
        <v>336</v>
      </c>
      <c r="D58" s="18"/>
      <c r="F58" s="105" t="n">
        <f aca="false">(F33-F54)/GPUMW_H+(F34-F55)/GPUMW_B+(F35-F56)/GPUMW_N</f>
        <v>0</v>
      </c>
      <c r="G58" s="105" t="n">
        <f aca="false">(G33-G54)/GPUMW_H+(G34-G55)/GPUMW_B+(G35-G56)/GPUMW_N</f>
        <v>0</v>
      </c>
      <c r="H58" s="105" t="n">
        <f aca="false">(H33-H54)/GPUMW_H+(H34-H55)/GPUMW_B+(H35-H56)/GPUMW_N</f>
        <v>0</v>
      </c>
      <c r="I58" s="105" t="n">
        <f aca="false">(I33-I54)/GPUMW_H+(I34-I55)/GPUMW_B+(I35-I56)/GPUMW_N</f>
        <v>0</v>
      </c>
      <c r="J58" s="105" t="n">
        <f aca="false">(J33-J54)/GPUMW_H+(J34-J55)/GPUMW_B+(J35-J56)/GPUMW_N</f>
        <v>0</v>
      </c>
      <c r="K58" s="105" t="n">
        <f aca="false">(K33-K54)/GPUMW_H+(K34-K55)/GPUMW_B+(K35-K56)/GPUMW_N</f>
        <v>0</v>
      </c>
      <c r="L58" s="105" t="n">
        <f aca="false">(L33-L54)/GPUMW_H+(L34-L55)/GPUMW_B+(L35-L56)/GPUMW_N</f>
        <v>0</v>
      </c>
      <c r="M58" s="105" t="n">
        <f aca="false">(M33-M54)/GPUMW_H+(M34-M55)/GPUMW_B+(M35-M56)/GPUMW_N</f>
        <v>0</v>
      </c>
      <c r="N58" s="105" t="n">
        <f aca="false">(N33-N54)/GPUMW_H+(N34-N55)/GPUMW_B+(N35-N56)/GPUMW_N</f>
        <v>0</v>
      </c>
      <c r="O58" s="105" t="n">
        <f aca="false">(O33-O54)/GPUMW_H+(O34-O55)/GPUMW_B+(O35-O56)/GPUMW_N</f>
        <v>0</v>
      </c>
      <c r="P58" s="25" t="n">
        <f aca="false">(P33-P54)/GPUMW_H+(P34-P55)/GPUMW_B+(P35-P56)/GPUMW_N</f>
        <v>0</v>
      </c>
      <c r="Q58" s="25" t="n">
        <f aca="false">(Q33-Q54)/GPUMW_H+(Q34-Q55)/GPUMW_B+(Q35-Q56)/GPUMW_N</f>
        <v>0</v>
      </c>
      <c r="R58" s="25" t="n">
        <f aca="false">(R33-R54)/GPUMW_H+(R34-R55)/GPUMW_B+(R35-R56)/GPUMW_N</f>
        <v>35.523</v>
      </c>
      <c r="S58" s="25" t="n">
        <f aca="false">(S33-S54)/GPUMW_H+(S34-S55)/GPUMW_B+(S35-S56)/GPUMW_N</f>
        <v>110.129625</v>
      </c>
      <c r="T58" s="25" t="n">
        <f aca="false">(T33-T54)/GPUMW_H+(T34-T55)/GPUMW_B+(T35-T56)/GPUMW_N</f>
        <v>173.637625</v>
      </c>
      <c r="U58" s="25" t="n">
        <f aca="false">(U33-U54)/GPUMW_H+(U34-U55)/GPUMW_B+(U35-U56)/GPUMW_N</f>
        <v>211.604979166667</v>
      </c>
      <c r="V58" s="25" t="n">
        <f aca="false">(V33-V54)/GPUMW_H+(V34-V55)/GPUMW_B+(V35-V56)/GPUMW_N</f>
        <v>345.655020833333</v>
      </c>
      <c r="W58" s="25" t="n">
        <f aca="false">(W33-W54)/GPUMW_H+(W34-W55)/GPUMW_B+(W35-W56)/GPUMW_N</f>
        <v>511.474833333333</v>
      </c>
      <c r="X58" s="25" t="n">
        <f aca="false">(X33-X54)/GPUMW_H+(X34-X55)/GPUMW_B+(X35-X56)/GPUMW_N</f>
        <v>640.793583333333</v>
      </c>
      <c r="Y58" s="25" t="n">
        <f aca="false">(Y33-Y54)/GPUMW_H+(Y34-Y55)/GPUMW_B+(Y35-Y56)/GPUMW_N</f>
        <v>728.393583333333</v>
      </c>
      <c r="Z58" s="25" t="n">
        <f aca="false">(Z33-Z54)/GPUMW_H+(Z34-Z55)/GPUMW_B+(Z35-Z56)/GPUMW_N</f>
        <v>905.217208333333</v>
      </c>
      <c r="AA58" s="25" t="n">
        <f aca="false">(AA33-AA54)/GPUMW_H+(AA34-AA55)/GPUMW_B+(AA35-AA56)/GPUMW_N</f>
        <v>1075.79083333333</v>
      </c>
      <c r="AB58" s="25" t="n">
        <f aca="false">(AB33-AB54)/GPUMW_H+(AB34-AB55)/GPUMW_B+(AB35-AB56)/GPUMW_N</f>
        <v>1251.00958333333</v>
      </c>
      <c r="AC58" s="25" t="n">
        <f aca="false">(AC33-AC54)/GPUMW_H+(AC34-AC55)/GPUMW_B+(AC35-AC56)/GPUMW_N</f>
        <v>1426.22833333333</v>
      </c>
      <c r="AD58" s="25" t="n">
        <f aca="false">(AD33-AD54)/GPUMW_H+(AD34-AD55)/GPUMW_B+(AD35-AD56)/GPUMW_N</f>
        <v>1670.28302083333</v>
      </c>
      <c r="AE58" s="25" t="n">
        <f aca="false">(AE33-AE54)/GPUMW_H+(AE34-AE55)/GPUMW_B+(AE35-AE56)/GPUMW_N</f>
        <v>1914.33770833333</v>
      </c>
      <c r="AF58" s="25" t="n">
        <f aca="false">(AF33-AF54)/GPUMW_H+(AF34-AF55)/GPUMW_B+(AF35-AF56)/GPUMW_N</f>
        <v>1914.33770833333</v>
      </c>
      <c r="AG58" s="25" t="n">
        <f aca="false">(AG33-AG54)/GPUMW_H+(AG34-AG55)/GPUMW_B+(AG35-AG56)/GPUMW_N</f>
        <v>1914.33770833333</v>
      </c>
      <c r="AI58" s="25" t="n">
        <f aca="false">AVERAGEIF($F$7:$AG$7,AI$7,$F58:$AG58)</f>
        <v>0</v>
      </c>
      <c r="AJ58" s="25" t="n">
        <f aca="false">AVERAGEIF($F$7:$AG$7,AJ$7,$F58:$AG58)</f>
        <v>0</v>
      </c>
      <c r="AK58" s="25" t="n">
        <f aca="false">AVERAGEIF($F$7:$AG$7,AK$7,$F58:$AG58)</f>
        <v>0</v>
      </c>
      <c r="AL58" s="25" t="n">
        <f aca="false">AVERAGEIF($F$7:$AG$7,AL$7,$F58:$AG58)</f>
        <v>132.723807291667</v>
      </c>
      <c r="AM58" s="25" t="n">
        <f aca="false">AVERAGEIF($F$7:$AG$7,AM$7,$F58:$AG58)</f>
        <v>556.579255208333</v>
      </c>
      <c r="AN58" s="25" t="n">
        <f aca="false">AVERAGEIF($F$7:$AG$7,AN$7,$F58:$AG58)</f>
        <v>1164.56148958333</v>
      </c>
      <c r="AO58" s="25" t="n">
        <f aca="false">AVERAGEIF($F$7:$AG$7,AO$7,$F58:$AG58)</f>
        <v>1853.32403645833</v>
      </c>
    </row>
    <row r="59" customFormat="false" ht="15" hidden="false" customHeight="false" outlineLevel="0" collapsed="false">
      <c r="A59" s="101" t="s">
        <v>1567</v>
      </c>
      <c r="B59" s="18" t="s">
        <v>415</v>
      </c>
      <c r="C59" s="18" t="s">
        <v>336</v>
      </c>
      <c r="D59" s="18"/>
      <c r="F59" s="105" t="n">
        <f aca="false">MAX(0,F58-E58)</f>
        <v>0</v>
      </c>
      <c r="G59" s="105" t="n">
        <f aca="false">MAX(0,G58-F58)</f>
        <v>0</v>
      </c>
      <c r="H59" s="105" t="n">
        <f aca="false">MAX(0,H58-G58)</f>
        <v>0</v>
      </c>
      <c r="I59" s="105" t="n">
        <f aca="false">MAX(0,I58-H58)</f>
        <v>0</v>
      </c>
      <c r="J59" s="105" t="n">
        <f aca="false">MAX(0,J58-I58)</f>
        <v>0</v>
      </c>
      <c r="K59" s="105" t="n">
        <f aca="false">MAX(0,K58-J58)</f>
        <v>0</v>
      </c>
      <c r="L59" s="105" t="n">
        <f aca="false">MAX(0,L58-K58)</f>
        <v>0</v>
      </c>
      <c r="M59" s="105" t="n">
        <f aca="false">MAX(0,M58-L58)</f>
        <v>0</v>
      </c>
      <c r="N59" s="105" t="n">
        <f aca="false">MAX(0,N58-M58)</f>
        <v>0</v>
      </c>
      <c r="O59" s="105" t="n">
        <f aca="false">MAX(0,O58-N58)</f>
        <v>0</v>
      </c>
      <c r="P59" s="25" t="n">
        <f aca="false">MAX(0,P58-O58)</f>
        <v>0</v>
      </c>
      <c r="Q59" s="25" t="n">
        <f aca="false">MAX(0,Q58-P58)</f>
        <v>0</v>
      </c>
      <c r="R59" s="25" t="n">
        <f aca="false">MAX(0,R58-Q58)</f>
        <v>35.523</v>
      </c>
      <c r="S59" s="25" t="n">
        <f aca="false">MAX(0,S58-R58)</f>
        <v>74.606625</v>
      </c>
      <c r="T59" s="25" t="n">
        <f aca="false">MAX(0,T58-S58)</f>
        <v>63.508</v>
      </c>
      <c r="U59" s="25" t="n">
        <f aca="false">MAX(0,U58-T58)</f>
        <v>37.9673541666666</v>
      </c>
      <c r="V59" s="25" t="n">
        <f aca="false">MAX(0,V58-U58)</f>
        <v>134.050041666667</v>
      </c>
      <c r="W59" s="25" t="n">
        <f aca="false">MAX(0,W58-V58)</f>
        <v>165.8198125</v>
      </c>
      <c r="X59" s="25" t="n">
        <f aca="false">MAX(0,X58-W58)</f>
        <v>129.31875</v>
      </c>
      <c r="Y59" s="25" t="n">
        <f aca="false">MAX(0,Y58-X58)</f>
        <v>87.5999999999999</v>
      </c>
      <c r="Z59" s="25" t="n">
        <f aca="false">MAX(0,Z58-Y58)</f>
        <v>176.823625</v>
      </c>
      <c r="AA59" s="25" t="n">
        <f aca="false">MAX(0,AA58-Z58)</f>
        <v>170.573625</v>
      </c>
      <c r="AB59" s="25" t="n">
        <f aca="false">MAX(0,AB58-AA58)</f>
        <v>175.21875</v>
      </c>
      <c r="AC59" s="25" t="n">
        <f aca="false">MAX(0,AC58-AB58)</f>
        <v>175.21875</v>
      </c>
      <c r="AD59" s="25" t="n">
        <f aca="false">MAX(0,AD58-AC58)</f>
        <v>244.0546875</v>
      </c>
      <c r="AE59" s="25" t="n">
        <f aca="false">MAX(0,AE58-AD58)</f>
        <v>244.0546875</v>
      </c>
      <c r="AF59" s="25" t="n">
        <f aca="false">MAX(0,AF58-AE58)</f>
        <v>0</v>
      </c>
      <c r="AG59" s="25" t="n">
        <f aca="false">MAX(0,AG58-AF58)</f>
        <v>0</v>
      </c>
      <c r="AI59" s="25" t="n">
        <f aca="false">SUMIF($F$7:$AG$7,AI$7,$F59:$AG59)</f>
        <v>0</v>
      </c>
      <c r="AJ59" s="25" t="n">
        <f aca="false">SUMIF($F$7:$AG$7,AJ$7,$F59:$AG59)</f>
        <v>0</v>
      </c>
      <c r="AK59" s="25" t="n">
        <f aca="false">SUMIF($F$7:$AG$7,AK$7,$F59:$AG59)</f>
        <v>0</v>
      </c>
      <c r="AL59" s="25" t="n">
        <f aca="false">SUMIF($F$7:$AG$7,AL$7,$F59:$AG59)</f>
        <v>211.604979166667</v>
      </c>
      <c r="AM59" s="25" t="n">
        <f aca="false">SUMIF($F$7:$AG$7,AM$7,$F59:$AG59)</f>
        <v>516.788604166667</v>
      </c>
      <c r="AN59" s="25" t="n">
        <f aca="false">SUMIF($F$7:$AG$7,AN$7,$F59:$AG59)</f>
        <v>697.83475</v>
      </c>
      <c r="AO59" s="25" t="n">
        <f aca="false">SUMIF($F$7:$AG$7,AO$7,$F59:$AG59)</f>
        <v>488.109375</v>
      </c>
    </row>
    <row r="60" customFormat="false" ht="15" hidden="false" customHeight="false" outlineLevel="0" collapsed="false">
      <c r="A60" s="101" t="s">
        <v>1568</v>
      </c>
      <c r="B60" s="18" t="s">
        <v>381</v>
      </c>
      <c r="C60" s="18" t="s">
        <v>1569</v>
      </c>
      <c r="D60" s="18" t="s">
        <v>1570</v>
      </c>
      <c r="F60" s="111" t="n">
        <f aca="false">MYRate*INDEX(P_OD_B,1,1)/INDEX(P_OD_B,1,NewDealIdx-1)</f>
        <v>18.2464303059738</v>
      </c>
      <c r="G60" s="111" t="n">
        <f aca="false">MYRate*INDEX(P_OD_B,1,2)/INDEX(P_OD_B,1,NewDealIdx-1)</f>
        <v>18.2464303059738</v>
      </c>
      <c r="H60" s="111" t="n">
        <f aca="false">MYRate*INDEX(P_OD_B,1,3)/INDEX(P_OD_B,1,NewDealIdx-1)</f>
        <v>18.2464303059738</v>
      </c>
      <c r="I60" s="111" t="n">
        <f aca="false">MYRate*INDEX(P_OD_B,1,4)/INDEX(P_OD_B,1,NewDealIdx-1)</f>
        <v>18.2464303059738</v>
      </c>
      <c r="J60" s="111" t="n">
        <f aca="false">MYRate*INDEX(P_OD_B,1,5)/INDEX(P_OD_B,1,NewDealIdx-1)</f>
        <v>18.2464303059738</v>
      </c>
      <c r="K60" s="111" t="n">
        <f aca="false">MYRate*INDEX(P_OD_B,1,6)/INDEX(P_OD_B,1,NewDealIdx-1)</f>
        <v>18.2464303059738</v>
      </c>
      <c r="L60" s="111" t="n">
        <f aca="false">MYRate*INDEX(P_OD_B,1,7)/INDEX(P_OD_B,1,NewDealIdx-1)</f>
        <v>18.2464303059738</v>
      </c>
      <c r="M60" s="111" t="n">
        <f aca="false">MYRate*INDEX(P_OD_B,1,8)/INDEX(P_OD_B,1,NewDealIdx-1)</f>
        <v>18.2464303059738</v>
      </c>
      <c r="N60" s="111" t="n">
        <f aca="false">MYRate*INDEX(P_OD_B,1,9)/INDEX(P_OD_B,1,NewDealIdx-1)</f>
        <v>18.2464303059738</v>
      </c>
      <c r="O60" s="111" t="n">
        <f aca="false">MYRate*INDEX(P_OD_B,1,10)/INDEX(P_OD_B,1,NewDealIdx-1)</f>
        <v>18.2464303059738</v>
      </c>
      <c r="P60" s="35" t="n">
        <f aca="false">MYRate*INDEX(P_OD_B,1,11)/INDEX(P_OD_B,1,NewDealIdx-1)</f>
        <v>18.2464303059738</v>
      </c>
      <c r="Q60" s="35" t="n">
        <f aca="false">MYRate*INDEX(P_OD_B,1,12)/INDEX(P_OD_B,1,NewDealIdx-1)</f>
        <v>22</v>
      </c>
      <c r="R60" s="35" t="n">
        <f aca="false">MYRate*INDEX(P_OD_B,1,13)/INDEX(P_OD_B,1,NewDealIdx-1)</f>
        <v>20.79</v>
      </c>
      <c r="S60" s="35" t="n">
        <f aca="false">MYRate*INDEX(P_OD_B,1,14)/INDEX(P_OD_B,1,NewDealIdx-1)</f>
        <v>19.58</v>
      </c>
      <c r="T60" s="35" t="n">
        <f aca="false">MYRate*INDEX(P_OD_B,1,15)/INDEX(P_OD_B,1,NewDealIdx-1)</f>
        <v>18.37</v>
      </c>
      <c r="U60" s="35" t="n">
        <f aca="false">MYRate*INDEX(P_OD_B,1,16)/INDEX(P_OD_B,1,NewDealIdx-1)</f>
        <v>17.16</v>
      </c>
      <c r="V60" s="35" t="n">
        <f aca="false">MYRate*INDEX(P_OD_B,1,17)/INDEX(P_OD_B,1,NewDealIdx-1)</f>
        <v>17.16</v>
      </c>
      <c r="W60" s="35" t="n">
        <f aca="false">MYRate*INDEX(P_OD_B,1,18)/INDEX(P_OD_B,1,NewDealIdx-1)</f>
        <v>16.8965970409548</v>
      </c>
      <c r="X60" s="35" t="n">
        <f aca="false">MYRate*INDEX(P_OD_B,1,19)/INDEX(P_OD_B,1,NewDealIdx-1)</f>
        <v>16.6372372706528</v>
      </c>
      <c r="Y60" s="35" t="n">
        <f aca="false">MYRate*INDEX(P_OD_B,1,20)/INDEX(P_OD_B,1,NewDealIdx-1)</f>
        <v>16.3818586268634</v>
      </c>
      <c r="Z60" s="35" t="n">
        <f aca="false">MYRate*INDEX(P_OD_B,1,21)/INDEX(P_OD_B,1,NewDealIdx-1)</f>
        <v>16.1304</v>
      </c>
      <c r="AA60" s="35" t="n">
        <f aca="false">MYRate*INDEX(P_OD_B,1,22)/INDEX(P_OD_B,1,NewDealIdx-1)</f>
        <v>15.8828012184975</v>
      </c>
      <c r="AB60" s="35" t="n">
        <f aca="false">MYRate*INDEX(P_OD_B,1,23)/INDEX(P_OD_B,1,NewDealIdx-1)</f>
        <v>15.6390030344137</v>
      </c>
      <c r="AC60" s="35" t="n">
        <f aca="false">MYRate*INDEX(P_OD_B,1,24)/INDEX(P_OD_B,1,NewDealIdx-1)</f>
        <v>15.3989471092516</v>
      </c>
      <c r="AD60" s="35" t="n">
        <f aca="false">MYRate*INDEX(P_OD_B,1,25)/INDEX(P_OD_B,1,NewDealIdx-1)</f>
        <v>15.162576</v>
      </c>
      <c r="AE60" s="35" t="n">
        <f aca="false">MYRate*INDEX(P_OD_B,1,26)/INDEX(P_OD_B,1,NewDealIdx-1)</f>
        <v>14.9298331453877</v>
      </c>
      <c r="AF60" s="35" t="n">
        <f aca="false">MYRate*INDEX(P_OD_B,1,27)/INDEX(P_OD_B,1,NewDealIdx-1)</f>
        <v>14.7006628523489</v>
      </c>
      <c r="AG60" s="35" t="n">
        <f aca="false">MYRate*INDEX(P_OD_B,1,28)/INDEX(P_OD_B,1,NewDealIdx-1)</f>
        <v>14.4750102826965</v>
      </c>
      <c r="AI60" s="35" t="n">
        <f aca="false">AVERAGEIF($F$7:$AG$7,AI$7,$F60:$AG60)</f>
        <v>18.2464303059738</v>
      </c>
      <c r="AJ60" s="35" t="n">
        <f aca="false">AVERAGEIF($F$7:$AG$7,AJ$7,$F60:$AG60)</f>
        <v>18.2464303059738</v>
      </c>
      <c r="AK60" s="35" t="n">
        <f aca="false">AVERAGEIF($F$7:$AG$7,AK$7,$F60:$AG60)</f>
        <v>19.1848227294803</v>
      </c>
      <c r="AL60" s="35" t="n">
        <f aca="false">AVERAGEIF($F$7:$AG$7,AL$7,$F60:$AG60)</f>
        <v>18.975</v>
      </c>
      <c r="AM60" s="35" t="n">
        <f aca="false">AVERAGEIF($F$7:$AG$7,AM$7,$F60:$AG60)</f>
        <v>16.7689232346178</v>
      </c>
      <c r="AN60" s="35" t="n">
        <f aca="false">AVERAGEIF($F$7:$AG$7,AN$7,$F60:$AG60)</f>
        <v>15.7627878405407</v>
      </c>
      <c r="AO60" s="35" t="n">
        <f aca="false">AVERAGEIF($F$7:$AG$7,AO$7,$F60:$AG60)</f>
        <v>14.8170205701083</v>
      </c>
    </row>
    <row r="61" customFormat="false" ht="15" hidden="false" customHeight="false" outlineLevel="0" collapsed="false">
      <c r="A61" s="101" t="s">
        <v>1571</v>
      </c>
      <c r="B61" s="18" t="s">
        <v>504</v>
      </c>
      <c r="C61" s="18" t="s">
        <v>385</v>
      </c>
      <c r="D61" s="18"/>
      <c r="F61" s="122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61" s="122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61" s="122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61" s="122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61" s="122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61" s="122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61" s="122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61" s="122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61" s="122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61" s="122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61" s="45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61" s="45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61" s="45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61" s="45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61" s="45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61" s="45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61" s="45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61" s="45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61" s="45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61" s="45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61" s="45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61" s="45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61" s="45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61" s="45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61" s="45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61" s="45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61" s="45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61" s="45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61" s="45" t="n">
        <f aca="false">AVERAGEIF($F$7:$AG$7,AI$7,$F61:$AG61)</f>
        <v>1</v>
      </c>
      <c r="AJ61" s="45" t="n">
        <f aca="false">AVERAGEIF($F$7:$AG$7,AJ$7,$F61:$AG61)</f>
        <v>1</v>
      </c>
      <c r="AK61" s="45" t="n">
        <f aca="false">AVERAGEIF($F$7:$AG$7,AK$7,$F61:$AG61)</f>
        <v>1</v>
      </c>
      <c r="AL61" s="45" t="n">
        <f aca="false">AVERAGEIF($F$7:$AG$7,AL$7,$F61:$AG61)</f>
        <v>0.78</v>
      </c>
      <c r="AM61" s="45" t="n">
        <f aca="false">AVERAGEIF($F$7:$AG$7,AM$7,$F61:$AG61)</f>
        <v>0.992325088605909</v>
      </c>
      <c r="AN61" s="45" t="n">
        <f aca="false">AVERAGEIF($F$7:$AG$7,AN$7,$F61:$AG61)</f>
        <v>0.94011246635667</v>
      </c>
      <c r="AO61" s="45" t="n">
        <f aca="false">AVERAGEIF($F$7:$AG$7,AO$7,$F61:$AG61)</f>
        <v>0.88370571837527</v>
      </c>
    </row>
    <row r="62" customFormat="false" ht="15" hidden="false" customHeight="false" outlineLevel="0" collapsed="false">
      <c r="A62" s="101" t="s">
        <v>1572</v>
      </c>
      <c r="B62" s="18" t="s">
        <v>381</v>
      </c>
      <c r="C62" s="18" t="s">
        <v>389</v>
      </c>
      <c r="D62" s="18"/>
      <c r="F62" s="111" t="n">
        <f aca="false">STRate*F61</f>
        <v>45</v>
      </c>
      <c r="G62" s="111" t="n">
        <f aca="false">STRate*G61</f>
        <v>45</v>
      </c>
      <c r="H62" s="111" t="n">
        <f aca="false">STRate*H61</f>
        <v>45</v>
      </c>
      <c r="I62" s="111" t="n">
        <f aca="false">STRate*I61</f>
        <v>45</v>
      </c>
      <c r="J62" s="111" t="n">
        <f aca="false">STRate*J61</f>
        <v>45</v>
      </c>
      <c r="K62" s="111" t="n">
        <f aca="false">STRate*K61</f>
        <v>45</v>
      </c>
      <c r="L62" s="111" t="n">
        <f aca="false">STRate*L61</f>
        <v>45</v>
      </c>
      <c r="M62" s="111" t="n">
        <f aca="false">STRate*M61</f>
        <v>45</v>
      </c>
      <c r="N62" s="111" t="n">
        <f aca="false">STRate*N61</f>
        <v>45</v>
      </c>
      <c r="O62" s="111" t="n">
        <f aca="false">STRate*O61</f>
        <v>45</v>
      </c>
      <c r="P62" s="35" t="n">
        <f aca="false">STRate*P61</f>
        <v>45</v>
      </c>
      <c r="Q62" s="35" t="n">
        <f aca="false">STRate*Q61</f>
        <v>45</v>
      </c>
      <c r="R62" s="35" t="n">
        <f aca="false">STRate*R61</f>
        <v>35.1</v>
      </c>
      <c r="S62" s="35" t="n">
        <f aca="false">STRate*S61</f>
        <v>35.1</v>
      </c>
      <c r="T62" s="35" t="n">
        <f aca="false">STRate*T61</f>
        <v>35.1</v>
      </c>
      <c r="U62" s="35" t="n">
        <f aca="false">STRate*U61</f>
        <v>35.1</v>
      </c>
      <c r="V62" s="35" t="n">
        <f aca="false">STRate*V61</f>
        <v>45</v>
      </c>
      <c r="W62" s="35" t="n">
        <f aca="false">STRate*W61</f>
        <v>45</v>
      </c>
      <c r="X62" s="35" t="n">
        <f aca="false">STRate*X61</f>
        <v>44.3092579745318</v>
      </c>
      <c r="Y62" s="35" t="n">
        <f aca="false">STRate*Y61</f>
        <v>44.3092579745318</v>
      </c>
      <c r="Z62" s="35" t="n">
        <f aca="false">STRate*Z61</f>
        <v>42.9594194760404</v>
      </c>
      <c r="AA62" s="35" t="n">
        <f aca="false">STRate*AA61</f>
        <v>42.9594194760404</v>
      </c>
      <c r="AB62" s="35" t="n">
        <f aca="false">STRate*AB61</f>
        <v>41.6507024960599</v>
      </c>
      <c r="AC62" s="35" t="n">
        <f aca="false">STRate*AC61</f>
        <v>41.6507024960599</v>
      </c>
      <c r="AD62" s="35" t="n">
        <f aca="false">STRate*AD61</f>
        <v>40.3818543074779</v>
      </c>
      <c r="AE62" s="35" t="n">
        <f aca="false">STRate*AE61</f>
        <v>40.3818543074779</v>
      </c>
      <c r="AF62" s="35" t="n">
        <f aca="false">STRate*AF61</f>
        <v>39.1516603462963</v>
      </c>
      <c r="AG62" s="35" t="n">
        <f aca="false">STRate*AG61</f>
        <v>39.1516603462963</v>
      </c>
      <c r="AI62" s="35" t="n">
        <f aca="false">AVERAGEIF($F$7:$AG$7,AI$7,$F62:$AG62)</f>
        <v>45</v>
      </c>
      <c r="AJ62" s="35" t="n">
        <f aca="false">AVERAGEIF($F$7:$AG$7,AJ$7,$F62:$AG62)</f>
        <v>45</v>
      </c>
      <c r="AK62" s="35" t="n">
        <f aca="false">AVERAGEIF($F$7:$AG$7,AK$7,$F62:$AG62)</f>
        <v>45</v>
      </c>
      <c r="AL62" s="35" t="n">
        <f aca="false">AVERAGEIF($F$7:$AG$7,AL$7,$F62:$AG62)</f>
        <v>35.1</v>
      </c>
      <c r="AM62" s="35" t="n">
        <f aca="false">AVERAGEIF($F$7:$AG$7,AM$7,$F62:$AG62)</f>
        <v>44.6546289872659</v>
      </c>
      <c r="AN62" s="35" t="n">
        <f aca="false">AVERAGEIF($F$7:$AG$7,AN$7,$F62:$AG62)</f>
        <v>42.3050609860501</v>
      </c>
      <c r="AO62" s="35" t="n">
        <f aca="false">AVERAGEIF($F$7:$AG$7,AO$7,$F62:$AG62)</f>
        <v>39.7667573268871</v>
      </c>
    </row>
    <row r="63" customFormat="false" ht="15" hidden="false" customHeight="false" outlineLevel="0" collapsed="false">
      <c r="A63" s="101" t="s">
        <v>1573</v>
      </c>
      <c r="B63" s="18" t="s">
        <v>400</v>
      </c>
      <c r="C63" s="18" t="s">
        <v>336</v>
      </c>
      <c r="D63" s="18" t="s">
        <v>1574</v>
      </c>
      <c r="F63" s="119" t="n">
        <f aca="false">(1-STShare)*SUMPRODUCT($F$59:F59,$F$60:F60)/4</f>
        <v>0</v>
      </c>
      <c r="G63" s="119" t="n">
        <f aca="false">(1-STShare)*SUMPRODUCT($F$59:G59,$F$60:G60)/4</f>
        <v>0</v>
      </c>
      <c r="H63" s="119" t="n">
        <f aca="false">(1-STShare)*SUMPRODUCT($F$59:H59,$F$60:H60)/4</f>
        <v>0</v>
      </c>
      <c r="I63" s="119" t="n">
        <f aca="false">(1-STShare)*SUMPRODUCT($F$59:I59,$F$60:I60)/4</f>
        <v>0</v>
      </c>
      <c r="J63" s="119" t="n">
        <f aca="false">(1-STShare)*SUMPRODUCT($F$59:J59,$F$60:J60)/4</f>
        <v>0</v>
      </c>
      <c r="K63" s="119" t="n">
        <f aca="false">(1-STShare)*SUMPRODUCT($F$59:K59,$F$60:K60)/4</f>
        <v>0</v>
      </c>
      <c r="L63" s="119" t="n">
        <f aca="false">(1-STShare)*SUMPRODUCT($F$59:L59,$F$60:L60)/4</f>
        <v>0</v>
      </c>
      <c r="M63" s="119" t="n">
        <f aca="false">(1-STShare)*SUMPRODUCT($F$59:M59,$F$60:M60)/4</f>
        <v>0</v>
      </c>
      <c r="N63" s="119" t="n">
        <f aca="false">(1-STShare)*SUMPRODUCT($F$59:N59,$F$60:N60)/4</f>
        <v>0</v>
      </c>
      <c r="O63" s="119" t="n">
        <f aca="false">(1-STShare)*SUMPRODUCT($F$59:O59,$F$60:O60)/4</f>
        <v>0</v>
      </c>
      <c r="P63" s="120" t="n">
        <f aca="false">(1-STShare)*SUMPRODUCT($F$59:P59,$F$60:P60)/4</f>
        <v>0</v>
      </c>
      <c r="Q63" s="120" t="n">
        <f aca="false">(1-STShare)*SUMPRODUCT($F$59:Q59,$F$60:Q60)/4</f>
        <v>0</v>
      </c>
      <c r="R63" s="120" t="n">
        <f aca="false">(1-STShare)*SUMPRODUCT($F$59:R59,$F$60:R60)/4</f>
        <v>166.16771325</v>
      </c>
      <c r="S63" s="120" t="n">
        <f aca="false">(1-STShare)*SUMPRODUCT($F$59:S59,$F$60:S60)/4</f>
        <v>494.8471996875</v>
      </c>
      <c r="T63" s="120" t="n">
        <f aca="false">(1-STShare)*SUMPRODUCT($F$59:T59,$F$60:T60)/4</f>
        <v>757.3416406875</v>
      </c>
      <c r="U63" s="120" t="n">
        <f aca="false">(1-STShare)*SUMPRODUCT($F$59:U59,$F$60:U60)/4</f>
        <v>903.933595125</v>
      </c>
      <c r="V63" s="120" t="n">
        <f aca="false">(1-STShare)*SUMPRODUCT($F$59:V59,$F$60:V60)/4</f>
        <v>1421.500806</v>
      </c>
      <c r="W63" s="120" t="n">
        <f aca="false">(1-STShare)*SUMPRODUCT($F$59:W59,$F$60:W60)/4</f>
        <v>2051.90368047432</v>
      </c>
      <c r="X63" s="120" t="n">
        <f aca="false">(1-STShare)*SUMPRODUCT($F$59:X59,$F$60:X60)/4</f>
        <v>2535.99269411552</v>
      </c>
      <c r="Y63" s="120" t="n">
        <f aca="false">(1-STShare)*SUMPRODUCT($F$59:Y59,$F$60:Y60)/4</f>
        <v>2858.879127651</v>
      </c>
      <c r="Z63" s="120" t="n">
        <f aca="false">(1-STShare)*SUMPRODUCT($F$59:Z59,$F$60:Z60)/4</f>
        <v>3500.6321828085</v>
      </c>
      <c r="AA63" s="120" t="n">
        <f aca="false">(1-STShare)*SUMPRODUCT($F$59:AA59,$F$60:AA60)/4</f>
        <v>4110.19925308204</v>
      </c>
      <c r="AB63" s="120" t="n">
        <f aca="false">(1-STShare)*SUMPRODUCT($F$59:AB59,$F$60:AB60)/4</f>
        <v>4726.75472974268</v>
      </c>
      <c r="AC63" s="120" t="n">
        <f aca="false">(1-STShare)*SUMPRODUCT($F$59:AC59,$F$60:AC60)/4</f>
        <v>5333.8461890975</v>
      </c>
      <c r="AD63" s="120" t="n">
        <f aca="false">(1-STShare)*SUMPRODUCT($F$59:AD59,$F$60:AD60)/4</f>
        <v>6166.45818225687</v>
      </c>
      <c r="AE63" s="120" t="n">
        <f aca="false">(1-STShare)*SUMPRODUCT($F$59:AE59,$F$60:AE60)/4</f>
        <v>6986.28972886994</v>
      </c>
      <c r="AF63" s="120" t="n">
        <f aca="false">(1-STShare)*SUMPRODUCT($F$59:AF59,$F$60:AF60)/4</f>
        <v>6986.28972886994</v>
      </c>
      <c r="AG63" s="120" t="n">
        <f aca="false">(1-STShare)*SUMPRODUCT($F$59:AG59,$F$60:AG60)/4</f>
        <v>6986.28972886994</v>
      </c>
      <c r="AI63" s="120" t="n">
        <f aca="false">SUMIF($F$7:$AG$7,AI$7,$F63:$AG63)</f>
        <v>0</v>
      </c>
      <c r="AJ63" s="120" t="n">
        <f aca="false">SUMIF($F$7:$AG$7,AJ$7,$F63:$AG63)</f>
        <v>0</v>
      </c>
      <c r="AK63" s="120" t="n">
        <f aca="false">SUMIF($F$7:$AG$7,AK$7,$F63:$AG63)</f>
        <v>0</v>
      </c>
      <c r="AL63" s="120" t="n">
        <f aca="false">SUMIF($F$7:$AG$7,AL$7,$F63:$AG63)</f>
        <v>2322.29014875</v>
      </c>
      <c r="AM63" s="120" t="n">
        <f aca="false">SUMIF($F$7:$AG$7,AM$7,$F63:$AG63)</f>
        <v>8868.27630824083</v>
      </c>
      <c r="AN63" s="120" t="n">
        <f aca="false">SUMIF($F$7:$AG$7,AN$7,$F63:$AG63)</f>
        <v>17671.4323547307</v>
      </c>
      <c r="AO63" s="120" t="n">
        <f aca="false">SUMIF($F$7:$AG$7,AO$7,$F63:$AG63)</f>
        <v>27125.3273688667</v>
      </c>
    </row>
    <row r="64" customFormat="false" ht="15" hidden="false" customHeight="false" outlineLevel="0" collapsed="false">
      <c r="A64" s="101" t="s">
        <v>1575</v>
      </c>
      <c r="B64" s="18" t="s">
        <v>400</v>
      </c>
      <c r="C64" s="18" t="s">
        <v>336</v>
      </c>
      <c r="D64" s="18"/>
      <c r="F64" s="119" t="n">
        <f aca="false">STShare*F58*F62/4</f>
        <v>0</v>
      </c>
      <c r="G64" s="119" t="n">
        <f aca="false">STShare*G58*G62/4</f>
        <v>0</v>
      </c>
      <c r="H64" s="119" t="n">
        <f aca="false">STShare*H58*H62/4</f>
        <v>0</v>
      </c>
      <c r="I64" s="119" t="n">
        <f aca="false">STShare*I58*I62/4</f>
        <v>0</v>
      </c>
      <c r="J64" s="119" t="n">
        <f aca="false">STShare*J58*J62/4</f>
        <v>0</v>
      </c>
      <c r="K64" s="119" t="n">
        <f aca="false">STShare*K58*K62/4</f>
        <v>0</v>
      </c>
      <c r="L64" s="119" t="n">
        <f aca="false">STShare*L58*L62/4</f>
        <v>0</v>
      </c>
      <c r="M64" s="119" t="n">
        <f aca="false">STShare*M58*M62/4</f>
        <v>0</v>
      </c>
      <c r="N64" s="119" t="n">
        <f aca="false">STShare*N58*N62/4</f>
        <v>0</v>
      </c>
      <c r="O64" s="119" t="n">
        <f aca="false">STShare*O58*O62/4</f>
        <v>0</v>
      </c>
      <c r="P64" s="120" t="n">
        <f aca="false">STShare*P58*P62/4</f>
        <v>0</v>
      </c>
      <c r="Q64" s="120" t="n">
        <f aca="false">STShare*Q58*Q62/4</f>
        <v>0</v>
      </c>
      <c r="R64" s="120" t="n">
        <f aca="false">STShare*R58*R62/4</f>
        <v>31.1714325</v>
      </c>
      <c r="S64" s="120" t="n">
        <f aca="false">STShare*S58*S62/4</f>
        <v>96.6387459375</v>
      </c>
      <c r="T64" s="120" t="n">
        <f aca="false">STShare*T58*T62/4</f>
        <v>152.3670159375</v>
      </c>
      <c r="U64" s="120" t="n">
        <f aca="false">STShare*U58*U62/4</f>
        <v>185.68336921875</v>
      </c>
      <c r="V64" s="120" t="n">
        <f aca="false">STShare*V58*V62/4</f>
        <v>388.8618984375</v>
      </c>
      <c r="W64" s="120" t="n">
        <f aca="false">STShare*W58*W62/4</f>
        <v>575.4091875</v>
      </c>
      <c r="X64" s="120" t="n">
        <f aca="false">STShare*X58*X62/4</f>
        <v>709.827204808533</v>
      </c>
      <c r="Y64" s="120" t="n">
        <f aca="false">STShare*Y58*Y62/4</f>
        <v>806.864479772758</v>
      </c>
      <c r="Z64" s="120" t="n">
        <f aca="false">STShare*Z58*Z62/4</f>
        <v>972.190144243047</v>
      </c>
      <c r="AA64" s="120" t="n">
        <f aca="false">STShare*AA58*AA62/4</f>
        <v>1155.38374194114</v>
      </c>
      <c r="AB64" s="120" t="n">
        <f aca="false">STShare*AB58*AB62/4</f>
        <v>1302.63569937841</v>
      </c>
      <c r="AC64" s="120" t="n">
        <f aca="false">STShare*AC58*AC62/4</f>
        <v>1485.08530007795</v>
      </c>
      <c r="AD64" s="120" t="n">
        <f aca="false">STShare*AD58*AD62/4</f>
        <v>1686.22813998865</v>
      </c>
      <c r="AE64" s="120" t="n">
        <f aca="false">STShare*AE58*AE62/4</f>
        <v>1932.6126608307</v>
      </c>
      <c r="AF64" s="120" t="n">
        <f aca="false">STShare*AF58*AF62/4</f>
        <v>1873.73749361935</v>
      </c>
      <c r="AG64" s="120" t="n">
        <f aca="false">STShare*AG58*AG62/4</f>
        <v>1873.73749361935</v>
      </c>
      <c r="AI64" s="120" t="n">
        <f aca="false">SUMIF($F$7:$AG$7,AI$7,$F64:$AG64)</f>
        <v>0</v>
      </c>
      <c r="AJ64" s="120" t="n">
        <f aca="false">SUMIF($F$7:$AG$7,AJ$7,$F64:$AG64)</f>
        <v>0</v>
      </c>
      <c r="AK64" s="120" t="n">
        <f aca="false">SUMIF($F$7:$AG$7,AK$7,$F64:$AG64)</f>
        <v>0</v>
      </c>
      <c r="AL64" s="120" t="n">
        <f aca="false">SUMIF($F$7:$AG$7,AL$7,$F64:$AG64)</f>
        <v>465.86056359375</v>
      </c>
      <c r="AM64" s="120" t="n">
        <f aca="false">SUMIF($F$7:$AG$7,AM$7,$F64:$AG64)</f>
        <v>2480.96277051879</v>
      </c>
      <c r="AN64" s="120" t="n">
        <f aca="false">SUMIF($F$7:$AG$7,AN$7,$F64:$AG64)</f>
        <v>4915.29488564056</v>
      </c>
      <c r="AO64" s="120" t="n">
        <f aca="false">SUMIF($F$7:$AG$7,AO$7,$F64:$AG64)</f>
        <v>7366.31578805804</v>
      </c>
    </row>
    <row r="65" customFormat="false" ht="15" hidden="false" customHeight="false" outlineLevel="0" collapsed="false">
      <c r="A65" s="3" t="s">
        <v>1576</v>
      </c>
      <c r="B65" s="18" t="s">
        <v>400</v>
      </c>
      <c r="C65" s="18" t="s">
        <v>336</v>
      </c>
      <c r="D65" s="18"/>
      <c r="F65" s="121" t="n">
        <f aca="false">IF(AND(NewDealOn=1,F$5&gt;=NewDealIdx),F57+F63+F64-F50-F51,0)</f>
        <v>0</v>
      </c>
      <c r="G65" s="121" t="n">
        <f aca="false">IF(AND(NewDealOn=1,G$5&gt;=NewDealIdx),G57+G63+G64-G50-G51,0)</f>
        <v>0</v>
      </c>
      <c r="H65" s="121" t="n">
        <f aca="false">IF(AND(NewDealOn=1,H$5&gt;=NewDealIdx),H57+H63+H64-H50-H51,0)</f>
        <v>0</v>
      </c>
      <c r="I65" s="121" t="n">
        <f aca="false">IF(AND(NewDealOn=1,I$5&gt;=NewDealIdx),I57+I63+I64-I50-I51,0)</f>
        <v>0</v>
      </c>
      <c r="J65" s="121" t="n">
        <f aca="false">IF(AND(NewDealOn=1,J$5&gt;=NewDealIdx),J57+J63+J64-J50-J51,0)</f>
        <v>0</v>
      </c>
      <c r="K65" s="121" t="n">
        <f aca="false">IF(AND(NewDealOn=1,K$5&gt;=NewDealIdx),K57+K63+K64-K50-K51,0)</f>
        <v>0</v>
      </c>
      <c r="L65" s="121" t="n">
        <f aca="false">IF(AND(NewDealOn=1,L$5&gt;=NewDealIdx),L57+L63+L64-L50-L51,0)</f>
        <v>0</v>
      </c>
      <c r="M65" s="121" t="n">
        <f aca="false">IF(AND(NewDealOn=1,M$5&gt;=NewDealIdx),M57+M63+M64-M50-M51,0)</f>
        <v>0</v>
      </c>
      <c r="N65" s="121" t="n">
        <f aca="false">IF(AND(NewDealOn=1,N$5&gt;=NewDealIdx),N57+N63+N64-N50-N51,0)</f>
        <v>0</v>
      </c>
      <c r="O65" s="121" t="n">
        <f aca="false">IF(AND(NewDealOn=1,O$5&gt;=NewDealIdx),O57+O63+O64-O50-O51,0)</f>
        <v>0</v>
      </c>
      <c r="P65" s="93" t="n">
        <f aca="false">IF(AND(NewDealOn=1,P$5&gt;=NewDealIdx),P57+P63+P64-P50-P51,0)</f>
        <v>0</v>
      </c>
      <c r="Q65" s="93" t="n">
        <f aca="false">IF(AND(NewDealOn=1,Q$5&gt;=NewDealIdx),Q57+Q63+Q64-Q50-Q51,0)</f>
        <v>0</v>
      </c>
      <c r="R65" s="93" t="n">
        <f aca="false">IF(AND(NewDealOn=1,R$5&gt;=NewDealIdx),R57+R63+R64-R50-R51,0)</f>
        <v>-26.9035927741009</v>
      </c>
      <c r="S65" s="93" t="n">
        <f aca="false">IF(AND(NewDealOn=1,S$5&gt;=NewDealIdx),S57+S63+S64-S50-S51,0)</f>
        <v>-93.1406965110683</v>
      </c>
      <c r="T65" s="93" t="n">
        <f aca="false">IF(AND(NewDealOn=1,T$5&gt;=NewDealIdx),T57+T63+T64-T50-T51,0)</f>
        <v>-117.169319124495</v>
      </c>
      <c r="U65" s="93" t="n">
        <f aca="false">IF(AND(NewDealOn=1,U$5&gt;=NewDealIdx),U57+U63+U64-U50-U51,0)</f>
        <v>-91.6961213307316</v>
      </c>
      <c r="V65" s="93" t="n">
        <f aca="false">IF(AND(NewDealOn=1,V$5&gt;=NewDealIdx),V57+V63+V64-V50-V51,0)</f>
        <v>-331.300980875839</v>
      </c>
      <c r="W65" s="93" t="n">
        <f aca="false">IF(AND(NewDealOn=1,W$5&gt;=NewDealIdx),W57+W63+W64-W50-W51,0)</f>
        <v>-694.930331195666</v>
      </c>
      <c r="X65" s="93" t="n">
        <f aca="false">IF(AND(NewDealOn=1,X$5&gt;=NewDealIdx),X57+X63+X64-X50-X51,0)</f>
        <v>-1055.79979697754</v>
      </c>
      <c r="Y65" s="93" t="n">
        <f aca="false">IF(AND(NewDealOn=1,Y$5&gt;=NewDealIdx),Y57+Y63+Y64-Y50-Y51,0)</f>
        <v>-1233.12624726469</v>
      </c>
      <c r="Z65" s="93" t="n">
        <f aca="false">IF(AND(NewDealOn=1,Z$5&gt;=NewDealIdx),Z57+Z63+Z64-Z50-Z51,0)</f>
        <v>-1480.75214058405</v>
      </c>
      <c r="AA65" s="93" t="n">
        <f aca="false">IF(AND(NewDealOn=1,AA$5&gt;=NewDealIdx),AA57+AA63+AA64-AA50-AA51,0)</f>
        <v>-1845.67739061924</v>
      </c>
      <c r="AB65" s="93" t="n">
        <f aca="false">IF(AND(NewDealOn=1,AB$5&gt;=NewDealIdx),AB57+AB63+AB64-AB50-AB51,0)</f>
        <v>-2316.1991815173</v>
      </c>
      <c r="AC65" s="93" t="n">
        <f aca="false">IF(AND(NewDealOn=1,AC$5&gt;=NewDealIdx),AC57+AC63+AC64-AC50-AC51,0)</f>
        <v>-2645.6532573387</v>
      </c>
      <c r="AD65" s="93" t="n">
        <f aca="false">IF(AND(NewDealOn=1,AD$5&gt;=NewDealIdx),AD57+AD63+AD64-AD50-AD51,0)</f>
        <v>-2937.21014042898</v>
      </c>
      <c r="AE65" s="93" t="n">
        <f aca="false">IF(AND(NewDealOn=1,AE$5&gt;=NewDealIdx),AE57+AE63+AE64-AE50-AE51,0)</f>
        <v>-3489.22604357145</v>
      </c>
      <c r="AF65" s="93" t="n">
        <f aca="false">IF(AND(NewDealOn=1,AF$5&gt;=NewDealIdx),AF57+AF63+AF64-AF50-AF51,0)</f>
        <v>-3491.89870260225</v>
      </c>
      <c r="AG65" s="93" t="n">
        <f aca="false">IF(AND(NewDealOn=1,AG$5&gt;=NewDealIdx),AG57+AG63+AG64-AG50-AG51,0)</f>
        <v>-3302.29882855935</v>
      </c>
      <c r="AI65" s="93" t="n">
        <f aca="false">SUMIF($F$7:$AG$7,AI$7,$F65:$AG65)</f>
        <v>0</v>
      </c>
      <c r="AJ65" s="93" t="n">
        <f aca="false">SUMIF($F$7:$AG$7,AJ$7,$F65:$AG65)</f>
        <v>0</v>
      </c>
      <c r="AK65" s="93" t="n">
        <f aca="false">SUMIF($F$7:$AG$7,AK$7,$F65:$AG65)</f>
        <v>0</v>
      </c>
      <c r="AL65" s="93" t="n">
        <f aca="false">SUMIF($F$7:$AG$7,AL$7,$F65:$AG65)</f>
        <v>-328.909729740396</v>
      </c>
      <c r="AM65" s="93" t="n">
        <f aca="false">SUMIF($F$7:$AG$7,AM$7,$F65:$AG65)</f>
        <v>-3315.15735631374</v>
      </c>
      <c r="AN65" s="93" t="n">
        <f aca="false">SUMIF($F$7:$AG$7,AN$7,$F65:$AG65)</f>
        <v>-8288.28197005929</v>
      </c>
      <c r="AO65" s="93" t="n">
        <f aca="false">SUMIF($F$7:$AG$7,AO$7,$F65:$AG65)</f>
        <v>-13220.633715162</v>
      </c>
    </row>
    <row r="66" customFormat="false" ht="15" hidden="false" customHeight="false" outlineLevel="0" collapsed="false">
      <c r="A66" s="101" t="s">
        <v>1577</v>
      </c>
      <c r="B66" s="18" t="s">
        <v>381</v>
      </c>
      <c r="C66" s="18" t="s">
        <v>336</v>
      </c>
      <c r="D66" s="18"/>
      <c r="F66" s="111" t="n">
        <f aca="false">IF(F58&gt;0,(F63+F64)*4/F58,0)</f>
        <v>0</v>
      </c>
      <c r="G66" s="111" t="n">
        <f aca="false">IF(G58&gt;0,(G63+G64)*4/G58,0)</f>
        <v>0</v>
      </c>
      <c r="H66" s="111" t="n">
        <f aca="false">IF(H58&gt;0,(H63+H64)*4/H58,0)</f>
        <v>0</v>
      </c>
      <c r="I66" s="111" t="n">
        <f aca="false">IF(I58&gt;0,(I63+I64)*4/I58,0)</f>
        <v>0</v>
      </c>
      <c r="J66" s="111" t="n">
        <f aca="false">IF(J58&gt;0,(J63+J64)*4/J58,0)</f>
        <v>0</v>
      </c>
      <c r="K66" s="111" t="n">
        <f aca="false">IF(K58&gt;0,(K63+K64)*4/K58,0)</f>
        <v>0</v>
      </c>
      <c r="L66" s="111" t="n">
        <f aca="false">IF(L58&gt;0,(L63+L64)*4/L58,0)</f>
        <v>0</v>
      </c>
      <c r="M66" s="111" t="n">
        <f aca="false">IF(M58&gt;0,(M63+M64)*4/M58,0)</f>
        <v>0</v>
      </c>
      <c r="N66" s="111" t="n">
        <f aca="false">IF(N58&gt;0,(N63+N64)*4/N58,0)</f>
        <v>0</v>
      </c>
      <c r="O66" s="111" t="n">
        <f aca="false">IF(O58&gt;0,(O63+O64)*4/O58,0)</f>
        <v>0</v>
      </c>
      <c r="P66" s="35" t="n">
        <f aca="false">IF(P58&gt;0,(P63+P64)*4/P58,0)</f>
        <v>0</v>
      </c>
      <c r="Q66" s="35" t="n">
        <f aca="false">IF(Q58&gt;0,(Q63+Q64)*4/Q58,0)</f>
        <v>0</v>
      </c>
      <c r="R66" s="35" t="n">
        <f aca="false">IF(R58&gt;0,(R63+R64)*4/R58,0)</f>
        <v>22.221</v>
      </c>
      <c r="S66" s="35" t="n">
        <f aca="false">IF(S58&gt;0,(S63+S64)*4/S58,0)</f>
        <v>21.483263767583</v>
      </c>
      <c r="T66" s="35" t="n">
        <f aca="false">IF(T58&gt;0,(T63+T64)*4/T58,0)</f>
        <v>20.9564869739493</v>
      </c>
      <c r="U66" s="35" t="n">
        <f aca="false">IF(U58&gt;0,(U63+U64)*4/U58,0)</f>
        <v>20.5971895110376</v>
      </c>
      <c r="V66" s="35" t="n">
        <f aca="false">IF(V58&gt;0,(V63+V64)*4/V58,0)</f>
        <v>20.9499367325599</v>
      </c>
      <c r="W66" s="35" t="n">
        <f aca="false">IF(W58&gt;0,(W63+W64)*4/W58,0)</f>
        <v>20.546957126722</v>
      </c>
      <c r="X66" s="35" t="n">
        <f aca="false">IF(X58&gt;0,(X63+X64)*4/X58,0)</f>
        <v>20.2612509447406</v>
      </c>
      <c r="Y66" s="35" t="n">
        <f aca="false">IF(Y58&gt;0,(Y63+Y64)*4/Y58,0)</f>
        <v>20.1305650752621</v>
      </c>
      <c r="Z66" s="35" t="n">
        <f aca="false">IF(Z58&gt;0,(Z63+Z64)*4/Z58,0)</f>
        <v>19.7646367562402</v>
      </c>
      <c r="AA66" s="35" t="n">
        <f aca="false">IF(AA58&gt;0,(AA63+AA64)*4/AA58,0)</f>
        <v>19.5784638867308</v>
      </c>
      <c r="AB66" s="35" t="n">
        <f aca="false">IF(AB58&gt;0,(AB63+AB64)*4/AB58,0)</f>
        <v>19.278478788486</v>
      </c>
      <c r="AC66" s="35" t="n">
        <f aca="false">IF(AC58&gt;0,(AC63+AC64)*4/AC58,0)</f>
        <v>19.1243753326327</v>
      </c>
      <c r="AD66" s="35" t="n">
        <f aca="false">IF(AD58&gt;0,(AD63+AD64)*4/AD58,0)</f>
        <v>18.8056424553192</v>
      </c>
      <c r="AE66" s="35" t="n">
        <f aca="false">IF(AE58&gt;0,(AE63+AE64)*4/AE58,0)</f>
        <v>18.6360062822262</v>
      </c>
      <c r="AF66" s="35" t="n">
        <f aca="false">IF(AF58&gt;0,(AF63+AF64)*4/AF58,0)</f>
        <v>18.512986886108</v>
      </c>
      <c r="AG66" s="35" t="n">
        <f aca="false">IF(AG58&gt;0,(AG63+AG64)*4/AG58,0)</f>
        <v>18.512986886108</v>
      </c>
      <c r="AI66" s="35" t="n">
        <f aca="false">AVERAGEIF($F$7:$AG$7,AI$7,$F66:$AG66)</f>
        <v>0</v>
      </c>
      <c r="AJ66" s="35" t="n">
        <f aca="false">AVERAGEIF($F$7:$AG$7,AJ$7,$F66:$AG66)</f>
        <v>0</v>
      </c>
      <c r="AK66" s="35" t="n">
        <f aca="false">AVERAGEIF($F$7:$AG$7,AK$7,$F66:$AG66)</f>
        <v>0</v>
      </c>
      <c r="AL66" s="35" t="n">
        <f aca="false">AVERAGEIF($F$7:$AG$7,AL$7,$F66:$AG66)</f>
        <v>21.3144850631425</v>
      </c>
      <c r="AM66" s="35" t="n">
        <f aca="false">AVERAGEIF($F$7:$AG$7,AM$7,$F66:$AG66)</f>
        <v>20.4721774698211</v>
      </c>
      <c r="AN66" s="35" t="n">
        <f aca="false">AVERAGEIF($F$7:$AG$7,AN$7,$F66:$AG66)</f>
        <v>19.4364886910224</v>
      </c>
      <c r="AO66" s="35" t="n">
        <f aca="false">AVERAGEIF($F$7:$AG$7,AO$7,$F66:$AG66)</f>
        <v>18.6169056274404</v>
      </c>
    </row>
    <row r="68" customFormat="false" ht="15" hidden="false" customHeight="false" outlineLevel="0" collapsed="false">
      <c r="A68" s="48" t="s">
        <v>1578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customFormat="false" ht="15" hidden="false" customHeight="false" outlineLevel="0" collapsed="false">
      <c r="A69" s="101" t="s">
        <v>882</v>
      </c>
      <c r="B69" s="18" t="s">
        <v>400</v>
      </c>
      <c r="C69" s="18" t="s">
        <v>385</v>
      </c>
      <c r="D69" s="18"/>
      <c r="F69" s="119" t="n">
        <f aca="false">INDEX(AssetLight,1,F$7-FYBase)/4</f>
        <v>0</v>
      </c>
      <c r="G69" s="119" t="n">
        <f aca="false">INDEX(AssetLight,1,G$7-FYBase)/4</f>
        <v>0</v>
      </c>
      <c r="H69" s="119" t="n">
        <f aca="false">INDEX(AssetLight,1,H$7-FYBase)/4</f>
        <v>0</v>
      </c>
      <c r="I69" s="119" t="n">
        <f aca="false">INDEX(AssetLight,1,I$7-FYBase)/4</f>
        <v>0</v>
      </c>
      <c r="J69" s="119" t="n">
        <f aca="false">INDEX(AssetLight,1,J$7-FYBase)/4</f>
        <v>0</v>
      </c>
      <c r="K69" s="119" t="n">
        <f aca="false">INDEX(AssetLight,1,K$7-FYBase)/4</f>
        <v>0</v>
      </c>
      <c r="L69" s="119" t="n">
        <f aca="false">INDEX(AssetLight,1,L$7-FYBase)/4</f>
        <v>0</v>
      </c>
      <c r="M69" s="119" t="n">
        <f aca="false">INDEX(AssetLight,1,M$7-FYBase)/4</f>
        <v>0</v>
      </c>
      <c r="N69" s="119" t="n">
        <f aca="false">INDEX(AssetLight,1,N$7-FYBase)/4</f>
        <v>0</v>
      </c>
      <c r="O69" s="119" t="n">
        <f aca="false">INDEX(AssetLight,1,O$7-FYBase)/4</f>
        <v>0</v>
      </c>
      <c r="P69" s="120" t="n">
        <f aca="false">INDEX(AssetLight,1,P$7-FYBase)/4</f>
        <v>0</v>
      </c>
      <c r="Q69" s="120" t="n">
        <f aca="false">INDEX(AssetLight,1,Q$7-FYBase)/4</f>
        <v>0</v>
      </c>
      <c r="R69" s="120" t="n">
        <f aca="false">INDEX(AssetLight,1,R$7-FYBase)/4</f>
        <v>0</v>
      </c>
      <c r="S69" s="120" t="n">
        <f aca="false">INDEX(AssetLight,1,S$7-FYBase)/4</f>
        <v>0</v>
      </c>
      <c r="T69" s="120" t="n">
        <f aca="false">INDEX(AssetLight,1,T$7-FYBase)/4</f>
        <v>0</v>
      </c>
      <c r="U69" s="120" t="n">
        <f aca="false">INDEX(AssetLight,1,U$7-FYBase)/4</f>
        <v>0</v>
      </c>
      <c r="V69" s="120" t="n">
        <f aca="false">INDEX(AssetLight,1,V$7-FYBase)/4</f>
        <v>0</v>
      </c>
      <c r="W69" s="120" t="n">
        <f aca="false">INDEX(AssetLight,1,W$7-FYBase)/4</f>
        <v>0</v>
      </c>
      <c r="X69" s="120" t="n">
        <f aca="false">INDEX(AssetLight,1,X$7-FYBase)/4</f>
        <v>0</v>
      </c>
      <c r="Y69" s="120" t="n">
        <f aca="false">INDEX(AssetLight,1,Y$7-FYBase)/4</f>
        <v>0</v>
      </c>
      <c r="Z69" s="120" t="n">
        <f aca="false">INDEX(AssetLight,1,Z$7-FYBase)/4</f>
        <v>0</v>
      </c>
      <c r="AA69" s="120" t="n">
        <f aca="false">INDEX(AssetLight,1,AA$7-FYBase)/4</f>
        <v>0</v>
      </c>
      <c r="AB69" s="120" t="n">
        <f aca="false">INDEX(AssetLight,1,AB$7-FYBase)/4</f>
        <v>0</v>
      </c>
      <c r="AC69" s="120" t="n">
        <f aca="false">INDEX(AssetLight,1,AC$7-FYBase)/4</f>
        <v>0</v>
      </c>
      <c r="AD69" s="120" t="n">
        <f aca="false">INDEX(AssetLight,1,AD$7-FYBase)/4</f>
        <v>0</v>
      </c>
      <c r="AE69" s="120" t="n">
        <f aca="false">INDEX(AssetLight,1,AE$7-FYBase)/4</f>
        <v>0</v>
      </c>
      <c r="AF69" s="120" t="n">
        <f aca="false">INDEX(AssetLight,1,AF$7-FYBase)/4</f>
        <v>0</v>
      </c>
      <c r="AG69" s="120" t="n">
        <f aca="false">INDEX(AssetLight,1,AG$7-FYBase)/4</f>
        <v>0</v>
      </c>
      <c r="AI69" s="120" t="n">
        <f aca="false">SUMIF($F$7:$AG$7,AI$7,$F69:$AG69)</f>
        <v>0</v>
      </c>
      <c r="AJ69" s="120" t="n">
        <f aca="false">SUMIF($F$7:$AG$7,AJ$7,$F69:$AG69)</f>
        <v>0</v>
      </c>
      <c r="AK69" s="120" t="n">
        <f aca="false">SUMIF($F$7:$AG$7,AK$7,$F69:$AG69)</f>
        <v>0</v>
      </c>
      <c r="AL69" s="120" t="n">
        <f aca="false">SUMIF($F$7:$AG$7,AL$7,$F69:$AG69)</f>
        <v>0</v>
      </c>
      <c r="AM69" s="120" t="n">
        <f aca="false">SUMIF($F$7:$AG$7,AM$7,$F69:$AG69)</f>
        <v>0</v>
      </c>
      <c r="AN69" s="120" t="n">
        <f aca="false">SUMIF($F$7:$AG$7,AN$7,$F69:$AG69)</f>
        <v>0</v>
      </c>
      <c r="AO69" s="120" t="n">
        <f aca="false">SUMIF($F$7:$AG$7,AO$7,$F69:$AG69)</f>
        <v>0</v>
      </c>
    </row>
    <row r="70" customFormat="false" ht="15" hidden="false" customHeight="false" outlineLevel="0" collapsed="false">
      <c r="A70" s="101" t="s">
        <v>1579</v>
      </c>
      <c r="B70" s="18" t="s">
        <v>400</v>
      </c>
      <c r="C70" s="18" t="s">
        <v>336</v>
      </c>
      <c r="D70" s="18"/>
      <c r="F70" s="119" t="n">
        <f aca="false">F26+F27+F50+F51+F65+F69</f>
        <v>71.8043498038371</v>
      </c>
      <c r="G70" s="119" t="n">
        <f aca="false">G26+G27+G50+G51+G65+G69</f>
        <v>71.8043498038371</v>
      </c>
      <c r="H70" s="119" t="n">
        <f aca="false">H26+H27+H50+H51+H65+H69</f>
        <v>72.5934085928903</v>
      </c>
      <c r="I70" s="119" t="n">
        <f aca="false">I26+I27+I50+I51+I65+I69</f>
        <v>79.8538082053127</v>
      </c>
      <c r="J70" s="119" t="n">
        <f aca="false">J26+J27+J50+J51+J65+J69</f>
        <v>119.332040815163</v>
      </c>
      <c r="K70" s="119" t="n">
        <f aca="false">K26+K27+K50+K51+K65+K69</f>
        <v>162.95940042544</v>
      </c>
      <c r="L70" s="119" t="n">
        <f aca="false">L26+L27+L50+L51+L65+L69</f>
        <v>212.809617319735</v>
      </c>
      <c r="M70" s="119" t="n">
        <f aca="false">M26+M27+M50+M51+M65+M69</f>
        <v>371.959623694497</v>
      </c>
      <c r="N70" s="119" t="n">
        <f aca="false">N26+N27+N50+N51+N65+N69</f>
        <v>514.670225250736</v>
      </c>
      <c r="O70" s="119" t="n">
        <f aca="false">O26+O27+O50+O51+O65+O69</f>
        <v>574.9</v>
      </c>
      <c r="P70" s="120" t="n">
        <f aca="false">P26+P27+P50+P51+P65+P69</f>
        <v>646.135373262198</v>
      </c>
      <c r="Q70" s="120" t="n">
        <f aca="false">Q26+Q27+Q50+Q51+Q65+Q69</f>
        <v>780.726003351483</v>
      </c>
      <c r="R70" s="120" t="n">
        <f aca="false">R26+R27+R50+R51+R65+R69</f>
        <v>1023.97730848907</v>
      </c>
      <c r="S70" s="120" t="n">
        <f aca="false">S26+S27+S50+S51+S65+S69</f>
        <v>1500.86624856864</v>
      </c>
      <c r="T70" s="120" t="n">
        <f aca="false">T26+T27+T50+T51+T65+T69</f>
        <v>2069.99054275592</v>
      </c>
      <c r="U70" s="120" t="n">
        <f aca="false">U26+U27+U50+U51+U65+U69</f>
        <v>2693.09227487989</v>
      </c>
      <c r="V70" s="120" t="n">
        <f aca="false">V26+V27+V50+V51+V65+V69</f>
        <v>3677.76375549782</v>
      </c>
      <c r="W70" s="120" t="n">
        <f aca="false">W26+W27+W50+W51+W65+W69</f>
        <v>4558.47358856912</v>
      </c>
      <c r="X70" s="120" t="n">
        <f aca="false">X26+X27+X50+X51+X65+X69</f>
        <v>5171.28241312121</v>
      </c>
      <c r="Y70" s="120" t="n">
        <f aca="false">Y26+Y27+Y50+Y51+Y65+Y69</f>
        <v>5582.32975582955</v>
      </c>
      <c r="Z70" s="120" t="n">
        <f aca="false">Z26+Z27+Z50+Z51+Z65+Z69</f>
        <v>6374.43277325193</v>
      </c>
      <c r="AA70" s="120" t="n">
        <f aca="false">AA26+AA27+AA50+AA51+AA65+AA69</f>
        <v>7162.19356253261</v>
      </c>
      <c r="AB70" s="120" t="n">
        <f aca="false">AB26+AB27+AB50+AB51+AB65+AB69</f>
        <v>7921.09831188775</v>
      </c>
      <c r="AC70" s="120" t="n">
        <f aca="false">AC26+AC27+AC50+AC51+AC65+AC69</f>
        <v>8702.89471767898</v>
      </c>
      <c r="AD70" s="120" t="n">
        <f aca="false">AD26+AD27+AD50+AD51+AD65+AD69</f>
        <v>9723.44925862315</v>
      </c>
      <c r="AE70" s="120" t="n">
        <f aca="false">AE26+AE27+AE50+AE51+AE65+AE69</f>
        <v>10785.3610097873</v>
      </c>
      <c r="AF70" s="120" t="n">
        <f aca="false">AF26+AF27+AF50+AF51+AF65+AF69</f>
        <v>10722.2629037981</v>
      </c>
      <c r="AG70" s="120" t="n">
        <f aca="false">AG26+AG27+AG50+AG51+AG65+AG69</f>
        <v>10837.0638804018</v>
      </c>
      <c r="AI70" s="120" t="n">
        <f aca="false">SUMIF($F$7:$AG$7,AI$7,$F70:$AG70)</f>
        <v>296.055916405877</v>
      </c>
      <c r="AJ70" s="120" t="n">
        <f aca="false">SUMIF($F$7:$AG$7,AJ$7,$F70:$AG70)</f>
        <v>867.060682254835</v>
      </c>
      <c r="AK70" s="120" t="n">
        <f aca="false">SUMIF($F$7:$AG$7,AK$7,$F70:$AG70)</f>
        <v>2516.43160186442</v>
      </c>
      <c r="AL70" s="120" t="n">
        <f aca="false">SUMIF($F$7:$AG$7,AL$7,$F70:$AG70)</f>
        <v>7287.92637469352</v>
      </c>
      <c r="AM70" s="120" t="n">
        <f aca="false">SUMIF($F$7:$AG$7,AM$7,$F70:$AG70)</f>
        <v>18989.8495130177</v>
      </c>
      <c r="AN70" s="120" t="n">
        <f aca="false">SUMIF($F$7:$AG$7,AN$7,$F70:$AG70)</f>
        <v>30160.6193653513</v>
      </c>
      <c r="AO70" s="120" t="n">
        <f aca="false">SUMIF($F$7:$AG$7,AO$7,$F70:$AG70)</f>
        <v>42068.1370526102</v>
      </c>
    </row>
    <row r="71" customFormat="false" ht="15" hidden="false" customHeight="false" outlineLevel="0" collapsed="false">
      <c r="A71" s="101" t="s">
        <v>1580</v>
      </c>
      <c r="B71" s="18" t="s">
        <v>400</v>
      </c>
      <c r="C71" s="18" t="s">
        <v>389</v>
      </c>
      <c r="D71" s="18" t="s">
        <v>1581</v>
      </c>
      <c r="F71" s="119" t="n">
        <f aca="false">IF(F$5&lt;=LastHist,0,JuneExitOn*MAX(0,INDEX(H_ARR,1,LastHist)/4-INDEX($E$70:$AG$70,1,LastHist+2)))</f>
        <v>0</v>
      </c>
      <c r="G71" s="119" t="n">
        <f aca="false">IF(G$5&lt;=LastHist,0,JuneExitOn*MAX(0,INDEX(H_ARR,1,LastHist)/4-INDEX($E$70:$AG$70,1,LastHist+2)))</f>
        <v>0</v>
      </c>
      <c r="H71" s="119" t="n">
        <f aca="false">IF(H$5&lt;=LastHist,0,JuneExitOn*MAX(0,INDEX(H_ARR,1,LastHist)/4-INDEX($E$70:$AG$70,1,LastHist+2)))</f>
        <v>0</v>
      </c>
      <c r="I71" s="119" t="n">
        <f aca="false">IF(I$5&lt;=LastHist,0,JuneExitOn*MAX(0,INDEX(H_ARR,1,LastHist)/4-INDEX($E$70:$AG$70,1,LastHist+2)))</f>
        <v>0</v>
      </c>
      <c r="J71" s="119" t="n">
        <f aca="false">IF(J$5&lt;=LastHist,0,JuneExitOn*MAX(0,INDEX(H_ARR,1,LastHist)/4-INDEX($E$70:$AG$70,1,LastHist+2)))</f>
        <v>0</v>
      </c>
      <c r="K71" s="119" t="n">
        <f aca="false">IF(K$5&lt;=LastHist,0,JuneExitOn*MAX(0,INDEX(H_ARR,1,LastHist)/4-INDEX($E$70:$AG$70,1,LastHist+2)))</f>
        <v>0</v>
      </c>
      <c r="L71" s="119" t="n">
        <f aca="false">IF(L$5&lt;=LastHist,0,JuneExitOn*MAX(0,INDEX(H_ARR,1,LastHist)/4-INDEX($E$70:$AG$70,1,LastHist+2)))</f>
        <v>0</v>
      </c>
      <c r="M71" s="119" t="n">
        <f aca="false">IF(M$5&lt;=LastHist,0,JuneExitOn*MAX(0,INDEX(H_ARR,1,LastHist)/4-INDEX($E$70:$AG$70,1,LastHist+2)))</f>
        <v>0</v>
      </c>
      <c r="N71" s="119" t="n">
        <f aca="false">IF(N$5&lt;=LastHist,0,JuneExitOn*MAX(0,INDEX(H_ARR,1,LastHist)/4-INDEX($E$70:$AG$70,1,LastHist+2)))</f>
        <v>0</v>
      </c>
      <c r="O71" s="119" t="n">
        <f aca="false">IF(O$5&lt;=LastHist,0,JuneExitOn*MAX(0,INDEX(H_ARR,1,LastHist)/4-INDEX($E$70:$AG$70,1,LastHist+2)))</f>
        <v>0</v>
      </c>
      <c r="P71" s="120" t="n">
        <f aca="false">IF(P$5&lt;=LastHist,0,JuneExitOn*MAX(0,INDEX(H_ARR,1,LastHist)/4-INDEX($E$70:$AG$70,1,LastHist+2)))</f>
        <v>0</v>
      </c>
      <c r="Q71" s="120" t="n">
        <f aca="false">IF(Q$5&lt;=LastHist,0,JuneExitOn*MAX(0,INDEX(H_ARR,1,LastHist)/4-INDEX($E$70:$AG$70,1,LastHist+2)))</f>
        <v>0</v>
      </c>
      <c r="R71" s="120" t="n">
        <f aca="false">IF(R$5&lt;=LastHist,0,JuneExitOn*MAX(0,INDEX(H_ARR,1,LastHist)/4-INDEX($E$70:$AG$70,1,LastHist+2)))</f>
        <v>0</v>
      </c>
      <c r="S71" s="120" t="n">
        <f aca="false">IF(S$5&lt;=LastHist,0,JuneExitOn*MAX(0,INDEX(H_ARR,1,LastHist)/4-INDEX($E$70:$AG$70,1,LastHist+2)))</f>
        <v>0</v>
      </c>
      <c r="T71" s="120" t="n">
        <f aca="false">IF(T$5&lt;=LastHist,0,JuneExitOn*MAX(0,INDEX(H_ARR,1,LastHist)/4-INDEX($E$70:$AG$70,1,LastHist+2)))</f>
        <v>0</v>
      </c>
      <c r="U71" s="120" t="n">
        <f aca="false">IF(U$5&lt;=LastHist,0,JuneExitOn*MAX(0,INDEX(H_ARR,1,LastHist)/4-INDEX($E$70:$AG$70,1,LastHist+2)))</f>
        <v>0</v>
      </c>
      <c r="V71" s="120" t="n">
        <f aca="false">IF(V$5&lt;=LastHist,0,JuneExitOn*MAX(0,INDEX(H_ARR,1,LastHist)/4-INDEX($E$70:$AG$70,1,LastHist+2)))</f>
        <v>0</v>
      </c>
      <c r="W71" s="120" t="n">
        <f aca="false">IF(W$5&lt;=LastHist,0,JuneExitOn*MAX(0,INDEX(H_ARR,1,LastHist)/4-INDEX($E$70:$AG$70,1,LastHist+2)))</f>
        <v>0</v>
      </c>
      <c r="X71" s="120" t="n">
        <f aca="false">IF(X$5&lt;=LastHist,0,JuneExitOn*MAX(0,INDEX(H_ARR,1,LastHist)/4-INDEX($E$70:$AG$70,1,LastHist+2)))</f>
        <v>0</v>
      </c>
      <c r="Y71" s="120" t="n">
        <f aca="false">IF(Y$5&lt;=LastHist,0,JuneExitOn*MAX(0,INDEX(H_ARR,1,LastHist)/4-INDEX($E$70:$AG$70,1,LastHist+2)))</f>
        <v>0</v>
      </c>
      <c r="Z71" s="120" t="n">
        <f aca="false">IF(Z$5&lt;=LastHist,0,JuneExitOn*MAX(0,INDEX(H_ARR,1,LastHist)/4-INDEX($E$70:$AG$70,1,LastHist+2)))</f>
        <v>0</v>
      </c>
      <c r="AA71" s="120" t="n">
        <f aca="false">IF(AA$5&lt;=LastHist,0,JuneExitOn*MAX(0,INDEX(H_ARR,1,LastHist)/4-INDEX($E$70:$AG$70,1,LastHist+2)))</f>
        <v>0</v>
      </c>
      <c r="AB71" s="120" t="n">
        <f aca="false">IF(AB$5&lt;=LastHist,0,JuneExitOn*MAX(0,INDEX(H_ARR,1,LastHist)/4-INDEX($E$70:$AG$70,1,LastHist+2)))</f>
        <v>0</v>
      </c>
      <c r="AC71" s="120" t="n">
        <f aca="false">IF(AC$5&lt;=LastHist,0,JuneExitOn*MAX(0,INDEX(H_ARR,1,LastHist)/4-INDEX($E$70:$AG$70,1,LastHist+2)))</f>
        <v>0</v>
      </c>
      <c r="AD71" s="120" t="n">
        <f aca="false">IF(AD$5&lt;=LastHist,0,JuneExitOn*MAX(0,INDEX(H_ARR,1,LastHist)/4-INDEX($E$70:$AG$70,1,LastHist+2)))</f>
        <v>0</v>
      </c>
      <c r="AE71" s="120" t="n">
        <f aca="false">IF(AE$5&lt;=LastHist,0,JuneExitOn*MAX(0,INDEX(H_ARR,1,LastHist)/4-INDEX($E$70:$AG$70,1,LastHist+2)))</f>
        <v>0</v>
      </c>
      <c r="AF71" s="120" t="n">
        <f aca="false">IF(AF$5&lt;=LastHist,0,JuneExitOn*MAX(0,INDEX(H_ARR,1,LastHist)/4-INDEX($E$70:$AG$70,1,LastHist+2)))</f>
        <v>0</v>
      </c>
      <c r="AG71" s="120" t="n">
        <f aca="false">IF(AG$5&lt;=LastHist,0,JuneExitOn*MAX(0,INDEX(H_ARR,1,LastHist)/4-INDEX($E$70:$AG$70,1,LastHist+2)))</f>
        <v>0</v>
      </c>
      <c r="AI71" s="120" t="n">
        <f aca="false">SUMIF($F$7:$AG$7,AI$7,$F71:$AG71)</f>
        <v>0</v>
      </c>
      <c r="AJ71" s="120" t="n">
        <f aca="false">SUMIF($F$7:$AG$7,AJ$7,$F71:$AG71)</f>
        <v>0</v>
      </c>
      <c r="AK71" s="120" t="n">
        <f aca="false">SUMIF($F$7:$AG$7,AK$7,$F71:$AG71)</f>
        <v>0</v>
      </c>
      <c r="AL71" s="120" t="n">
        <f aca="false">SUMIF($F$7:$AG$7,AL$7,$F71:$AG71)</f>
        <v>0</v>
      </c>
      <c r="AM71" s="120" t="n">
        <f aca="false">SUMIF($F$7:$AG$7,AM$7,$F71:$AG71)</f>
        <v>0</v>
      </c>
      <c r="AN71" s="120" t="n">
        <f aca="false">SUMIF($F$7:$AG$7,AN$7,$F71:$AG71)</f>
        <v>0</v>
      </c>
      <c r="AO71" s="120" t="n">
        <f aca="false">SUMIF($F$7:$AG$7,AO$7,$F71:$AG71)</f>
        <v>0</v>
      </c>
    </row>
    <row r="72" customFormat="false" ht="15" hidden="false" customHeight="false" outlineLevel="0" collapsed="false">
      <c r="A72" s="3" t="s">
        <v>1582</v>
      </c>
      <c r="B72" s="18" t="s">
        <v>400</v>
      </c>
      <c r="C72" s="18" t="s">
        <v>336</v>
      </c>
      <c r="D72" s="18"/>
      <c r="F72" s="121" t="n">
        <f aca="false">F70+F71</f>
        <v>71.8043498038371</v>
      </c>
      <c r="G72" s="121" t="n">
        <f aca="false">G70+G71</f>
        <v>71.8043498038371</v>
      </c>
      <c r="H72" s="121" t="n">
        <f aca="false">H70+H71</f>
        <v>72.5934085928903</v>
      </c>
      <c r="I72" s="121" t="n">
        <f aca="false">I70+I71</f>
        <v>79.8538082053127</v>
      </c>
      <c r="J72" s="121" t="n">
        <f aca="false">J70+J71</f>
        <v>119.332040815163</v>
      </c>
      <c r="K72" s="121" t="n">
        <f aca="false">K70+K71</f>
        <v>162.95940042544</v>
      </c>
      <c r="L72" s="121" t="n">
        <f aca="false">L70+L71</f>
        <v>212.809617319735</v>
      </c>
      <c r="M72" s="121" t="n">
        <f aca="false">M70+M71</f>
        <v>371.959623694497</v>
      </c>
      <c r="N72" s="121" t="n">
        <f aca="false">N70+N71</f>
        <v>514.670225250736</v>
      </c>
      <c r="O72" s="121" t="n">
        <f aca="false">O70+O71</f>
        <v>574.9</v>
      </c>
      <c r="P72" s="93" t="n">
        <f aca="false">P70+P71</f>
        <v>646.135373262198</v>
      </c>
      <c r="Q72" s="93" t="n">
        <f aca="false">Q70+Q71</f>
        <v>780.726003351483</v>
      </c>
      <c r="R72" s="93" t="n">
        <f aca="false">R70+R71</f>
        <v>1023.97730848907</v>
      </c>
      <c r="S72" s="93" t="n">
        <f aca="false">S70+S71</f>
        <v>1500.86624856864</v>
      </c>
      <c r="T72" s="93" t="n">
        <f aca="false">T70+T71</f>
        <v>2069.99054275592</v>
      </c>
      <c r="U72" s="93" t="n">
        <f aca="false">U70+U71</f>
        <v>2693.09227487989</v>
      </c>
      <c r="V72" s="93" t="n">
        <f aca="false">V70+V71</f>
        <v>3677.76375549782</v>
      </c>
      <c r="W72" s="93" t="n">
        <f aca="false">W70+W71</f>
        <v>4558.47358856912</v>
      </c>
      <c r="X72" s="93" t="n">
        <f aca="false">X70+X71</f>
        <v>5171.28241312121</v>
      </c>
      <c r="Y72" s="93" t="n">
        <f aca="false">Y70+Y71</f>
        <v>5582.32975582955</v>
      </c>
      <c r="Z72" s="93" t="n">
        <f aca="false">Z70+Z71</f>
        <v>6374.43277325193</v>
      </c>
      <c r="AA72" s="93" t="n">
        <f aca="false">AA70+AA71</f>
        <v>7162.19356253261</v>
      </c>
      <c r="AB72" s="93" t="n">
        <f aca="false">AB70+AB71</f>
        <v>7921.09831188775</v>
      </c>
      <c r="AC72" s="93" t="n">
        <f aca="false">AC70+AC71</f>
        <v>8702.89471767898</v>
      </c>
      <c r="AD72" s="93" t="n">
        <f aca="false">AD70+AD71</f>
        <v>9723.44925862315</v>
      </c>
      <c r="AE72" s="93" t="n">
        <f aca="false">AE70+AE71</f>
        <v>10785.3610097873</v>
      </c>
      <c r="AF72" s="93" t="n">
        <f aca="false">AF70+AF71</f>
        <v>10722.2629037981</v>
      </c>
      <c r="AG72" s="93" t="n">
        <f aca="false">AG70+AG71</f>
        <v>10837.0638804018</v>
      </c>
      <c r="AI72" s="93" t="n">
        <f aca="false">SUMIF($F$7:$AG$7,AI$7,$F72:$AG72)</f>
        <v>296.055916405877</v>
      </c>
      <c r="AJ72" s="93" t="n">
        <f aca="false">SUMIF($F$7:$AG$7,AJ$7,$F72:$AG72)</f>
        <v>867.060682254835</v>
      </c>
      <c r="AK72" s="93" t="n">
        <f aca="false">SUMIF($F$7:$AG$7,AK$7,$F72:$AG72)</f>
        <v>2516.43160186442</v>
      </c>
      <c r="AL72" s="93" t="n">
        <f aca="false">SUMIF($F$7:$AG$7,AL$7,$F72:$AG72)</f>
        <v>7287.92637469352</v>
      </c>
      <c r="AM72" s="93" t="n">
        <f aca="false">SUMIF($F$7:$AG$7,AM$7,$F72:$AG72)</f>
        <v>18989.8495130177</v>
      </c>
      <c r="AN72" s="93" t="n">
        <f aca="false">SUMIF($F$7:$AG$7,AN$7,$F72:$AG72)</f>
        <v>30160.6193653513</v>
      </c>
      <c r="AO72" s="93" t="n">
        <f aca="false">SUMIF($F$7:$AG$7,AO$7,$F72:$AG72)</f>
        <v>42068.1370526102</v>
      </c>
    </row>
    <row r="73" customFormat="false" ht="15" hidden="false" customHeight="false" outlineLevel="0" collapsed="false">
      <c r="A73" s="101" t="s">
        <v>1583</v>
      </c>
      <c r="B73" s="18" t="s">
        <v>400</v>
      </c>
      <c r="C73" s="18" t="s">
        <v>389</v>
      </c>
      <c r="D73" s="18" t="s">
        <v>1584</v>
      </c>
      <c r="F73" s="119" t="n">
        <f aca="false">INDEX(H_Rev,1,1)-INDEX(H_AIRev,1,1)</f>
        <v>1.1</v>
      </c>
      <c r="G73" s="119" t="n">
        <f aca="false">IF(G$5&lt;=LastHist,INDEX(H_Rev,1,G$5)-INDEX(H_AIRev,1,G$5),F73*(1+OthRev_g))</f>
        <v>1.4</v>
      </c>
      <c r="H73" s="119" t="n">
        <f aca="false">IF(H$5&lt;=LastHist,INDEX(H_Rev,1,H$5)-INDEX(H_AIRev,1,H$5),G73*(1+OthRev_g))</f>
        <v>3.2</v>
      </c>
      <c r="I73" s="119" t="n">
        <f aca="false">IF(I$5&lt;=LastHist,INDEX(H_Rev,1,I$5)-INDEX(H_AIRev,1,I$5),H73*(1+OthRev_g))</f>
        <v>3.5</v>
      </c>
      <c r="J73" s="119" t="n">
        <f aca="false">IF(J$5&lt;=LastHist,INDEX(H_Rev,1,J$5)-INDEX(H_AIRev,1,J$5),I73*(1+OthRev_g))</f>
        <v>9.5</v>
      </c>
      <c r="K73" s="119" t="n">
        <f aca="false">IF(K$5&lt;=LastHist,INDEX(H_Rev,1,K$5)-INDEX(H_AIRev,1,K$5),J73*(1+OthRev_g))</f>
        <v>11.5</v>
      </c>
      <c r="L73" s="119" t="n">
        <f aca="false">IF(L$5&lt;=LastHist,INDEX(H_Rev,1,L$5)-INDEX(H_AIRev,1,L$5),K73*(1+OthRev_g))</f>
        <v>7.29999999999998</v>
      </c>
      <c r="M73" s="119" t="n">
        <f aca="false">IF(M$5&lt;=LastHist,INDEX(H_Rev,1,M$5)-INDEX(H_AIRev,1,M$5),L73*(1+OthRev_g))</f>
        <v>13.5</v>
      </c>
      <c r="N73" s="119" t="n">
        <f aca="false">IF(N$5&lt;=LastHist,INDEX(H_Rev,1,N$5)-INDEX(H_AIRev,1,N$5),M73*(1+OthRev_g))</f>
        <v>9.30000000000001</v>
      </c>
      <c r="O73" s="119" t="n">
        <f aca="false">IF(O$5&lt;=LastHist,INDEX(H_Rev,1,O$5)-INDEX(H_AIRev,1,O$5),N73*(1+OthRev_g))</f>
        <v>7.39999999999998</v>
      </c>
      <c r="P73" s="0" t="n">
        <f aca="false">IF(P$5&lt;=LastHist,INDEX(H_Rev,1,P$5)-INDEX(H_AIRev,1,P$5),O73*(1+OthRev_g))</f>
        <v>7.54799999999998</v>
      </c>
      <c r="Q73" s="0" t="n">
        <f aca="false">IF(Q$5&lt;=LastHist,INDEX(H_Rev,1,Q$5)-INDEX(H_AIRev,1,Q$5),P73*(1+OthRev_g))</f>
        <v>7.69895999999998</v>
      </c>
      <c r="R73" s="0" t="n">
        <f aca="false">IF(R$5&lt;=LastHist,INDEX(H_Rev,1,R$5)-INDEX(H_AIRev,1,R$5),Q73*(1+OthRev_g))</f>
        <v>7.85293919999998</v>
      </c>
      <c r="S73" s="0" t="n">
        <f aca="false">IF(S$5&lt;=LastHist,INDEX(H_Rev,1,S$5)-INDEX(H_AIRev,1,S$5),R73*(1+OthRev_g))</f>
        <v>8.00999798399998</v>
      </c>
      <c r="T73" s="0" t="n">
        <f aca="false">IF(T$5&lt;=LastHist,INDEX(H_Rev,1,T$5)-INDEX(H_AIRev,1,T$5),S73*(1+OthRev_g))</f>
        <v>8.17019794367998</v>
      </c>
      <c r="U73" s="0" t="n">
        <f aca="false">IF(U$5&lt;=LastHist,INDEX(H_Rev,1,U$5)-INDEX(H_AIRev,1,U$5),T73*(1+OthRev_g))</f>
        <v>8.33360190255358</v>
      </c>
      <c r="V73" s="0" t="n">
        <f aca="false">IF(V$5&lt;=LastHist,INDEX(H_Rev,1,V$5)-INDEX(H_AIRev,1,V$5),U73*(1+OthRev_g))</f>
        <v>8.50027394060465</v>
      </c>
      <c r="W73" s="0" t="n">
        <f aca="false">IF(W$5&lt;=LastHist,INDEX(H_Rev,1,W$5)-INDEX(H_AIRev,1,W$5),V73*(1+OthRev_g))</f>
        <v>8.67027941941674</v>
      </c>
      <c r="X73" s="0" t="n">
        <f aca="false">IF(X$5&lt;=LastHist,INDEX(H_Rev,1,X$5)-INDEX(H_AIRev,1,X$5),W73*(1+OthRev_g))</f>
        <v>8.84368500780508</v>
      </c>
      <c r="Y73" s="0" t="n">
        <f aca="false">IF(Y$5&lt;=LastHist,INDEX(H_Rev,1,Y$5)-INDEX(H_AIRev,1,Y$5),X73*(1+OthRev_g))</f>
        <v>9.02055870796118</v>
      </c>
      <c r="Z73" s="0" t="n">
        <f aca="false">IF(Z$5&lt;=LastHist,INDEX(H_Rev,1,Z$5)-INDEX(H_AIRev,1,Z$5),Y73*(1+OthRev_g))</f>
        <v>9.2009698821204</v>
      </c>
      <c r="AA73" s="0" t="n">
        <f aca="false">IF(AA$5&lt;=LastHist,INDEX(H_Rev,1,AA$5)-INDEX(H_AIRev,1,AA$5),Z73*(1+OthRev_g))</f>
        <v>9.38498927976281</v>
      </c>
      <c r="AB73" s="0" t="n">
        <f aca="false">IF(AB$5&lt;=LastHist,INDEX(H_Rev,1,AB$5)-INDEX(H_AIRev,1,AB$5),AA73*(1+OthRev_g))</f>
        <v>9.57268906535807</v>
      </c>
      <c r="AC73" s="0" t="n">
        <f aca="false">IF(AC$5&lt;=LastHist,INDEX(H_Rev,1,AC$5)-INDEX(H_AIRev,1,AC$5),AB73*(1+OthRev_g))</f>
        <v>9.76414284666523</v>
      </c>
      <c r="AD73" s="0" t="n">
        <f aca="false">IF(AD$5&lt;=LastHist,INDEX(H_Rev,1,AD$5)-INDEX(H_AIRev,1,AD$5),AC73*(1+OthRev_g))</f>
        <v>9.95942570359853</v>
      </c>
      <c r="AE73" s="0" t="n">
        <f aca="false">IF(AE$5&lt;=LastHist,INDEX(H_Rev,1,AE$5)-INDEX(H_AIRev,1,AE$5),AD73*(1+OthRev_g))</f>
        <v>10.1586142176705</v>
      </c>
      <c r="AF73" s="0" t="n">
        <f aca="false">IF(AF$5&lt;=LastHist,INDEX(H_Rev,1,AF$5)-INDEX(H_AIRev,1,AF$5),AE73*(1+OthRev_g))</f>
        <v>10.3617865020239</v>
      </c>
      <c r="AG73" s="0" t="n">
        <f aca="false">IF(AG$5&lt;=LastHist,INDEX(H_Rev,1,AG$5)-INDEX(H_AIRev,1,AG$5),AF73*(1+OthRev_g))</f>
        <v>10.5690222320644</v>
      </c>
      <c r="AI73" s="120" t="n">
        <f aca="false">SUMIF($F$7:$AG$7,AI$7,$F73:$AG73)</f>
        <v>9.20000000000001</v>
      </c>
      <c r="AJ73" s="120" t="n">
        <f aca="false">SUMIF($F$7:$AG$7,AJ$7,$F73:$AG73)</f>
        <v>41.8</v>
      </c>
      <c r="AK73" s="120" t="n">
        <f aca="false">SUMIF($F$7:$AG$7,AK$7,$F73:$AG73)</f>
        <v>31.9469599999999</v>
      </c>
      <c r="AL73" s="120" t="n">
        <f aca="false">SUMIF($F$7:$AG$7,AL$7,$F73:$AG73)</f>
        <v>32.3667370302335</v>
      </c>
      <c r="AM73" s="120" t="n">
        <f aca="false">SUMIF($F$7:$AG$7,AM$7,$F73:$AG73)</f>
        <v>35.0347970757876</v>
      </c>
      <c r="AN73" s="120" t="n">
        <f aca="false">SUMIF($F$7:$AG$7,AN$7,$F73:$AG73)</f>
        <v>37.9227910739065</v>
      </c>
      <c r="AO73" s="120" t="n">
        <f aca="false">SUMIF($F$7:$AG$7,AO$7,$F73:$AG73)</f>
        <v>41.0488486553574</v>
      </c>
    </row>
    <row r="74" customFormat="false" ht="15" hidden="false" customHeight="false" outlineLevel="0" collapsed="false">
      <c r="A74" s="3" t="s">
        <v>1585</v>
      </c>
      <c r="B74" s="18" t="s">
        <v>400</v>
      </c>
      <c r="C74" s="18" t="s">
        <v>336</v>
      </c>
      <c r="D74" s="18"/>
      <c r="F74" s="121" t="n">
        <f aca="false">F72+F73</f>
        <v>72.9043498038371</v>
      </c>
      <c r="G74" s="121" t="n">
        <f aca="false">G72+G73</f>
        <v>73.2043498038371</v>
      </c>
      <c r="H74" s="121" t="n">
        <f aca="false">H72+H73</f>
        <v>75.7934085928903</v>
      </c>
      <c r="I74" s="121" t="n">
        <f aca="false">I72+I73</f>
        <v>83.3538082053127</v>
      </c>
      <c r="J74" s="121" t="n">
        <f aca="false">J72+J73</f>
        <v>128.832040815163</v>
      </c>
      <c r="K74" s="121" t="n">
        <f aca="false">K72+K73</f>
        <v>174.45940042544</v>
      </c>
      <c r="L74" s="121" t="n">
        <f aca="false">L72+L73</f>
        <v>220.109617319735</v>
      </c>
      <c r="M74" s="121" t="n">
        <f aca="false">M72+M73</f>
        <v>385.459623694497</v>
      </c>
      <c r="N74" s="121" t="n">
        <f aca="false">N72+N73</f>
        <v>523.970225250735</v>
      </c>
      <c r="O74" s="121" t="n">
        <f aca="false">O72+O73</f>
        <v>582.3</v>
      </c>
      <c r="P74" s="93" t="n">
        <f aca="false">P72+P73</f>
        <v>653.683373262198</v>
      </c>
      <c r="Q74" s="93" t="n">
        <f aca="false">Q72+Q73</f>
        <v>788.424963351483</v>
      </c>
      <c r="R74" s="93" t="n">
        <f aca="false">R72+R73</f>
        <v>1031.83024768907</v>
      </c>
      <c r="S74" s="93" t="n">
        <f aca="false">S72+S73</f>
        <v>1508.87624655264</v>
      </c>
      <c r="T74" s="93" t="n">
        <f aca="false">T72+T73</f>
        <v>2078.1607406996</v>
      </c>
      <c r="U74" s="93" t="n">
        <f aca="false">U72+U73</f>
        <v>2701.42587678244</v>
      </c>
      <c r="V74" s="93" t="n">
        <f aca="false">V72+V73</f>
        <v>3686.26402943843</v>
      </c>
      <c r="W74" s="93" t="n">
        <f aca="false">W72+W73</f>
        <v>4567.14386798854</v>
      </c>
      <c r="X74" s="93" t="n">
        <f aca="false">X72+X73</f>
        <v>5180.12609812901</v>
      </c>
      <c r="Y74" s="93" t="n">
        <f aca="false">Y72+Y73</f>
        <v>5591.35031453751</v>
      </c>
      <c r="Z74" s="93" t="n">
        <f aca="false">Z72+Z73</f>
        <v>6383.63374313405</v>
      </c>
      <c r="AA74" s="93" t="n">
        <f aca="false">AA72+AA73</f>
        <v>7171.57855181238</v>
      </c>
      <c r="AB74" s="93" t="n">
        <f aca="false">AB72+AB73</f>
        <v>7930.67100095311</v>
      </c>
      <c r="AC74" s="93" t="n">
        <f aca="false">AC72+AC73</f>
        <v>8712.65886052564</v>
      </c>
      <c r="AD74" s="93" t="n">
        <f aca="false">AD72+AD73</f>
        <v>9733.40868432675</v>
      </c>
      <c r="AE74" s="93" t="n">
        <f aca="false">AE72+AE73</f>
        <v>10795.5196240049</v>
      </c>
      <c r="AF74" s="93" t="n">
        <f aca="false">AF72+AF73</f>
        <v>10732.6246903001</v>
      </c>
      <c r="AG74" s="93" t="n">
        <f aca="false">AG72+AG73</f>
        <v>10847.6329026338</v>
      </c>
      <c r="AI74" s="93" t="n">
        <f aca="false">SUMIF($F$7:$AG$7,AI$7,$F74:$AG74)</f>
        <v>305.255916405877</v>
      </c>
      <c r="AJ74" s="93" t="n">
        <f aca="false">SUMIF($F$7:$AG$7,AJ$7,$F74:$AG74)</f>
        <v>908.860682254835</v>
      </c>
      <c r="AK74" s="93" t="n">
        <f aca="false">SUMIF($F$7:$AG$7,AK$7,$F74:$AG74)</f>
        <v>2548.37856186442</v>
      </c>
      <c r="AL74" s="93" t="n">
        <f aca="false">SUMIF($F$7:$AG$7,AL$7,$F74:$AG74)</f>
        <v>7320.29311172376</v>
      </c>
      <c r="AM74" s="93" t="n">
        <f aca="false">SUMIF($F$7:$AG$7,AM$7,$F74:$AG74)</f>
        <v>19024.8843100935</v>
      </c>
      <c r="AN74" s="93" t="n">
        <f aca="false">SUMIF($F$7:$AG$7,AN$7,$F74:$AG74)</f>
        <v>30198.5421564252</v>
      </c>
      <c r="AO74" s="93" t="n">
        <f aca="false">SUMIF($F$7:$AG$7,AO$7,$F74:$AG74)</f>
        <v>42109.1859012656</v>
      </c>
    </row>
    <row r="75" customFormat="false" ht="15" hidden="false" customHeight="false" outlineLevel="0" collapsed="false">
      <c r="A75" s="3" t="s">
        <v>1586</v>
      </c>
      <c r="B75" s="18" t="s">
        <v>400</v>
      </c>
      <c r="C75" s="18" t="s">
        <v>336</v>
      </c>
      <c r="D75" s="18"/>
      <c r="F75" s="121" t="n">
        <f aca="false">IF(F$5&lt;=LastHist,INDEX(H_Rev,1,F$5),F74)</f>
        <v>11.4</v>
      </c>
      <c r="G75" s="121" t="n">
        <f aca="false">IF(G$5&lt;=LastHist,INDEX(H_Rev,1,G$5),G74)</f>
        <v>14.5</v>
      </c>
      <c r="H75" s="121" t="n">
        <f aca="false">IF(H$5&lt;=LastHist,INDEX(H_Rev,1,H$5),H74)</f>
        <v>32.1</v>
      </c>
      <c r="I75" s="121" t="n">
        <f aca="false">IF(I$5&lt;=LastHist,INDEX(H_Rev,1,I$5),I74)</f>
        <v>35.2</v>
      </c>
      <c r="J75" s="121" t="n">
        <f aca="false">IF(J$5&lt;=LastHist,INDEX(H_Rev,1,J$5),J74)</f>
        <v>50.9</v>
      </c>
      <c r="K75" s="121" t="n">
        <f aca="false">IF(K$5&lt;=LastHist,INDEX(H_Rev,1,K$5),K74)</f>
        <v>105.1</v>
      </c>
      <c r="L75" s="121" t="n">
        <f aca="false">IF(L$5&lt;=LastHist,INDEX(H_Rev,1,L$5),L74)</f>
        <v>146.1</v>
      </c>
      <c r="M75" s="121" t="n">
        <f aca="false">IF(M$5&lt;=LastHist,INDEX(H_Rev,1,M$5),M74)</f>
        <v>227.7</v>
      </c>
      <c r="N75" s="121" t="n">
        <f aca="false">IF(N$5&lt;=LastHist,INDEX(H_Rev,1,N$5),N74)</f>
        <v>399</v>
      </c>
      <c r="O75" s="121" t="n">
        <f aca="false">IF(O$5&lt;=LastHist,INDEX(H_Rev,1,O$5),O74)</f>
        <v>582.3</v>
      </c>
      <c r="P75" s="93" t="n">
        <f aca="false">IF(P$5&lt;=LastHist,INDEX(H_Rev,1,P$5),P74)</f>
        <v>653.683373262198</v>
      </c>
      <c r="Q75" s="93" t="n">
        <f aca="false">IF(Q$5&lt;=LastHist,INDEX(H_Rev,1,Q$5),Q74)</f>
        <v>788.424963351483</v>
      </c>
      <c r="R75" s="93" t="n">
        <f aca="false">IF(R$5&lt;=LastHist,INDEX(H_Rev,1,R$5),R74)</f>
        <v>1031.83024768907</v>
      </c>
      <c r="S75" s="93" t="n">
        <f aca="false">IF(S$5&lt;=LastHist,INDEX(H_Rev,1,S$5),S74)</f>
        <v>1508.87624655264</v>
      </c>
      <c r="T75" s="93" t="n">
        <f aca="false">IF(T$5&lt;=LastHist,INDEX(H_Rev,1,T$5),T74)</f>
        <v>2078.1607406996</v>
      </c>
      <c r="U75" s="93" t="n">
        <f aca="false">IF(U$5&lt;=LastHist,INDEX(H_Rev,1,U$5),U74)</f>
        <v>2701.42587678244</v>
      </c>
      <c r="V75" s="93" t="n">
        <f aca="false">IF(V$5&lt;=LastHist,INDEX(H_Rev,1,V$5),V74)</f>
        <v>3686.26402943843</v>
      </c>
      <c r="W75" s="93" t="n">
        <f aca="false">IF(W$5&lt;=LastHist,INDEX(H_Rev,1,W$5),W74)</f>
        <v>4567.14386798854</v>
      </c>
      <c r="X75" s="93" t="n">
        <f aca="false">IF(X$5&lt;=LastHist,INDEX(H_Rev,1,X$5),X74)</f>
        <v>5180.12609812901</v>
      </c>
      <c r="Y75" s="93" t="n">
        <f aca="false">IF(Y$5&lt;=LastHist,INDEX(H_Rev,1,Y$5),Y74)</f>
        <v>5591.35031453751</v>
      </c>
      <c r="Z75" s="93" t="n">
        <f aca="false">IF(Z$5&lt;=LastHist,INDEX(H_Rev,1,Z$5),Z74)</f>
        <v>6383.63374313405</v>
      </c>
      <c r="AA75" s="93" t="n">
        <f aca="false">IF(AA$5&lt;=LastHist,INDEX(H_Rev,1,AA$5),AA74)</f>
        <v>7171.57855181238</v>
      </c>
      <c r="AB75" s="93" t="n">
        <f aca="false">IF(AB$5&lt;=LastHist,INDEX(H_Rev,1,AB$5),AB74)</f>
        <v>7930.67100095311</v>
      </c>
      <c r="AC75" s="93" t="n">
        <f aca="false">IF(AC$5&lt;=LastHist,INDEX(H_Rev,1,AC$5),AC74)</f>
        <v>8712.65886052564</v>
      </c>
      <c r="AD75" s="93" t="n">
        <f aca="false">IF(AD$5&lt;=LastHist,INDEX(H_Rev,1,AD$5),AD74)</f>
        <v>9733.40868432675</v>
      </c>
      <c r="AE75" s="93" t="n">
        <f aca="false">IF(AE$5&lt;=LastHist,INDEX(H_Rev,1,AE$5),AE74)</f>
        <v>10795.5196240049</v>
      </c>
      <c r="AF75" s="93" t="n">
        <f aca="false">IF(AF$5&lt;=LastHist,INDEX(H_Rev,1,AF$5),AF74)</f>
        <v>10732.6246903001</v>
      </c>
      <c r="AG75" s="93" t="n">
        <f aca="false">IF(AG$5&lt;=LastHist,INDEX(H_Rev,1,AG$5),AG74)</f>
        <v>10847.6329026338</v>
      </c>
      <c r="AI75" s="93" t="n">
        <f aca="false">SUMIF($F$7:$AG$7,AI$7,$F75:$AG75)</f>
        <v>93.2</v>
      </c>
      <c r="AJ75" s="93" t="n">
        <f aca="false">SUMIF($F$7:$AG$7,AJ$7,$F75:$AG75)</f>
        <v>529.8</v>
      </c>
      <c r="AK75" s="93" t="n">
        <f aca="false">SUMIF($F$7:$AG$7,AK$7,$F75:$AG75)</f>
        <v>2423.40833661368</v>
      </c>
      <c r="AL75" s="93" t="n">
        <f aca="false">SUMIF($F$7:$AG$7,AL$7,$F75:$AG75)</f>
        <v>7320.29311172376</v>
      </c>
      <c r="AM75" s="93" t="n">
        <f aca="false">SUMIF($F$7:$AG$7,AM$7,$F75:$AG75)</f>
        <v>19024.8843100935</v>
      </c>
      <c r="AN75" s="93" t="n">
        <f aca="false">SUMIF($F$7:$AG$7,AN$7,$F75:$AG75)</f>
        <v>30198.5421564252</v>
      </c>
      <c r="AO75" s="93" t="n">
        <f aca="false">SUMIF($F$7:$AG$7,AO$7,$F75:$AG75)</f>
        <v>42109.1859012656</v>
      </c>
    </row>
    <row r="76" customFormat="false" ht="15" hidden="false" customHeight="false" outlineLevel="0" collapsed="false">
      <c r="A76" s="101" t="s">
        <v>1587</v>
      </c>
      <c r="B76" s="18" t="s">
        <v>400</v>
      </c>
      <c r="C76" s="18" t="s">
        <v>336</v>
      </c>
      <c r="D76" s="18"/>
      <c r="F76" s="119" t="n">
        <f aca="false">IF(F$5&lt;=LastHist,INDEX(H_AIRev,1,F$5),F72)</f>
        <v>10.3</v>
      </c>
      <c r="G76" s="119" t="n">
        <f aca="false">IF(G$5&lt;=LastHist,INDEX(H_AIRev,1,G$5),G72)</f>
        <v>13.1</v>
      </c>
      <c r="H76" s="119" t="n">
        <f aca="false">IF(H$5&lt;=LastHist,INDEX(H_AIRev,1,H$5),H72)</f>
        <v>28.9</v>
      </c>
      <c r="I76" s="119" t="n">
        <f aca="false">IF(I$5&lt;=LastHist,INDEX(H_AIRev,1,I$5),I72)</f>
        <v>31.7</v>
      </c>
      <c r="J76" s="119" t="n">
        <f aca="false">IF(J$5&lt;=LastHist,INDEX(H_AIRev,1,J$5),J72)</f>
        <v>41.4</v>
      </c>
      <c r="K76" s="119" t="n">
        <f aca="false">IF(K$5&lt;=LastHist,INDEX(H_AIRev,1,K$5),K72)</f>
        <v>93.6</v>
      </c>
      <c r="L76" s="119" t="n">
        <f aca="false">IF(L$5&lt;=LastHist,INDEX(H_AIRev,1,L$5),L72)</f>
        <v>138.8</v>
      </c>
      <c r="M76" s="119" t="n">
        <f aca="false">IF(M$5&lt;=LastHist,INDEX(H_AIRev,1,M$5),M72)</f>
        <v>214.2</v>
      </c>
      <c r="N76" s="119" t="n">
        <f aca="false">IF(N$5&lt;=LastHist,INDEX(H_AIRev,1,N$5),N72)</f>
        <v>389.7</v>
      </c>
      <c r="O76" s="119" t="n">
        <f aca="false">IF(O$5&lt;=LastHist,INDEX(H_AIRev,1,O$5),O72)</f>
        <v>574.9</v>
      </c>
      <c r="P76" s="120" t="n">
        <f aca="false">IF(P$5&lt;=LastHist,INDEX(H_AIRev,1,P$5),P72)</f>
        <v>646.135373262198</v>
      </c>
      <c r="Q76" s="120" t="n">
        <f aca="false">IF(Q$5&lt;=LastHist,INDEX(H_AIRev,1,Q$5),Q72)</f>
        <v>780.726003351483</v>
      </c>
      <c r="R76" s="120" t="n">
        <f aca="false">IF(R$5&lt;=LastHist,INDEX(H_AIRev,1,R$5),R72)</f>
        <v>1023.97730848907</v>
      </c>
      <c r="S76" s="120" t="n">
        <f aca="false">IF(S$5&lt;=LastHist,INDEX(H_AIRev,1,S$5),S72)</f>
        <v>1500.86624856864</v>
      </c>
      <c r="T76" s="120" t="n">
        <f aca="false">IF(T$5&lt;=LastHist,INDEX(H_AIRev,1,T$5),T72)</f>
        <v>2069.99054275592</v>
      </c>
      <c r="U76" s="120" t="n">
        <f aca="false">IF(U$5&lt;=LastHist,INDEX(H_AIRev,1,U$5),U72)</f>
        <v>2693.09227487989</v>
      </c>
      <c r="V76" s="120" t="n">
        <f aca="false">IF(V$5&lt;=LastHist,INDEX(H_AIRev,1,V$5),V72)</f>
        <v>3677.76375549782</v>
      </c>
      <c r="W76" s="120" t="n">
        <f aca="false">IF(W$5&lt;=LastHist,INDEX(H_AIRev,1,W$5),W72)</f>
        <v>4558.47358856912</v>
      </c>
      <c r="X76" s="120" t="n">
        <f aca="false">IF(X$5&lt;=LastHist,INDEX(H_AIRev,1,X$5),X72)</f>
        <v>5171.28241312121</v>
      </c>
      <c r="Y76" s="120" t="n">
        <f aca="false">IF(Y$5&lt;=LastHist,INDEX(H_AIRev,1,Y$5),Y72)</f>
        <v>5582.32975582955</v>
      </c>
      <c r="Z76" s="120" t="n">
        <f aca="false">IF(Z$5&lt;=LastHist,INDEX(H_AIRev,1,Z$5),Z72)</f>
        <v>6374.43277325193</v>
      </c>
      <c r="AA76" s="120" t="n">
        <f aca="false">IF(AA$5&lt;=LastHist,INDEX(H_AIRev,1,AA$5),AA72)</f>
        <v>7162.19356253261</v>
      </c>
      <c r="AB76" s="120" t="n">
        <f aca="false">IF(AB$5&lt;=LastHist,INDEX(H_AIRev,1,AB$5),AB72)</f>
        <v>7921.09831188775</v>
      </c>
      <c r="AC76" s="120" t="n">
        <f aca="false">IF(AC$5&lt;=LastHist,INDEX(H_AIRev,1,AC$5),AC72)</f>
        <v>8702.89471767898</v>
      </c>
      <c r="AD76" s="120" t="n">
        <f aca="false">IF(AD$5&lt;=LastHist,INDEX(H_AIRev,1,AD$5),AD72)</f>
        <v>9723.44925862315</v>
      </c>
      <c r="AE76" s="120" t="n">
        <f aca="false">IF(AE$5&lt;=LastHist,INDEX(H_AIRev,1,AE$5),AE72)</f>
        <v>10785.3610097873</v>
      </c>
      <c r="AF76" s="120" t="n">
        <f aca="false">IF(AF$5&lt;=LastHist,INDEX(H_AIRev,1,AF$5),AF72)</f>
        <v>10722.2629037981</v>
      </c>
      <c r="AG76" s="120" t="n">
        <f aca="false">IF(AG$5&lt;=LastHist,INDEX(H_AIRev,1,AG$5),AG72)</f>
        <v>10837.0638804018</v>
      </c>
      <c r="AI76" s="120" t="n">
        <f aca="false">SUMIF($F$7:$AG$7,AI$7,$F76:$AG76)</f>
        <v>84</v>
      </c>
      <c r="AJ76" s="120" t="n">
        <f aca="false">SUMIF($F$7:$AG$7,AJ$7,$F76:$AG76)</f>
        <v>488</v>
      </c>
      <c r="AK76" s="120" t="n">
        <f aca="false">SUMIF($F$7:$AG$7,AK$7,$F76:$AG76)</f>
        <v>2391.46137661368</v>
      </c>
      <c r="AL76" s="120" t="n">
        <f aca="false">SUMIF($F$7:$AG$7,AL$7,$F76:$AG76)</f>
        <v>7287.92637469352</v>
      </c>
      <c r="AM76" s="120" t="n">
        <f aca="false">SUMIF($F$7:$AG$7,AM$7,$F76:$AG76)</f>
        <v>18989.8495130177</v>
      </c>
      <c r="AN76" s="120" t="n">
        <f aca="false">SUMIF($F$7:$AG$7,AN$7,$F76:$AG76)</f>
        <v>30160.6193653513</v>
      </c>
      <c r="AO76" s="120" t="n">
        <f aca="false">SUMIF($F$7:$AG$7,AO$7,$F76:$AG76)</f>
        <v>42068.1370526102</v>
      </c>
    </row>
    <row r="77" customFormat="false" ht="15" hidden="false" customHeight="false" outlineLevel="0" collapsed="false">
      <c r="A77" s="101" t="s">
        <v>1588</v>
      </c>
      <c r="B77" s="18" t="s">
        <v>388</v>
      </c>
      <c r="C77" s="18" t="s">
        <v>336</v>
      </c>
      <c r="D77" s="18" t="s">
        <v>1589</v>
      </c>
      <c r="F77" s="123" t="n">
        <f aca="false">IF(F$5&lt;=LastHist,F72/INDEX(H_AIRev,1,F$5)-1,"")</f>
        <v>5.97129609745991</v>
      </c>
      <c r="G77" s="123" t="n">
        <f aca="false">IF(G$5&lt;=LastHist,G72/INDEX(H_AIRev,1,G$5)-1,"")</f>
        <v>4.48124807662879</v>
      </c>
      <c r="H77" s="123" t="n">
        <f aca="false">IF(H$5&lt;=LastHist,H72/INDEX(H_AIRev,1,H$5)-1,"")</f>
        <v>1.51188265027302</v>
      </c>
      <c r="I77" s="123" t="n">
        <f aca="false">IF(I$5&lt;=LastHist,I72/INDEX(H_AIRev,1,I$5)-1,"")</f>
        <v>1.51904757745466</v>
      </c>
      <c r="J77" s="123" t="n">
        <f aca="false">IF(J$5&lt;=LastHist,J72/INDEX(H_AIRev,1,J$5)-1,"")</f>
        <v>1.88241644481069</v>
      </c>
      <c r="K77" s="123" t="n">
        <f aca="false">IF(K$5&lt;=LastHist,K72/INDEX(H_AIRev,1,K$5)-1,"")</f>
        <v>0.741019235314533</v>
      </c>
      <c r="L77" s="123" t="n">
        <f aca="false">IF(L$5&lt;=LastHist,L72/INDEX(H_AIRev,1,L$5)-1,"")</f>
        <v>0.533210499421723</v>
      </c>
      <c r="M77" s="123" t="n">
        <f aca="false">IF(M$5&lt;=LastHist,M72/INDEX(H_AIRev,1,M$5)-1,"")</f>
        <v>0.736506179712869</v>
      </c>
      <c r="N77" s="123" t="n">
        <f aca="false">IF(N$5&lt;=LastHist,N72/INDEX(H_AIRev,1,N$5)-1,"")</f>
        <v>0.320683154351387</v>
      </c>
      <c r="O77" s="123" t="n">
        <f aca="false">IF(O$5&lt;=LastHist,O72/INDEX(H_AIRev,1,O$5)-1,"")</f>
        <v>0</v>
      </c>
      <c r="P77" s="124" t="str">
        <f aca="false">IF(P$5&lt;=LastHist,P72/INDEX(H_AIRev,1,P$5)-1,"")</f>
        <v/>
      </c>
      <c r="Q77" s="124" t="str">
        <f aca="false">IF(Q$5&lt;=LastHist,Q72/INDEX(H_AIRev,1,Q$5)-1,"")</f>
        <v/>
      </c>
      <c r="R77" s="124" t="str">
        <f aca="false">IF(R$5&lt;=LastHist,R72/INDEX(H_AIRev,1,R$5)-1,"")</f>
        <v/>
      </c>
      <c r="S77" s="124" t="str">
        <f aca="false">IF(S$5&lt;=LastHist,S72/INDEX(H_AIRev,1,S$5)-1,"")</f>
        <v/>
      </c>
      <c r="T77" s="124" t="str">
        <f aca="false">IF(T$5&lt;=LastHist,T72/INDEX(H_AIRev,1,T$5)-1,"")</f>
        <v/>
      </c>
      <c r="U77" s="124" t="str">
        <f aca="false">IF(U$5&lt;=LastHist,U72/INDEX(H_AIRev,1,U$5)-1,"")</f>
        <v/>
      </c>
      <c r="V77" s="124" t="str">
        <f aca="false">IF(V$5&lt;=LastHist,V72/INDEX(H_AIRev,1,V$5)-1,"")</f>
        <v/>
      </c>
      <c r="W77" s="124" t="str">
        <f aca="false">IF(W$5&lt;=LastHist,W72/INDEX(H_AIRev,1,W$5)-1,"")</f>
        <v/>
      </c>
      <c r="X77" s="124" t="str">
        <f aca="false">IF(X$5&lt;=LastHist,X72/INDEX(H_AIRev,1,X$5)-1,"")</f>
        <v/>
      </c>
      <c r="Y77" s="124" t="str">
        <f aca="false">IF(Y$5&lt;=LastHist,Y72/INDEX(H_AIRev,1,Y$5)-1,"")</f>
        <v/>
      </c>
      <c r="Z77" s="124" t="str">
        <f aca="false">IF(Z$5&lt;=LastHist,Z72/INDEX(H_AIRev,1,Z$5)-1,"")</f>
        <v/>
      </c>
      <c r="AA77" s="124" t="str">
        <f aca="false">IF(AA$5&lt;=LastHist,AA72/INDEX(H_AIRev,1,AA$5)-1,"")</f>
        <v/>
      </c>
      <c r="AB77" s="124" t="str">
        <f aca="false">IF(AB$5&lt;=LastHist,AB72/INDEX(H_AIRev,1,AB$5)-1,"")</f>
        <v/>
      </c>
      <c r="AC77" s="124" t="str">
        <f aca="false">IF(AC$5&lt;=LastHist,AC72/INDEX(H_AIRev,1,AC$5)-1,"")</f>
        <v/>
      </c>
      <c r="AD77" s="124" t="str">
        <f aca="false">IF(AD$5&lt;=LastHist,AD72/INDEX(H_AIRev,1,AD$5)-1,"")</f>
        <v/>
      </c>
      <c r="AE77" s="124" t="str">
        <f aca="false">IF(AE$5&lt;=LastHist,AE72/INDEX(H_AIRev,1,AE$5)-1,"")</f>
        <v/>
      </c>
      <c r="AF77" s="124" t="str">
        <f aca="false">IF(AF$5&lt;=LastHist,AF72/INDEX(H_AIRev,1,AF$5)-1,"")</f>
        <v/>
      </c>
      <c r="AG77" s="124" t="str">
        <f aca="false">IF(AG$5&lt;=LastHist,AG72/INDEX(H_AIRev,1,AG$5)-1,"")</f>
        <v/>
      </c>
    </row>
    <row r="79" customFormat="false" ht="15" hidden="false" customHeight="false" outlineLevel="0" collapsed="false">
      <c r="A79" s="48" t="s">
        <v>1590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</row>
    <row r="80" customFormat="false" ht="15" hidden="false" customHeight="false" outlineLevel="0" collapsed="false">
      <c r="A80" s="101" t="s">
        <v>1591</v>
      </c>
      <c r="B80" s="18" t="s">
        <v>388</v>
      </c>
      <c r="C80" s="18" t="s">
        <v>336</v>
      </c>
      <c r="D80" s="18"/>
      <c r="F80" s="113" t="n">
        <f aca="false">IF(F72&lt;&gt;0,F26/F72,0)</f>
        <v>0</v>
      </c>
      <c r="G80" s="113" t="n">
        <f aca="false">IF(G72&lt;&gt;0,G26/G72,0)</f>
        <v>0</v>
      </c>
      <c r="H80" s="113" t="n">
        <f aca="false">IF(H72&lt;&gt;0,H26/H72,0)</f>
        <v>0</v>
      </c>
      <c r="I80" s="113" t="n">
        <f aca="false">IF(I72&lt;&gt;0,I26/I72,0)</f>
        <v>0</v>
      </c>
      <c r="J80" s="113" t="n">
        <f aca="false">IF(J72&lt;&gt;0,J26/J72,0)</f>
        <v>0</v>
      </c>
      <c r="K80" s="113" t="n">
        <f aca="false">IF(K72&lt;&gt;0,K26/K72,0)</f>
        <v>0</v>
      </c>
      <c r="L80" s="113" t="n">
        <f aca="false">IF(L72&lt;&gt;0,L26/L72,0)</f>
        <v>0</v>
      </c>
      <c r="M80" s="113" t="n">
        <f aca="false">IF(M72&lt;&gt;0,M26/M72,0)</f>
        <v>0.129280571638801</v>
      </c>
      <c r="N80" s="113" t="n">
        <f aca="false">IF(N72&lt;&gt;0,N26/N72,0)</f>
        <v>0.327235296751117</v>
      </c>
      <c r="O80" s="113" t="n">
        <f aca="false">IF(O72&lt;&gt;0,O26/O72,0)</f>
        <v>0.460634941342456</v>
      </c>
      <c r="P80" s="31" t="n">
        <f aca="false">IF(P72&lt;&gt;0,P26/P72,0)</f>
        <v>0.510093513391141</v>
      </c>
      <c r="Q80" s="31" t="n">
        <f aca="false">IF(Q72&lt;&gt;0,Q26/Q72,0)</f>
        <v>0.540992220314541</v>
      </c>
      <c r="R80" s="31" t="n">
        <f aca="false">IF(R72&lt;&gt;0,R26/R72,0)</f>
        <v>0.457779001343783</v>
      </c>
      <c r="S80" s="31" t="n">
        <f aca="false">IF(S72&lt;&gt;0,S26/S72,0)</f>
        <v>0.369587026807655</v>
      </c>
      <c r="T80" s="31" t="n">
        <f aca="false">IF(T72&lt;&gt;0,T26/T72,0)</f>
        <v>0.392951708060222</v>
      </c>
      <c r="U80" s="31" t="n">
        <f aca="false">IF(U72&lt;&gt;0,U26/U72,0)</f>
        <v>0.471734877934034</v>
      </c>
      <c r="V80" s="31" t="n">
        <f aca="false">IF(V72&lt;&gt;0,V26/V72,0)</f>
        <v>0.419061605310947</v>
      </c>
      <c r="W80" s="31" t="n">
        <f aca="false">IF(W72&lt;&gt;0,W26/W72,0)</f>
        <v>0.353995689268987</v>
      </c>
      <c r="X80" s="31" t="n">
        <f aca="false">IF(X72&lt;&gt;0,X26/X72,0)</f>
        <v>0.31204638832054</v>
      </c>
      <c r="Y80" s="31" t="n">
        <f aca="false">IF(Y72&lt;&gt;0,Y26/Y72,0)</f>
        <v>0.28906927225409</v>
      </c>
      <c r="Z80" s="31" t="n">
        <f aca="false">IF(Z72&lt;&gt;0,Z26/Z72,0)</f>
        <v>0.253148798865876</v>
      </c>
      <c r="AA80" s="31" t="n">
        <f aca="false">IF(AA72&lt;&gt;0,AA26/AA72,0)</f>
        <v>0.22530527636695</v>
      </c>
      <c r="AB80" s="31" t="n">
        <f aca="false">IF(AB72&lt;&gt;0,AB26/AB72,0)</f>
        <v>0.203719223832664</v>
      </c>
      <c r="AC80" s="31" t="n">
        <f aca="false">IF(AC72&lt;&gt;0,AC26/AC72,0)</f>
        <v>0.185418766094227</v>
      </c>
      <c r="AD80" s="31" t="n">
        <f aca="false">IF(AD72&lt;&gt;0,AD26/AD72,0)</f>
        <v>0.165957568870833</v>
      </c>
      <c r="AE80" s="31" t="n">
        <f aca="false">IF(AE72&lt;&gt;0,AE26/AE72,0)</f>
        <v>0.149617615816073</v>
      </c>
      <c r="AF80" s="31" t="n">
        <f aca="false">IF(AF72&lt;&gt;0,AF26/AF72,0)</f>
        <v>0.150498081839459</v>
      </c>
      <c r="AG80" s="31" t="n">
        <f aca="false">IF(AG72&lt;&gt;0,AG26/AG72,0)</f>
        <v>0.141122877540166</v>
      </c>
      <c r="AI80" s="31" t="n">
        <f aca="false">IF(AI72&lt;&gt;0,AI26/AI72,0)</f>
        <v>0</v>
      </c>
      <c r="AJ80" s="31" t="n">
        <f aca="false">IF(AJ72&lt;&gt;0,AJ26/AJ72,0)</f>
        <v>0.0554599623324226</v>
      </c>
      <c r="AK80" s="31" t="n">
        <f aca="false">IF(AK72&lt;&gt;0,AK26/AK72,0)</f>
        <v>0.470981785267912</v>
      </c>
      <c r="AL80" s="31" t="n">
        <f aca="false">IF(AL72&lt;&gt;0,AL26/AL72,0)</f>
        <v>0.426361041449727</v>
      </c>
      <c r="AM80" s="31" t="n">
        <f aca="false">IF(AM72&lt;&gt;0,AM26/AM72,0)</f>
        <v>0.33608742286021</v>
      </c>
      <c r="AN80" s="31" t="n">
        <f aca="false">IF(AN72&lt;&gt;0,AN26/AN72,0)</f>
        <v>0.214011520181685</v>
      </c>
      <c r="AO80" s="31" t="n">
        <f aca="false">IF(AO72&lt;&gt;0,AO26/AO72,0)</f>
        <v>0.151430466980796</v>
      </c>
    </row>
    <row r="81" customFormat="false" ht="15" hidden="false" customHeight="false" outlineLevel="0" collapsed="false">
      <c r="A81" s="101" t="s">
        <v>1592</v>
      </c>
      <c r="B81" s="18" t="s">
        <v>388</v>
      </c>
      <c r="C81" s="18" t="s">
        <v>336</v>
      </c>
      <c r="D81" s="18"/>
      <c r="F81" s="113" t="n">
        <f aca="false">IF(F72&lt;&gt;0,F50/F72,0)</f>
        <v>0.816137690326465</v>
      </c>
      <c r="G81" s="113" t="n">
        <f aca="false">IF(G72&lt;&gt;0,G50/G72,0)</f>
        <v>0.816137690326465</v>
      </c>
      <c r="H81" s="113" t="n">
        <f aca="false">IF(H72&lt;&gt;0,H50/H72,0)</f>
        <v>0.816137690326465</v>
      </c>
      <c r="I81" s="113" t="n">
        <f aca="false">IF(I72&lt;&gt;0,I50/I72,0)</f>
        <v>0.816137690326465</v>
      </c>
      <c r="J81" s="113" t="n">
        <f aca="false">IF(J72&lt;&gt;0,J50/J72,0)</f>
        <v>0.85172878620062</v>
      </c>
      <c r="K81" s="113" t="n">
        <f aca="false">IF(K72&lt;&gt;0,K50/K72,0)</f>
        <v>0.85172878620062</v>
      </c>
      <c r="L81" s="113" t="n">
        <f aca="false">IF(L72&lt;&gt;0,L50/L72,0)</f>
        <v>0.851972676508502</v>
      </c>
      <c r="M81" s="113" t="n">
        <f aca="false">IF(M72&lt;&gt;0,M50/M72,0)</f>
        <v>0.742135648240164</v>
      </c>
      <c r="N81" s="113" t="n">
        <f aca="false">IF(N72&lt;&gt;0,N50/N72,0)</f>
        <v>0.586117689737117</v>
      </c>
      <c r="O81" s="113" t="n">
        <f aca="false">IF(O72&lt;&gt;0,O50/O72,0)</f>
        <v>0.469860583066317</v>
      </c>
      <c r="P81" s="31" t="n">
        <f aca="false">IF(P72&lt;&gt;0,P50/P72,0)</f>
        <v>0.424795270275381</v>
      </c>
      <c r="Q81" s="31" t="n">
        <f aca="false">IF(Q72&lt;&gt;0,Q50/Q72,0)</f>
        <v>0.391804801791384</v>
      </c>
      <c r="R81" s="31" t="n">
        <f aca="false">IF(R72&lt;&gt;0,R50/R72,0)</f>
        <v>0.488606621707085</v>
      </c>
      <c r="S81" s="31" t="n">
        <f aca="false">IF(S72&lt;&gt;0,S50/S72,0)</f>
        <v>0.59860511393108</v>
      </c>
      <c r="T81" s="31" t="n">
        <f aca="false">IF(T72&lt;&gt;0,T50/T72,0)</f>
        <v>0.574664940663242</v>
      </c>
      <c r="U81" s="31" t="n">
        <f aca="false">IF(U72&lt;&gt;0,U50/U72,0)</f>
        <v>0.487228441584696</v>
      </c>
      <c r="V81" s="31" t="n">
        <f aca="false">IF(V72&lt;&gt;0,V50/V72,0)</f>
        <v>0.578356816185405</v>
      </c>
      <c r="W81" s="31" t="n">
        <f aca="false">IF(W72&lt;&gt;0,W50/W72,0)</f>
        <v>0.688329957092829</v>
      </c>
      <c r="X81" s="31" t="n">
        <f aca="false">IF(X72&lt;&gt;0,X50/X72,0)</f>
        <v>0.769170807563859</v>
      </c>
      <c r="Y81" s="31" t="n">
        <f aca="false">IF(Y72&lt;&gt;0,Y50/Y72,0)</f>
        <v>0.803452492983877</v>
      </c>
      <c r="Z81" s="31" t="n">
        <f aca="false">IF(Z72&lt;&gt;0,Z50/Z72,0)</f>
        <v>0.844296416603859</v>
      </c>
      <c r="AA81" s="31" t="n">
        <f aca="false">IF(AA72&lt;&gt;0,AA50/AA72,0)</f>
        <v>0.890238805803144</v>
      </c>
      <c r="AB81" s="31" t="n">
        <f aca="false">IF(AB72&lt;&gt;0,AB50/AB72,0)</f>
        <v>0.938824960018046</v>
      </c>
      <c r="AC81" s="31" t="n">
        <f aca="false">IF(AC72&lt;&gt;0,AC50/AC72,0)</f>
        <v>0.964629964713001</v>
      </c>
      <c r="AD81" s="31" t="n">
        <f aca="false">IF(AD72&lt;&gt;0,AD50/AD72,0)</f>
        <v>0.979787338830674</v>
      </c>
      <c r="AE81" s="31" t="n">
        <f aca="false">IF(AE72&lt;&gt;0,AE50/AE72,0)</f>
        <v>1.01239326021948</v>
      </c>
      <c r="AF81" s="31" t="n">
        <f aca="false">IF(AF72&lt;&gt;0,AF50/AF72,0)</f>
        <v>1.01349116048978</v>
      </c>
      <c r="AG81" s="31" t="n">
        <f aca="false">IF(AG72&lt;&gt;0,AG50/AG72,0)</f>
        <v>0.987127930533974</v>
      </c>
      <c r="AI81" s="31" t="n">
        <f aca="false">IF(AI72&lt;&gt;0,AI50/AI72,0)</f>
        <v>0.816137690326465</v>
      </c>
      <c r="AJ81" s="31" t="n">
        <f aca="false">IF(AJ72&lt;&gt;0,AJ50/AJ72,0)</f>
        <v>0.804774379219199</v>
      </c>
      <c r="AK81" s="31" t="n">
        <f aca="false">IF(AK72&lt;&gt;0,AK50/AK72,0)</f>
        <v>0.457849766020881</v>
      </c>
      <c r="AL81" s="31" t="n">
        <f aca="false">IF(AL72&lt;&gt;0,AL50/AL72,0)</f>
        <v>0.535193448609605</v>
      </c>
      <c r="AM81" s="31" t="n">
        <f aca="false">IF(AM72&lt;&gt;0,AM50/AM72,0)</f>
        <v>0.722887766190595</v>
      </c>
      <c r="AN81" s="31" t="n">
        <f aca="false">IF(AN72&lt;&gt;0,AN50/AN72,0)</f>
        <v>0.914754796264116</v>
      </c>
      <c r="AO81" s="31" t="n">
        <f aca="false">IF(AO72&lt;&gt;0,AO50/AO72,0)</f>
        <v>0.998628161996768</v>
      </c>
    </row>
    <row r="82" customFormat="false" ht="15" hidden="false" customHeight="false" outlineLevel="0" collapsed="false">
      <c r="A82" s="101" t="s">
        <v>1593</v>
      </c>
      <c r="B82" s="18" t="s">
        <v>388</v>
      </c>
      <c r="C82" s="18" t="s">
        <v>336</v>
      </c>
      <c r="D82" s="18"/>
      <c r="F82" s="113" t="n">
        <f aca="false">IF(F72&lt;&gt;0,F51/F72,0)</f>
        <v>0.183862309673535</v>
      </c>
      <c r="G82" s="113" t="n">
        <f aca="false">IF(G72&lt;&gt;0,G51/G72,0)</f>
        <v>0.183862309673535</v>
      </c>
      <c r="H82" s="113" t="n">
        <f aca="false">IF(H72&lt;&gt;0,H51/H72,0)</f>
        <v>0.183862309673535</v>
      </c>
      <c r="I82" s="113" t="n">
        <f aca="false">IF(I72&lt;&gt;0,I51/I72,0)</f>
        <v>0.183862309673535</v>
      </c>
      <c r="J82" s="113" t="n">
        <f aca="false">IF(J72&lt;&gt;0,J51/J72,0)</f>
        <v>0.14827121379938</v>
      </c>
      <c r="K82" s="113" t="n">
        <f aca="false">IF(K72&lt;&gt;0,K51/K72,0)</f>
        <v>0.14827121379938</v>
      </c>
      <c r="L82" s="113" t="n">
        <f aca="false">IF(L72&lt;&gt;0,L51/L72,0)</f>
        <v>0.148027323491498</v>
      </c>
      <c r="M82" s="113" t="n">
        <f aca="false">IF(M72&lt;&gt;0,M51/M72,0)</f>
        <v>0.128583780121035</v>
      </c>
      <c r="N82" s="113" t="n">
        <f aca="false">IF(N72&lt;&gt;0,N51/N72,0)</f>
        <v>0.0866470135117657</v>
      </c>
      <c r="O82" s="113" t="n">
        <f aca="false">IF(O72&lt;&gt;0,O51/O72,0)</f>
        <v>0.069504475591227</v>
      </c>
      <c r="P82" s="31" t="n">
        <f aca="false">IF(P72&lt;&gt;0,P51/P72,0)</f>
        <v>0.0651112163334779</v>
      </c>
      <c r="Q82" s="31" t="n">
        <f aca="false">IF(Q72&lt;&gt;0,Q51/Q72,0)</f>
        <v>0.0672029778940752</v>
      </c>
      <c r="R82" s="31" t="n">
        <f aca="false">IF(R72&lt;&gt;0,R51/R72,0)</f>
        <v>0.0798879989826112</v>
      </c>
      <c r="S82" s="31" t="n">
        <f aca="false">IF(S72&lt;&gt;0,S51/S72,0)</f>
        <v>0.0938658185230541</v>
      </c>
      <c r="T82" s="31" t="n">
        <f aca="false">IF(T72&lt;&gt;0,T51/T72,0)</f>
        <v>0.088987145692186</v>
      </c>
      <c r="U82" s="31" t="n">
        <f aca="false">IF(U72&lt;&gt;0,U51/U72,0)</f>
        <v>0.0750853175020048</v>
      </c>
      <c r="V82" s="31" t="n">
        <f aca="false">IF(V72&lt;&gt;0,V51/V72,0)</f>
        <v>0.0926637596607672</v>
      </c>
      <c r="W82" s="31" t="n">
        <f aca="false">IF(W72&lt;&gt;0,W51/W72,0)</f>
        <v>0.110122386448614</v>
      </c>
      <c r="X82" s="31" t="n">
        <f aca="false">IF(X72&lt;&gt;0,X51/X72,0)</f>
        <v>0.122948756123682</v>
      </c>
      <c r="Y82" s="31" t="n">
        <f aca="false">IF(Y72&lt;&gt;0,Y51/Y72,0)</f>
        <v>0.12837637249332</v>
      </c>
      <c r="Z82" s="31" t="n">
        <f aca="false">IF(Z72&lt;&gt;0,Z51/Z72,0)</f>
        <v>0.134850299010785</v>
      </c>
      <c r="AA82" s="31" t="n">
        <f aca="false">IF(AA72&lt;&gt;0,AA51/AA72,0)</f>
        <v>0.142153140685552</v>
      </c>
      <c r="AB82" s="31" t="n">
        <f aca="false">IF(AB72&lt;&gt;0,AB51/AB72,0)</f>
        <v>0.149864657741524</v>
      </c>
      <c r="AC82" s="31" t="n">
        <f aca="false">IF(AC72&lt;&gt;0,AC51/AC72,0)</f>
        <v>0.15394819701546</v>
      </c>
      <c r="AD82" s="31" t="n">
        <f aca="false">IF(AD72&lt;&gt;0,AD51/AD72,0)</f>
        <v>0.156330010602216</v>
      </c>
      <c r="AE82" s="31" t="n">
        <f aca="false">IF(AE72&lt;&gt;0,AE51/AE72,0)</f>
        <v>0.161504121784657</v>
      </c>
      <c r="AF82" s="31" t="n">
        <f aca="false">IF(AF72&lt;&gt;0,AF51/AF72,0)</f>
        <v>0.161678831092589</v>
      </c>
      <c r="AG82" s="31" t="n">
        <f aca="false">IF(AG72&lt;&gt;0,AG51/AG72,0)</f>
        <v>0.157472779989278</v>
      </c>
      <c r="AI82" s="31" t="n">
        <f aca="false">IF(AI72&lt;&gt;0,AI51/AI72,0)</f>
        <v>0.183862309673535</v>
      </c>
      <c r="AJ82" s="31" t="n">
        <f aca="false">IF(AJ72&lt;&gt;0,AJ51/AJ72,0)</f>
        <v>0.139765658448378</v>
      </c>
      <c r="AK82" s="31" t="n">
        <f aca="false">IF(AK72&lt;&gt;0,AK51/AK72,0)</f>
        <v>0.0711684487112066</v>
      </c>
      <c r="AL82" s="31" t="n">
        <f aca="false">IF(AL72&lt;&gt;0,AL51/AL72,0)</f>
        <v>0.0835762800431897</v>
      </c>
      <c r="AM82" s="31" t="n">
        <f aca="false">IF(AM72&lt;&gt;0,AM51/AM72,0)</f>
        <v>0.115600041471226</v>
      </c>
      <c r="AN82" s="31" t="n">
        <f aca="false">IF(AN72&lt;&gt;0,AN51/AN72,0)</f>
        <v>0.146038450315087</v>
      </c>
      <c r="AO82" s="31" t="n">
        <f aca="false">IF(AO72&lt;&gt;0,AO51/AO72,0)</f>
        <v>0.159314225976944</v>
      </c>
    </row>
    <row r="83" customFormat="false" ht="15" hidden="false" customHeight="false" outlineLevel="0" collapsed="false">
      <c r="A83" s="101" t="s">
        <v>1594</v>
      </c>
      <c r="B83" s="18" t="s">
        <v>388</v>
      </c>
      <c r="C83" s="18" t="s">
        <v>336</v>
      </c>
      <c r="D83" s="18"/>
      <c r="F83" s="113" t="n">
        <f aca="false">IF(F72&lt;&gt;0,F27/F72,0)</f>
        <v>0</v>
      </c>
      <c r="G83" s="113" t="n">
        <f aca="false">IF(G72&lt;&gt;0,G27/G72,0)</f>
        <v>0</v>
      </c>
      <c r="H83" s="113" t="n">
        <f aca="false">IF(H72&lt;&gt;0,H27/H72,0)</f>
        <v>0</v>
      </c>
      <c r="I83" s="113" t="n">
        <f aca="false">IF(I72&lt;&gt;0,I27/I72,0)</f>
        <v>0</v>
      </c>
      <c r="J83" s="113" t="n">
        <f aca="false">IF(J72&lt;&gt;0,J27/J72,0)</f>
        <v>0</v>
      </c>
      <c r="K83" s="113" t="n">
        <f aca="false">IF(K72&lt;&gt;0,K27/K72,0)</f>
        <v>0</v>
      </c>
      <c r="L83" s="113" t="n">
        <f aca="false">IF(L72&lt;&gt;0,L27/L72,0)</f>
        <v>0</v>
      </c>
      <c r="M83" s="113" t="n">
        <f aca="false">IF(M72&lt;&gt;0,M27/M72,0)</f>
        <v>0</v>
      </c>
      <c r="N83" s="113" t="n">
        <f aca="false">IF(N72&lt;&gt;0,N27/N72,0)</f>
        <v>0</v>
      </c>
      <c r="O83" s="113" t="n">
        <f aca="false">IF(O72&lt;&gt;0,O27/O72,0)</f>
        <v>0</v>
      </c>
      <c r="P83" s="31" t="n">
        <f aca="false">IF(P72&lt;&gt;0,P27/P72,0)</f>
        <v>0</v>
      </c>
      <c r="Q83" s="31" t="n">
        <f aca="false">IF(Q72&lt;&gt;0,Q27/Q72,0)</f>
        <v>0</v>
      </c>
      <c r="R83" s="31" t="n">
        <f aca="false">IF(R72&lt;&gt;0,R27/R72,0)</f>
        <v>0</v>
      </c>
      <c r="S83" s="31" t="n">
        <f aca="false">IF(S72&lt;&gt;0,S27/S72,0)</f>
        <v>0</v>
      </c>
      <c r="T83" s="31" t="n">
        <f aca="false">IF(T72&lt;&gt;0,T27/T72,0)</f>
        <v>0</v>
      </c>
      <c r="U83" s="31" t="n">
        <f aca="false">IF(U72&lt;&gt;0,U27/U72,0)</f>
        <v>0</v>
      </c>
      <c r="V83" s="31" t="n">
        <f aca="false">IF(V72&lt;&gt;0,V27/V72,0)</f>
        <v>0</v>
      </c>
      <c r="W83" s="31" t="n">
        <f aca="false">IF(W72&lt;&gt;0,W27/W72,0)</f>
        <v>0</v>
      </c>
      <c r="X83" s="31" t="n">
        <f aca="false">IF(X72&lt;&gt;0,X27/X72,0)</f>
        <v>0</v>
      </c>
      <c r="Y83" s="31" t="n">
        <f aca="false">IF(Y72&lt;&gt;0,Y27/Y72,0)</f>
        <v>0</v>
      </c>
      <c r="Z83" s="31" t="n">
        <f aca="false">IF(Z72&lt;&gt;0,Z27/Z72,0)</f>
        <v>0</v>
      </c>
      <c r="AA83" s="31" t="n">
        <f aca="false">IF(AA72&lt;&gt;0,AA27/AA72,0)</f>
        <v>0</v>
      </c>
      <c r="AB83" s="31" t="n">
        <f aca="false">IF(AB72&lt;&gt;0,AB27/AB72,0)</f>
        <v>0</v>
      </c>
      <c r="AC83" s="31" t="n">
        <f aca="false">IF(AC72&lt;&gt;0,AC27/AC72,0)</f>
        <v>0</v>
      </c>
      <c r="AD83" s="31" t="n">
        <f aca="false">IF(AD72&lt;&gt;0,AD27/AD72,0)</f>
        <v>0</v>
      </c>
      <c r="AE83" s="31" t="n">
        <f aca="false">IF(AE72&lt;&gt;0,AE27/AE72,0)</f>
        <v>0</v>
      </c>
      <c r="AF83" s="31" t="n">
        <f aca="false">IF(AF72&lt;&gt;0,AF27/AF72,0)</f>
        <v>0</v>
      </c>
      <c r="AG83" s="31" t="n">
        <f aca="false">IF(AG72&lt;&gt;0,AG27/AG72,0)</f>
        <v>0.0189990623706526</v>
      </c>
      <c r="AI83" s="31" t="n">
        <f aca="false">IF(AI72&lt;&gt;0,AI27/AI72,0)</f>
        <v>0</v>
      </c>
      <c r="AJ83" s="31" t="n">
        <f aca="false">IF(AJ72&lt;&gt;0,AJ27/AJ72,0)</f>
        <v>0</v>
      </c>
      <c r="AK83" s="31" t="n">
        <f aca="false">IF(AK72&lt;&gt;0,AK27/AK72,0)</f>
        <v>0</v>
      </c>
      <c r="AL83" s="31" t="n">
        <f aca="false">IF(AL72&lt;&gt;0,AL27/AL72,0)</f>
        <v>0</v>
      </c>
      <c r="AM83" s="31" t="n">
        <f aca="false">IF(AM72&lt;&gt;0,AM27/AM72,0)</f>
        <v>0</v>
      </c>
      <c r="AN83" s="31" t="n">
        <f aca="false">IF(AN72&lt;&gt;0,AN27/AN72,0)</f>
        <v>0</v>
      </c>
      <c r="AO83" s="31" t="n">
        <f aca="false">IF(AO72&lt;&gt;0,AO27/AO72,0)</f>
        <v>0.00489429927265402</v>
      </c>
    </row>
    <row r="84" customFormat="false" ht="15" hidden="false" customHeight="false" outlineLevel="0" collapsed="false">
      <c r="A84" s="101" t="s">
        <v>1595</v>
      </c>
      <c r="B84" s="18" t="s">
        <v>400</v>
      </c>
      <c r="C84" s="18" t="s">
        <v>336</v>
      </c>
      <c r="D84" s="18" t="s">
        <v>1596</v>
      </c>
      <c r="F84" s="119" t="n">
        <f aca="false">F50+F51</f>
        <v>71.8043498038371</v>
      </c>
      <c r="G84" s="119" t="n">
        <f aca="false">G50+G51</f>
        <v>71.8043498038371</v>
      </c>
      <c r="H84" s="119" t="n">
        <f aca="false">H50+H51</f>
        <v>72.5934085928903</v>
      </c>
      <c r="I84" s="119" t="n">
        <f aca="false">I50+I51</f>
        <v>79.8538082053127</v>
      </c>
      <c r="J84" s="119" t="n">
        <f aca="false">J50+J51</f>
        <v>119.332040815163</v>
      </c>
      <c r="K84" s="119" t="n">
        <f aca="false">K50+K51</f>
        <v>162.95940042544</v>
      </c>
      <c r="L84" s="119" t="n">
        <f aca="false">L50+L51</f>
        <v>212.809617319735</v>
      </c>
      <c r="M84" s="119" t="n">
        <f aca="false">M50+M51</f>
        <v>323.872470916719</v>
      </c>
      <c r="N84" s="119" t="n">
        <f aca="false">N50+N51</f>
        <v>346.251961361847</v>
      </c>
      <c r="O84" s="119" t="n">
        <f aca="false">O50+O51</f>
        <v>310.080972222222</v>
      </c>
      <c r="P84" s="120" t="n">
        <f aca="false">P50+P51</f>
        <v>316.545910588587</v>
      </c>
      <c r="Q84" s="120" t="n">
        <f aca="false">Q50+Q51</f>
        <v>358.359309341066</v>
      </c>
      <c r="R84" s="120" t="n">
        <f aca="false">R50+R51</f>
        <v>582.125591584348</v>
      </c>
      <c r="S84" s="120" t="n">
        <f aca="false">S50+S51</f>
        <v>1039.30625063527</v>
      </c>
      <c r="T84" s="120" t="n">
        <f aca="false">T50+T51</f>
        <v>1373.75354243597</v>
      </c>
      <c r="U84" s="120" t="n">
        <f aca="false">U50+U51</f>
        <v>1514.36284065507</v>
      </c>
      <c r="V84" s="120" t="n">
        <f aca="false">V50+V51</f>
        <v>2467.85515304033</v>
      </c>
      <c r="W84" s="120" t="n">
        <f aca="false">W50+W51</f>
        <v>3639.72391976479</v>
      </c>
      <c r="X84" s="120" t="n">
        <f aca="false">X50+X51</f>
        <v>4613.40221009874</v>
      </c>
      <c r="Y84" s="120" t="n">
        <f aca="false">Y50+Y51</f>
        <v>5201.77600309424</v>
      </c>
      <c r="Z84" s="120" t="n">
        <f aca="false">Z50+Z51</f>
        <v>6241.50491383597</v>
      </c>
      <c r="AA84" s="120" t="n">
        <f aca="false">AA50+AA51</f>
        <v>7394.19095315185</v>
      </c>
      <c r="AB84" s="120" t="n">
        <f aca="false">AB50+AB51</f>
        <v>8623.61749340505</v>
      </c>
      <c r="AC84" s="120" t="n">
        <f aca="false">AC50+AC51</f>
        <v>9734.86797501768</v>
      </c>
      <c r="AD84" s="120" t="n">
        <f aca="false">AD50+AD51</f>
        <v>11046.9793990521</v>
      </c>
      <c r="AE84" s="120" t="n">
        <f aca="false">AE50+AE51</f>
        <v>12660.9070533587</v>
      </c>
      <c r="AF84" s="120" t="n">
        <f aca="false">AF50+AF51</f>
        <v>12600.4816064003</v>
      </c>
      <c r="AG84" s="120" t="n">
        <f aca="false">AG50+AG51</f>
        <v>12404.1110174937</v>
      </c>
      <c r="AI84" s="120" t="n">
        <f aca="false">SUMIF($F$7:$AG$7,AI$7,$F84:$AG84)</f>
        <v>296.055916405877</v>
      </c>
      <c r="AJ84" s="120" t="n">
        <f aca="false">SUMIF($F$7:$AG$7,AJ$7,$F84:$AG84)</f>
        <v>818.973529477057</v>
      </c>
      <c r="AK84" s="120" t="n">
        <f aca="false">SUMIF($F$7:$AG$7,AK$7,$F84:$AG84)</f>
        <v>1331.23815351372</v>
      </c>
      <c r="AL84" s="120" t="n">
        <f aca="false">SUMIF($F$7:$AG$7,AL$7,$F84:$AG84)</f>
        <v>4509.54822531065</v>
      </c>
      <c r="AM84" s="120" t="n">
        <f aca="false">SUMIF($F$7:$AG$7,AM$7,$F84:$AG84)</f>
        <v>15922.7572859981</v>
      </c>
      <c r="AN84" s="120" t="n">
        <f aca="false">SUMIF($F$7:$AG$7,AN$7,$F84:$AG84)</f>
        <v>31994.1813354106</v>
      </c>
      <c r="AO84" s="120" t="n">
        <f aca="false">SUMIF($F$7:$AG$7,AO$7,$F84:$AG84)</f>
        <v>48712.4790763049</v>
      </c>
    </row>
    <row r="86" customFormat="false" ht="15" hidden="false" customHeight="false" outlineLevel="0" collapsed="false">
      <c r="A86" s="48" t="s">
        <v>1597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</row>
    <row r="87" customFormat="false" ht="15" hidden="false" customHeight="false" outlineLevel="0" collapsed="false">
      <c r="A87" s="0" t="s">
        <v>1598</v>
      </c>
      <c r="D87" s="18" t="s">
        <v>1599</v>
      </c>
      <c r="E87" s="5" t="n">
        <f aca="false">INDEX(H_ARR,1,LastHist)</f>
        <v>3000</v>
      </c>
    </row>
    <row r="88" customFormat="false" ht="15" hidden="false" customHeight="false" outlineLevel="0" collapsed="false">
      <c r="A88" s="0" t="s">
        <v>1600</v>
      </c>
      <c r="D88" s="18" t="s">
        <v>1601</v>
      </c>
      <c r="E88" s="5" t="n">
        <f aca="false">4*((Contracts!O35+Contracts!P35+Contracts!O40+Contracts!P40)/2+Contracts!O148)</f>
        <v>1155.90333333333</v>
      </c>
    </row>
    <row r="89" customFormat="false" ht="15" hidden="false" customHeight="false" outlineLevel="0" collapsed="false">
      <c r="A89" s="0" t="s">
        <v>1602</v>
      </c>
      <c r="D89" s="18" t="s">
        <v>1603</v>
      </c>
      <c r="E89" s="5" t="n">
        <f aca="false">4*(O50+O51+O43*O49*(ODp_H/ODq_H-1))*(O30+O31+O32)/(O33+O34+O35)</f>
        <v>1246.9615565192</v>
      </c>
    </row>
    <row r="90" customFormat="false" ht="15" hidden="false" customHeight="false" outlineLevel="0" collapsed="false">
      <c r="A90" s="0" t="s">
        <v>1604</v>
      </c>
      <c r="D90" s="18"/>
      <c r="E90" s="5" t="n">
        <f aca="false">ARR_RRa+ARR_RRbc</f>
        <v>2402.86488985253</v>
      </c>
    </row>
    <row r="91" customFormat="false" ht="15" hidden="false" customHeight="false" outlineLevel="0" collapsed="false">
      <c r="A91" s="0" t="s">
        <v>1605</v>
      </c>
      <c r="D91" s="18"/>
      <c r="E91" s="57" t="n">
        <f aca="false">ARR_RR/INDEX(MW_En,1,LastHist)</f>
        <v>13.8893924268932</v>
      </c>
    </row>
    <row r="92" customFormat="false" ht="15" hidden="false" customHeight="false" outlineLevel="0" collapsed="false">
      <c r="A92" s="0" t="s">
        <v>1606</v>
      </c>
      <c r="D92" s="18" t="s">
        <v>1607</v>
      </c>
      <c r="E92" s="5" t="n">
        <f aca="false">ARR_Rep-ARR_RR</f>
        <v>597.13511014747</v>
      </c>
    </row>
    <row r="93" customFormat="false" ht="15" hidden="false" customHeight="false" outlineLevel="0" collapsed="false">
      <c r="A93" s="0" t="s">
        <v>1608</v>
      </c>
      <c r="D93" s="18" t="s">
        <v>1609</v>
      </c>
      <c r="E93" s="5" t="n">
        <f aca="false">IFERROR(ARR_Res/ARR_RRMW,0)</f>
        <v>42.9921692608577</v>
      </c>
    </row>
    <row r="94" customFormat="false" ht="15" hidden="false" customHeight="false" outlineLevel="0" collapsed="false">
      <c r="A94" s="0" t="s">
        <v>1610</v>
      </c>
      <c r="D94" s="18"/>
      <c r="E94" s="5" t="n">
        <f aca="false">ARR_Rep/12</f>
        <v>250</v>
      </c>
    </row>
    <row r="95" customFormat="false" ht="15" hidden="false" customHeight="false" outlineLevel="0" collapsed="false">
      <c r="A95" s="0" t="s">
        <v>1611</v>
      </c>
      <c r="D95" s="18"/>
      <c r="E95" s="5" t="n">
        <f aca="false">INDEX(H_AIRev,1,LastHist)/3</f>
        <v>191.633333333333</v>
      </c>
    </row>
    <row r="96" customFormat="false" ht="15" hidden="false" customHeight="false" outlineLevel="0" collapsed="false">
      <c r="A96" s="0" t="s">
        <v>1612</v>
      </c>
      <c r="D96" s="18" t="s">
        <v>1613</v>
      </c>
      <c r="E96" s="5" t="n">
        <f aca="false">ARR_JunMo-MarMo</f>
        <v>88</v>
      </c>
    </row>
    <row r="97" customFormat="false" ht="15" hidden="false" customHeight="false" outlineLevel="0" collapsed="false">
      <c r="A97" s="0" t="s">
        <v>1614</v>
      </c>
      <c r="D97" s="18" t="s">
        <v>1615</v>
      </c>
      <c r="E97" s="5" t="n">
        <f aca="false">ARR_Step*12/ACV_2026</f>
        <v>88</v>
      </c>
    </row>
    <row r="98" customFormat="false" ht="15" hidden="false" customHeight="false" outlineLevel="0" collapsed="false">
      <c r="A98" s="0" t="s">
        <v>1616</v>
      </c>
      <c r="D98" s="18" t="s">
        <v>1617</v>
      </c>
      <c r="E98" s="5" t="n">
        <f aca="false">ARR_Rep-INDEX(MW_En,1,LastHist)*ARR_RRMW_Hi</f>
        <v>664.5</v>
      </c>
    </row>
    <row r="99" customFormat="false" ht="15" hidden="false" customHeight="false" outlineLevel="0" collapsed="false">
      <c r="A99" s="0" t="s">
        <v>1618</v>
      </c>
      <c r="D99" s="18"/>
      <c r="E99" s="5" t="n">
        <f aca="false">ARR_Rep-INDEX(MW_En,1,LastHist)*ARR_RRMW_Lo</f>
        <v>699.1</v>
      </c>
    </row>
    <row r="100" customFormat="false" ht="15" hidden="false" customHeight="false" outlineLevel="0" collapsed="false">
      <c r="A100" s="0" t="s">
        <v>1619</v>
      </c>
      <c r="D100" s="18"/>
      <c r="E100" s="5" t="n">
        <f aca="false">ARR_Res/ARR_RRMW_Hi</f>
        <v>44.2322303812941</v>
      </c>
    </row>
    <row r="101" customFormat="false" ht="15" hidden="false" customHeight="false" outlineLevel="0" collapsed="false">
      <c r="A101" s="0" t="s">
        <v>1620</v>
      </c>
      <c r="D101" s="18" t="s">
        <v>1621</v>
      </c>
      <c r="E101" s="5" t="n">
        <f aca="false">ARR_Res/ARR_RRMW_Lo</f>
        <v>44.8973767028173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1622</v>
      </c>
    </row>
    <row r="2" customFormat="false" ht="15" hidden="false" customHeight="false" outlineLevel="0" collapsed="false">
      <c r="A2" s="18" t="s">
        <v>1623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1624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0" t="s">
        <v>1625</v>
      </c>
      <c r="F11" s="53" t="n">
        <f aca="false">4*IF(LifeOverride=0,Life_H,LifeOverride)</f>
        <v>20</v>
      </c>
      <c r="G11" s="0" t="s">
        <v>1626</v>
      </c>
      <c r="K11" s="53" t="n">
        <f aca="false">IF(ImpQ_H=0,999,ImpQ_H)</f>
        <v>999</v>
      </c>
    </row>
    <row r="12" customFormat="false" ht="15" hidden="false" customHeight="false" outlineLevel="0" collapsed="false">
      <c r="A12" s="0" t="s">
        <v>1627</v>
      </c>
      <c r="F12" s="53" t="n">
        <f aca="false">4*IF(LifeOverride=0,Life_B,LifeOverride)</f>
        <v>20</v>
      </c>
      <c r="G12" s="0" t="s">
        <v>1626</v>
      </c>
      <c r="K12" s="53" t="n">
        <f aca="false">IF(ImpQ_B=0,999,ImpQ_B)</f>
        <v>999</v>
      </c>
    </row>
    <row r="13" customFormat="false" ht="15" hidden="false" customHeight="false" outlineLevel="0" collapsed="false">
      <c r="A13" s="0" t="s">
        <v>1628</v>
      </c>
      <c r="F13" s="53" t="n">
        <f aca="false">4*IF(LifeOverride=0,Life_N,LifeOverride)</f>
        <v>20</v>
      </c>
      <c r="G13" s="0" t="s">
        <v>1626</v>
      </c>
      <c r="K13" s="53" t="n">
        <f aca="false">IF(ImpQ_N=0,999,ImpQ_N)</f>
        <v>999</v>
      </c>
    </row>
    <row r="14" customFormat="false" ht="15" hidden="false" customHeight="false" outlineLevel="0" collapsed="false">
      <c r="A14" s="0" t="s">
        <v>1629</v>
      </c>
      <c r="F14" s="53" t="n">
        <f aca="false">4*CapIntLife</f>
        <v>20</v>
      </c>
    </row>
    <row r="15" customFormat="false" ht="15" hidden="false" customHeight="false" outlineLevel="0" collapsed="false">
      <c r="A15" s="0" t="s">
        <v>1630</v>
      </c>
      <c r="F15" s="53" t="n">
        <f aca="false">4*Life_Shell</f>
        <v>80</v>
      </c>
    </row>
    <row r="16" customFormat="false" ht="15" hidden="false" customHeight="false" outlineLevel="0" collapsed="false">
      <c r="A16" s="0" t="s">
        <v>1631</v>
      </c>
      <c r="F16" s="53" t="n">
        <f aca="false">4*Life_Pow</f>
        <v>40</v>
      </c>
    </row>
    <row r="17" customFormat="false" ht="15" hidden="false" customHeight="false" outlineLevel="0" collapsed="false">
      <c r="A17" s="0" t="s">
        <v>1632</v>
      </c>
      <c r="F17" s="53" t="n">
        <f aca="false">4*Life_Maint</f>
        <v>20</v>
      </c>
    </row>
    <row r="19" customFormat="false" ht="15" hidden="false" customHeight="false" outlineLevel="0" collapsed="false">
      <c r="A19" s="48" t="s">
        <v>1633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</row>
    <row r="20" customFormat="false" ht="15" hidden="false" customHeight="false" outlineLevel="0" collapsed="false">
      <c r="A20" s="101" t="s">
        <v>1634</v>
      </c>
      <c r="B20" s="18" t="s">
        <v>415</v>
      </c>
      <c r="C20" s="18" t="s">
        <v>1512</v>
      </c>
      <c r="D20" s="18"/>
      <c r="F20" s="105" t="n">
        <f aca="false">INDEX(MW_New,1,1)</f>
        <v>0</v>
      </c>
      <c r="G20" s="105" t="n">
        <f aca="false">INDEX(MW_New,1,2)</f>
        <v>0</v>
      </c>
      <c r="H20" s="105" t="n">
        <f aca="false">INDEX(MW_New,1,3)</f>
        <v>0</v>
      </c>
      <c r="I20" s="105" t="n">
        <f aca="false">INDEX(MW_New,1,4)</f>
        <v>5</v>
      </c>
      <c r="J20" s="105" t="n">
        <f aca="false">INDEX(MW_New,1,5)</f>
        <v>10</v>
      </c>
      <c r="K20" s="105" t="n">
        <f aca="false">INDEX(MW_New,1,6)</f>
        <v>5</v>
      </c>
      <c r="L20" s="105" t="n">
        <f aca="false">INDEX(MW_New,1,7)</f>
        <v>17.5</v>
      </c>
      <c r="M20" s="105" t="n">
        <f aca="false">INDEX(MW_New,1,8)</f>
        <v>85.2</v>
      </c>
      <c r="N20" s="105" t="n">
        <f aca="false">INDEX(MW_New,1,9)</f>
        <v>23.8</v>
      </c>
      <c r="O20" s="105" t="n">
        <f aca="false">INDEX(MW_New,1,10)</f>
        <v>1.5</v>
      </c>
      <c r="P20" s="25" t="n">
        <f aca="false">INDEX(MW_New,1,11)</f>
        <v>0</v>
      </c>
      <c r="Q20" s="25" t="n">
        <f aca="false">INDEX(MW_New,1,12)</f>
        <v>34.5</v>
      </c>
      <c r="R20" s="25" t="n">
        <f aca="false">INDEX(MW_New,1,13)</f>
        <v>84.9</v>
      </c>
      <c r="S20" s="25" t="n">
        <f aca="false">INDEX(MW_New,1,14)</f>
        <v>124</v>
      </c>
      <c r="T20" s="25" t="n">
        <f aca="false">INDEX(MW_New,1,15)</f>
        <v>128.7</v>
      </c>
      <c r="U20" s="25" t="n">
        <f aca="false">INDEX(MW_New,1,16)</f>
        <v>139.4</v>
      </c>
      <c r="V20" s="25" t="n">
        <f aca="false">INDEX(MW_New,1,17)</f>
        <v>265.5</v>
      </c>
      <c r="W20" s="25" t="n">
        <f aca="false">INDEX(MW_New,1,18)</f>
        <v>92.5</v>
      </c>
      <c r="X20" s="25" t="n">
        <f aca="false">INDEX(MW_New,1,19)</f>
        <v>156</v>
      </c>
      <c r="Y20" s="25" t="n">
        <f aca="false">INDEX(MW_New,1,20)</f>
        <v>12.5</v>
      </c>
      <c r="Z20" s="25" t="n">
        <f aca="false">INDEX(MW_New,1,21)</f>
        <v>328</v>
      </c>
      <c r="AA20" s="25" t="n">
        <f aca="false">INDEX(MW_New,1,22)</f>
        <v>0</v>
      </c>
      <c r="AB20" s="25" t="n">
        <f aca="false">INDEX(MW_New,1,23)</f>
        <v>336</v>
      </c>
      <c r="AC20" s="25" t="n">
        <f aca="false">INDEX(MW_New,1,24)</f>
        <v>0</v>
      </c>
      <c r="AD20" s="25" t="n">
        <f aca="false">INDEX(MW_New,1,25)</f>
        <v>468</v>
      </c>
      <c r="AE20" s="25" t="n">
        <f aca="false">INDEX(MW_New,1,26)</f>
        <v>0</v>
      </c>
      <c r="AF20" s="25" t="n">
        <f aca="false">INDEX(MW_New,1,27)</f>
        <v>0</v>
      </c>
      <c r="AG20" s="25" t="n">
        <f aca="false">INDEX(MW_New,1,28)</f>
        <v>0</v>
      </c>
      <c r="AI20" s="25" t="n">
        <f aca="false">SUMIF($F$7:$AG$7,AI$7,$F20:$AG20)</f>
        <v>5</v>
      </c>
      <c r="AJ20" s="25" t="n">
        <f aca="false">SUMIF($F$7:$AG$7,AJ$7,$F20:$AG20)</f>
        <v>117.7</v>
      </c>
      <c r="AK20" s="25" t="n">
        <f aca="false">SUMIF($F$7:$AG$7,AK$7,$F20:$AG20)</f>
        <v>59.8</v>
      </c>
      <c r="AL20" s="25" t="n">
        <f aca="false">SUMIF($F$7:$AG$7,AL$7,$F20:$AG20)</f>
        <v>477</v>
      </c>
      <c r="AM20" s="25" t="n">
        <f aca="false">SUMIF($F$7:$AG$7,AM$7,$F20:$AG20)</f>
        <v>526.5</v>
      </c>
      <c r="AN20" s="25" t="n">
        <f aca="false">SUMIF($F$7:$AG$7,AN$7,$F20:$AG20)</f>
        <v>664</v>
      </c>
      <c r="AO20" s="25" t="n">
        <f aca="false">SUMIF($F$7:$AG$7,AO$7,$F20:$AG20)</f>
        <v>468</v>
      </c>
    </row>
    <row r="21" customFormat="false" ht="15" hidden="false" customHeight="false" outlineLevel="0" collapsed="false">
      <c r="A21" s="101" t="s">
        <v>1635</v>
      </c>
      <c r="B21" s="18" t="s">
        <v>388</v>
      </c>
      <c r="C21" s="18" t="s">
        <v>1041</v>
      </c>
      <c r="D21" s="18"/>
      <c r="F21" s="113" t="n">
        <f aca="false">INDEX(MW_OwnSh,1,1)</f>
        <v>1</v>
      </c>
      <c r="G21" s="113" t="n">
        <f aca="false">INDEX(MW_OwnSh,1,2)</f>
        <v>1</v>
      </c>
      <c r="H21" s="113" t="n">
        <f aca="false">INDEX(MW_OwnSh,1,3)</f>
        <v>1</v>
      </c>
      <c r="I21" s="113" t="n">
        <f aca="false">INDEX(MW_OwnSh,1,4)</f>
        <v>0.833333333333333</v>
      </c>
      <c r="J21" s="113" t="n">
        <f aca="false">INDEX(MW_OwnSh,1,5)</f>
        <v>0.625</v>
      </c>
      <c r="K21" s="113" t="n">
        <f aca="false">INDEX(MW_OwnSh,1,6)</f>
        <v>0.555555555555556</v>
      </c>
      <c r="L21" s="113" t="n">
        <f aca="false">INDEX(MW_OwnSh,1,7)</f>
        <v>0.6</v>
      </c>
      <c r="M21" s="113" t="n">
        <f aca="false">INDEX(MW_OwnSh,1,8)</f>
        <v>0.423155044008125</v>
      </c>
      <c r="N21" s="113" t="n">
        <f aca="false">INDEX(MW_OwnSh,1,9)</f>
        <v>0.43731778425656</v>
      </c>
      <c r="O21" s="113" t="n">
        <f aca="false">INDEX(MW_OwnSh,1,10)</f>
        <v>0.433526011560694</v>
      </c>
      <c r="P21" s="31" t="n">
        <f aca="false">INDEX(MW_OwnSh,1,11)</f>
        <v>0.36144578313253</v>
      </c>
      <c r="Q21" s="31" t="n">
        <f aca="false">INDEX(MW_OwnSh,1,12)</f>
        <v>0.256497948016416</v>
      </c>
      <c r="R21" s="31" t="n">
        <f aca="false">INDEX(MW_OwnSh,1,13)</f>
        <v>0.204130643611912</v>
      </c>
      <c r="S21" s="31" t="n">
        <f aca="false">INDEX(MW_OwnSh,1,14)</f>
        <v>0.199963309484498</v>
      </c>
      <c r="T21" s="31" t="n">
        <f aca="false">INDEX(MW_OwnSh,1,15)</f>
        <v>0.267348429510592</v>
      </c>
      <c r="U21" s="31" t="n">
        <f aca="false">INDEX(MW_OwnSh,1,16)</f>
        <v>0.361052631578947</v>
      </c>
      <c r="V21" s="31" t="n">
        <f aca="false">INDEX(MW_OwnSh,1,17)</f>
        <v>0.405755395683453</v>
      </c>
      <c r="W21" s="31" t="n">
        <f aca="false">INDEX(MW_OwnSh,1,18)</f>
        <v>0.483103879849812</v>
      </c>
      <c r="X21" s="31" t="n">
        <f aca="false">INDEX(MW_OwnSh,1,19)</f>
        <v>0.478117258464079</v>
      </c>
      <c r="Y21" s="31" t="n">
        <f aca="false">INDEX(MW_OwnSh,1,20)</f>
        <v>0.558154645873944</v>
      </c>
      <c r="Z21" s="31" t="n">
        <f aca="false">INDEX(MW_OwnSh,1,21)</f>
        <v>0.558154645873944</v>
      </c>
      <c r="AA21" s="31" t="n">
        <f aca="false">INDEX(MW_OwnSh,1,22)</f>
        <v>0.637333333333333</v>
      </c>
      <c r="AB21" s="31" t="n">
        <f aca="false">INDEX(MW_OwnSh,1,23)</f>
        <v>0.637333333333333</v>
      </c>
      <c r="AC21" s="31" t="n">
        <f aca="false">INDEX(MW_OwnSh,1,24)</f>
        <v>0.709773794280837</v>
      </c>
      <c r="AD21" s="31" t="n">
        <f aca="false">INDEX(MW_OwnSh,1,25)</f>
        <v>0.709773794280837</v>
      </c>
      <c r="AE21" s="31" t="n">
        <f aca="false">INDEX(MW_OwnSh,1,26)</f>
        <v>0.709773794280837</v>
      </c>
      <c r="AF21" s="31" t="n">
        <f aca="false">INDEX(MW_OwnSh,1,27)</f>
        <v>0.709773794280837</v>
      </c>
      <c r="AG21" s="31" t="n">
        <f aca="false">INDEX(MW_OwnSh,1,28)</f>
        <v>0.757402782732786</v>
      </c>
      <c r="AI21" s="31" t="n">
        <f aca="false">AVERAGEIF($F$7:$AG$7,AI$7,$F21:$AG21)</f>
        <v>0.958333333333333</v>
      </c>
      <c r="AJ21" s="31" t="n">
        <f aca="false">AVERAGEIF($F$7:$AG$7,AJ$7,$F21:$AG21)</f>
        <v>0.55092764989092</v>
      </c>
      <c r="AK21" s="31" t="n">
        <f aca="false">AVERAGEIF($F$7:$AG$7,AK$7,$F21:$AG21)</f>
        <v>0.37219688174155</v>
      </c>
      <c r="AL21" s="31" t="n">
        <f aca="false">AVERAGEIF($F$7:$AG$7,AL$7,$F21:$AG21)</f>
        <v>0.258123753546487</v>
      </c>
      <c r="AM21" s="31" t="n">
        <f aca="false">AVERAGEIF($F$7:$AG$7,AM$7,$F21:$AG21)</f>
        <v>0.481282794967822</v>
      </c>
      <c r="AN21" s="31" t="n">
        <f aca="false">AVERAGEIF($F$7:$AG$7,AN$7,$F21:$AG21)</f>
        <v>0.635648776705362</v>
      </c>
      <c r="AO21" s="31" t="n">
        <f aca="false">AVERAGEIF($F$7:$AG$7,AO$7,$F21:$AG21)</f>
        <v>0.721681041393824</v>
      </c>
    </row>
    <row r="22" customFormat="false" ht="15" hidden="false" customHeight="false" outlineLevel="0" collapsed="false">
      <c r="A22" s="101" t="s">
        <v>1636</v>
      </c>
      <c r="B22" s="18" t="s">
        <v>400</v>
      </c>
      <c r="C22" s="18" t="s">
        <v>389</v>
      </c>
      <c r="D22" s="18"/>
      <c r="F22" s="119" t="n">
        <f aca="false">INDEX(H_Capex,1,1)</f>
        <v>130</v>
      </c>
      <c r="G22" s="119" t="n">
        <f aca="false">INDEX(H_Capex,1,2)</f>
        <v>130</v>
      </c>
      <c r="H22" s="119" t="n">
        <f aca="false">INDEX(H_Capex,1,3)</f>
        <v>129.9</v>
      </c>
      <c r="I22" s="119" t="n">
        <f aca="false">INDEX(H_Capex,1,4)</f>
        <v>417.6</v>
      </c>
      <c r="J22" s="119" t="n">
        <f aca="false">INDEX(H_Capex,1,5)</f>
        <v>544</v>
      </c>
      <c r="K22" s="119" t="n">
        <f aca="false">INDEX(H_Capex,1,6)</f>
        <v>510.6</v>
      </c>
      <c r="L22" s="119" t="n">
        <f aca="false">INDEX(H_Capex,1,7)</f>
        <v>955.5</v>
      </c>
      <c r="M22" s="119" t="n">
        <f aca="false">INDEX(H_Capex,1,8)</f>
        <v>2056</v>
      </c>
      <c r="N22" s="119" t="n">
        <f aca="false">INDEX(H_Capex,1,9)</f>
        <v>2472.9</v>
      </c>
      <c r="O22" s="119" t="n">
        <f aca="false">INDEX(H_Capex,1,10)</f>
        <v>5657.4</v>
      </c>
      <c r="AI22" s="120" t="n">
        <f aca="false">SUMIF($F$7:$AG$7,AI$7,$F22:$AG22)</f>
        <v>807.5</v>
      </c>
      <c r="AJ22" s="120" t="n">
        <f aca="false">SUMIF($F$7:$AG$7,AJ$7,$F22:$AG22)</f>
        <v>4066.1</v>
      </c>
      <c r="AK22" s="120" t="n">
        <f aca="false">SUMIF($F$7:$AG$7,AK$7,$F22:$AG22)</f>
        <v>8130.3</v>
      </c>
      <c r="AL22" s="120" t="n">
        <f aca="false">SUMIF($F$7:$AG$7,AL$7,$F22:$AG22)</f>
        <v>0</v>
      </c>
      <c r="AM22" s="120" t="n">
        <f aca="false">SUMIF($F$7:$AG$7,AM$7,$F22:$AG22)</f>
        <v>0</v>
      </c>
      <c r="AN22" s="120" t="n">
        <f aca="false">SUMIF($F$7:$AG$7,AN$7,$F22:$AG22)</f>
        <v>0</v>
      </c>
      <c r="AO22" s="120" t="n">
        <f aca="false">SUMIF($F$7:$AG$7,AO$7,$F22:$AG22)</f>
        <v>0</v>
      </c>
    </row>
    <row r="23" customFormat="false" ht="15" hidden="false" customHeight="false" outlineLevel="0" collapsed="false">
      <c r="A23" s="101" t="s">
        <v>1637</v>
      </c>
      <c r="B23" s="18" t="s">
        <v>400</v>
      </c>
      <c r="C23" s="18" t="s">
        <v>336</v>
      </c>
      <c r="D23" s="18" t="s">
        <v>1638</v>
      </c>
      <c r="E23" s="120" t="n">
        <f aca="false">OpenGPU_H</f>
        <v>142.4</v>
      </c>
      <c r="F23" s="119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19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19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19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19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19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19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19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19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19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0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0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0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0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0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0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0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0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0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0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0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0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0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0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0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0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0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0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0" t="n">
        <f aca="false">SUMIF($F$7:$AG$7,AI$7,$F23:$AG23)</f>
        <v>646</v>
      </c>
      <c r="AJ23" s="120" t="n">
        <f aca="false">SUMIF($F$7:$AG$7,AJ$7,$F23:$AG23)</f>
        <v>1951.728</v>
      </c>
      <c r="AK23" s="120" t="n">
        <f aca="false">SUMIF($F$7:$AG$7,AK$7,$F23:$AG23)</f>
        <v>650.424</v>
      </c>
      <c r="AL23" s="120" t="n">
        <f aca="false">SUMIF($F$7:$AG$7,AL$7,$F23:$AG23)</f>
        <v>0</v>
      </c>
      <c r="AM23" s="120" t="n">
        <f aca="false">SUMIF($F$7:$AG$7,AM$7,$F23:$AG23)</f>
        <v>0</v>
      </c>
      <c r="AN23" s="120" t="n">
        <f aca="false">SUMIF($F$7:$AG$7,AN$7,$F23:$AG23)</f>
        <v>0</v>
      </c>
      <c r="AO23" s="120" t="n">
        <f aca="false">SUMIF($F$7:$AG$7,AO$7,$F23:$AG23)</f>
        <v>0</v>
      </c>
    </row>
    <row r="24" customFormat="false" ht="15" hidden="false" customHeight="false" outlineLevel="0" collapsed="false">
      <c r="A24" s="101" t="s">
        <v>1639</v>
      </c>
      <c r="B24" s="18" t="s">
        <v>400</v>
      </c>
      <c r="C24" s="18" t="s">
        <v>336</v>
      </c>
      <c r="D24" s="18" t="s">
        <v>1638</v>
      </c>
      <c r="E24" s="120" t="n">
        <f aca="false">0</f>
        <v>0</v>
      </c>
      <c r="F24" s="119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19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19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19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19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19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19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19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19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19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0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3374.2</v>
      </c>
      <c r="Q24" s="120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4528.99974232117</v>
      </c>
      <c r="R24" s="120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4379.8300630063</v>
      </c>
      <c r="S24" s="120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2254.95147748984</v>
      </c>
      <c r="T24" s="120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4068.52261238272</v>
      </c>
      <c r="U24" s="120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0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0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0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2259.5990441326</v>
      </c>
      <c r="Y24" s="120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0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0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0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0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0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0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0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0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0" t="n">
        <f aca="false">SUMIF($F$7:$AG$7,AI$7,$F24:$AG24)</f>
        <v>0</v>
      </c>
      <c r="AJ24" s="120" t="n">
        <f aca="false">SUMIF($F$7:$AG$7,AJ$7,$F24:$AG24)</f>
        <v>1301.152</v>
      </c>
      <c r="AK24" s="120" t="n">
        <f aca="false">SUMIF($F$7:$AG$7,AK$7,$F24:$AG24)</f>
        <v>13757.0157423212</v>
      </c>
      <c r="AL24" s="120" t="n">
        <f aca="false">SUMIF($F$7:$AG$7,AL$7,$F24:$AG24)</f>
        <v>10703.3041528789</v>
      </c>
      <c r="AM24" s="120" t="n">
        <f aca="false">SUMIF($F$7:$AG$7,AM$7,$F24:$AG24)</f>
        <v>2259.5990441326</v>
      </c>
      <c r="AN24" s="120" t="n">
        <f aca="false">SUMIF($F$7:$AG$7,AN$7,$F24:$AG24)</f>
        <v>0</v>
      </c>
      <c r="AO24" s="120" t="n">
        <f aca="false">SUMIF($F$7:$AG$7,AO$7,$F24:$AG24)</f>
        <v>0</v>
      </c>
    </row>
    <row r="25" customFormat="false" ht="15" hidden="false" customHeight="false" outlineLevel="0" collapsed="false">
      <c r="A25" s="101" t="s">
        <v>1640</v>
      </c>
      <c r="B25" s="18" t="s">
        <v>400</v>
      </c>
      <c r="C25" s="18" t="s">
        <v>336</v>
      </c>
      <c r="D25" s="18" t="s">
        <v>1638</v>
      </c>
      <c r="E25" s="120" t="n">
        <f aca="false">0</f>
        <v>0</v>
      </c>
      <c r="F25" s="119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19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19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19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19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19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19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19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19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19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0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0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275.500257678829</v>
      </c>
      <c r="R25" s="120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674.8699369937</v>
      </c>
      <c r="S25" s="120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2566.64852251016</v>
      </c>
      <c r="T25" s="120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5114.47738761728</v>
      </c>
      <c r="U25" s="120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2940</v>
      </c>
      <c r="V25" s="120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4953</v>
      </c>
      <c r="W25" s="120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400</v>
      </c>
      <c r="X25" s="120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8598.4009558674</v>
      </c>
      <c r="Y25" s="120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0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10668</v>
      </c>
      <c r="AA25" s="120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0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14859</v>
      </c>
      <c r="AC25" s="120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0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0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0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0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0" t="n">
        <f aca="false">SUMIF($F$7:$AG$7,AI$7,$F25:$AG25)</f>
        <v>0</v>
      </c>
      <c r="AJ25" s="120" t="n">
        <f aca="false">SUMIF($F$7:$AG$7,AJ$7,$F25:$AG25)</f>
        <v>0</v>
      </c>
      <c r="AK25" s="120" t="n">
        <f aca="false">SUMIF($F$7:$AG$7,AK$7,$F25:$AG25)</f>
        <v>275.500257678829</v>
      </c>
      <c r="AL25" s="120" t="n">
        <f aca="false">SUMIF($F$7:$AG$7,AL$7,$F25:$AG25)</f>
        <v>11295.9958471211</v>
      </c>
      <c r="AM25" s="120" t="n">
        <f aca="false">SUMIF($F$7:$AG$7,AM$7,$F25:$AG25)</f>
        <v>13951.4009558674</v>
      </c>
      <c r="AN25" s="120" t="n">
        <f aca="false">SUMIF($F$7:$AG$7,AN$7,$F25:$AG25)</f>
        <v>25527</v>
      </c>
      <c r="AO25" s="120" t="n">
        <f aca="false">SUMIF($F$7:$AG$7,AO$7,$F25:$AG25)</f>
        <v>0</v>
      </c>
    </row>
    <row r="26" customFormat="false" ht="15" hidden="false" customHeight="false" outlineLevel="0" collapsed="false">
      <c r="A26" s="101" t="s">
        <v>1641</v>
      </c>
      <c r="B26" s="18" t="s">
        <v>400</v>
      </c>
      <c r="C26" s="18" t="s">
        <v>336</v>
      </c>
      <c r="D26" s="18" t="s">
        <v>1642</v>
      </c>
      <c r="E26" s="120" t="n">
        <f aca="false">0</f>
        <v>0</v>
      </c>
      <c r="F26" s="119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19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19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19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19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19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19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19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19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19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0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45</v>
      </c>
      <c r="Q26" s="120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108</v>
      </c>
      <c r="R26" s="120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333</v>
      </c>
      <c r="S26" s="120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720</v>
      </c>
      <c r="T26" s="120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360</v>
      </c>
      <c r="U26" s="120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702</v>
      </c>
      <c r="V26" s="120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0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1260</v>
      </c>
      <c r="X26" s="120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0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1512</v>
      </c>
      <c r="Z26" s="120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0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2106</v>
      </c>
      <c r="AB26" s="120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0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0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0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0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0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0" t="n">
        <f aca="false">SUMIF($F$7:$AG$7,AI$7,$F26:$AG26)</f>
        <v>64.6</v>
      </c>
      <c r="AJ26" s="120" t="n">
        <f aca="false">SUMIF($F$7:$AG$7,AJ$7,$F26:$AG26)</f>
        <v>325.288</v>
      </c>
      <c r="AK26" s="120" t="n">
        <f aca="false">SUMIF($F$7:$AG$7,AK$7,$F26:$AG26)</f>
        <v>803.424</v>
      </c>
      <c r="AL26" s="120" t="n">
        <f aca="false">SUMIF($F$7:$AG$7,AL$7,$F26:$AG26)</f>
        <v>2115</v>
      </c>
      <c r="AM26" s="120" t="n">
        <f aca="false">SUMIF($F$7:$AG$7,AM$7,$F26:$AG26)</f>
        <v>2772</v>
      </c>
      <c r="AN26" s="120" t="n">
        <f aca="false">SUMIF($F$7:$AG$7,AN$7,$F26:$AG26)</f>
        <v>2106</v>
      </c>
      <c r="AO26" s="120" t="n">
        <f aca="false">SUMIF($F$7:$AG$7,AO$7,$F26:$AG26)</f>
        <v>0</v>
      </c>
    </row>
    <row r="27" customFormat="false" ht="15" hidden="false" customHeight="false" outlineLevel="0" collapsed="false">
      <c r="A27" s="101" t="s">
        <v>1643</v>
      </c>
      <c r="B27" s="18" t="s">
        <v>400</v>
      </c>
      <c r="C27" s="18" t="s">
        <v>336</v>
      </c>
      <c r="D27" s="18" t="s">
        <v>1644</v>
      </c>
      <c r="E27" s="120" t="n">
        <f aca="false">0</f>
        <v>0</v>
      </c>
      <c r="F27" s="119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19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19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19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19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19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19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19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19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19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0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67.5</v>
      </c>
      <c r="Q27" s="120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162</v>
      </c>
      <c r="R27" s="120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499.5</v>
      </c>
      <c r="S27" s="120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1080</v>
      </c>
      <c r="T27" s="120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540</v>
      </c>
      <c r="U27" s="120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1053</v>
      </c>
      <c r="V27" s="120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0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1890</v>
      </c>
      <c r="X27" s="120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0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2268</v>
      </c>
      <c r="Z27" s="120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0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3159</v>
      </c>
      <c r="AB27" s="120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0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0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0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0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0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0" t="n">
        <f aca="false">SUMIF($F$7:$AG$7,AI$7,$F27:$AG27)</f>
        <v>96.9</v>
      </c>
      <c r="AJ27" s="120" t="n">
        <f aca="false">SUMIF($F$7:$AG$7,AJ$7,$F27:$AG27)</f>
        <v>487.932</v>
      </c>
      <c r="AK27" s="120" t="n">
        <f aca="false">SUMIF($F$7:$AG$7,AK$7,$F27:$AG27)</f>
        <v>1205.136</v>
      </c>
      <c r="AL27" s="120" t="n">
        <f aca="false">SUMIF($F$7:$AG$7,AL$7,$F27:$AG27)</f>
        <v>3172.5</v>
      </c>
      <c r="AM27" s="120" t="n">
        <f aca="false">SUMIF($F$7:$AG$7,AM$7,$F27:$AG27)</f>
        <v>4158</v>
      </c>
      <c r="AN27" s="120" t="n">
        <f aca="false">SUMIF($F$7:$AG$7,AN$7,$F27:$AG27)</f>
        <v>3159</v>
      </c>
      <c r="AO27" s="120" t="n">
        <f aca="false">SUMIF($F$7:$AG$7,AO$7,$F27:$AG27)</f>
        <v>0</v>
      </c>
    </row>
    <row r="28" customFormat="false" ht="15" hidden="false" customHeight="false" outlineLevel="0" collapsed="false">
      <c r="A28" s="101" t="s">
        <v>689</v>
      </c>
      <c r="B28" s="18" t="s">
        <v>400</v>
      </c>
      <c r="C28" s="18" t="s">
        <v>336</v>
      </c>
      <c r="D28" s="18" t="s">
        <v>1645</v>
      </c>
      <c r="E28" s="120" t="n">
        <f aca="false">0</f>
        <v>0</v>
      </c>
      <c r="F28" s="119" t="n">
        <f aca="false">IF(F$5&lt;=LastHist,0,MaintPct*INDEX(Rev,1,1))</f>
        <v>0</v>
      </c>
      <c r="G28" s="119" t="n">
        <f aca="false">IF(G$5&lt;=LastHist,0,MaintPct*INDEX(Rev,1,2))</f>
        <v>0</v>
      </c>
      <c r="H28" s="119" t="n">
        <f aca="false">IF(H$5&lt;=LastHist,0,MaintPct*INDEX(Rev,1,3))</f>
        <v>0</v>
      </c>
      <c r="I28" s="119" t="n">
        <f aca="false">IF(I$5&lt;=LastHist,0,MaintPct*INDEX(Rev,1,4))</f>
        <v>0</v>
      </c>
      <c r="J28" s="119" t="n">
        <f aca="false">IF(J$5&lt;=LastHist,0,MaintPct*INDEX(Rev,1,5))</f>
        <v>0</v>
      </c>
      <c r="K28" s="119" t="n">
        <f aca="false">IF(K$5&lt;=LastHist,0,MaintPct*INDEX(Rev,1,6))</f>
        <v>0</v>
      </c>
      <c r="L28" s="119" t="n">
        <f aca="false">IF(L$5&lt;=LastHist,0,MaintPct*INDEX(Rev,1,7))</f>
        <v>0</v>
      </c>
      <c r="M28" s="119" t="n">
        <f aca="false">IF(M$5&lt;=LastHist,0,MaintPct*INDEX(Rev,1,8))</f>
        <v>0</v>
      </c>
      <c r="N28" s="119" t="n">
        <f aca="false">IF(N$5&lt;=LastHist,0,MaintPct*INDEX(Rev,1,9))</f>
        <v>0</v>
      </c>
      <c r="O28" s="119" t="n">
        <f aca="false">IF(O$5&lt;=LastHist,0,MaintPct*INDEX(Rev,1,10))</f>
        <v>0</v>
      </c>
      <c r="P28" s="120" t="n">
        <f aca="false">IF(P$5&lt;=LastHist,0,MaintPct*INDEX(Rev,1,11))</f>
        <v>13.073667465244</v>
      </c>
      <c r="Q28" s="120" t="n">
        <f aca="false">IF(Q$5&lt;=LastHist,0,MaintPct*INDEX(Rev,1,12))</f>
        <v>15.7684992670297</v>
      </c>
      <c r="R28" s="120" t="n">
        <f aca="false">IF(R$5&lt;=LastHist,0,MaintPct*INDEX(Rev,1,13))</f>
        <v>20.6366049537813</v>
      </c>
      <c r="S28" s="120" t="n">
        <f aca="false">IF(S$5&lt;=LastHist,0,MaintPct*INDEX(Rev,1,14))</f>
        <v>30.1775249310529</v>
      </c>
      <c r="T28" s="120" t="n">
        <f aca="false">IF(T$5&lt;=LastHist,0,MaintPct*INDEX(Rev,1,15))</f>
        <v>41.563214813992</v>
      </c>
      <c r="U28" s="120" t="n">
        <f aca="false">IF(U$5&lt;=LastHist,0,MaintPct*INDEX(Rev,1,16))</f>
        <v>54.0285175356489</v>
      </c>
      <c r="V28" s="120" t="n">
        <f aca="false">IF(V$5&lt;=LastHist,0,MaintPct*INDEX(Rev,1,17))</f>
        <v>73.7252805887685</v>
      </c>
      <c r="W28" s="120" t="n">
        <f aca="false">IF(W$5&lt;=LastHist,0,MaintPct*INDEX(Rev,1,18))</f>
        <v>91.3428773597708</v>
      </c>
      <c r="X28" s="120" t="n">
        <f aca="false">IF(X$5&lt;=LastHist,0,MaintPct*INDEX(Rev,1,19))</f>
        <v>103.60252196258</v>
      </c>
      <c r="Y28" s="120" t="n">
        <f aca="false">IF(Y$5&lt;=LastHist,0,MaintPct*INDEX(Rev,1,20))</f>
        <v>111.82700629075</v>
      </c>
      <c r="Z28" s="120" t="n">
        <f aca="false">IF(Z$5&lt;=LastHist,0,MaintPct*INDEX(Rev,1,21))</f>
        <v>127.672674862681</v>
      </c>
      <c r="AA28" s="120" t="n">
        <f aca="false">IF(AA$5&lt;=LastHist,0,MaintPct*INDEX(Rev,1,22))</f>
        <v>143.431571036248</v>
      </c>
      <c r="AB28" s="120" t="n">
        <f aca="false">IF(AB$5&lt;=LastHist,0,MaintPct*INDEX(Rev,1,23))</f>
        <v>158.613420019062</v>
      </c>
      <c r="AC28" s="120" t="n">
        <f aca="false">IF(AC$5&lt;=LastHist,0,MaintPct*INDEX(Rev,1,24))</f>
        <v>174.253177210513</v>
      </c>
      <c r="AD28" s="120" t="n">
        <f aca="false">IF(AD$5&lt;=LastHist,0,MaintPct*INDEX(Rev,1,25))</f>
        <v>194.668173686535</v>
      </c>
      <c r="AE28" s="120" t="n">
        <f aca="false">IF(AE$5&lt;=LastHist,0,MaintPct*INDEX(Rev,1,26))</f>
        <v>215.910392480099</v>
      </c>
      <c r="AF28" s="120" t="n">
        <f aca="false">IF(AF$5&lt;=LastHist,0,MaintPct*INDEX(Rev,1,27))</f>
        <v>214.652493806002</v>
      </c>
      <c r="AG28" s="120" t="n">
        <f aca="false">IF(AG$5&lt;=LastHist,0,MaintPct*INDEX(Rev,1,28))</f>
        <v>216.952658052677</v>
      </c>
      <c r="AI28" s="120" t="n">
        <f aca="false">SUMIF($F$7:$AG$7,AI$7,$F28:$AG28)</f>
        <v>0</v>
      </c>
      <c r="AJ28" s="120" t="n">
        <f aca="false">SUMIF($F$7:$AG$7,AJ$7,$F28:$AG28)</f>
        <v>0</v>
      </c>
      <c r="AK28" s="120" t="n">
        <f aca="false">SUMIF($F$7:$AG$7,AK$7,$F28:$AG28)</f>
        <v>28.8421667322736</v>
      </c>
      <c r="AL28" s="120" t="n">
        <f aca="false">SUMIF($F$7:$AG$7,AL$7,$F28:$AG28)</f>
        <v>146.405862234475</v>
      </c>
      <c r="AM28" s="120" t="n">
        <f aca="false">SUMIF($F$7:$AG$7,AM$7,$F28:$AG28)</f>
        <v>380.49768620187</v>
      </c>
      <c r="AN28" s="120" t="n">
        <f aca="false">SUMIF($F$7:$AG$7,AN$7,$F28:$AG28)</f>
        <v>603.970843128504</v>
      </c>
      <c r="AO28" s="120" t="n">
        <f aca="false">SUMIF($F$7:$AG$7,AO$7,$F28:$AG28)</f>
        <v>842.183718025312</v>
      </c>
    </row>
    <row r="29" customFormat="false" ht="15" hidden="false" customHeight="false" outlineLevel="0" collapsed="false">
      <c r="A29" s="101" t="s">
        <v>1646</v>
      </c>
      <c r="B29" s="18" t="s">
        <v>400</v>
      </c>
      <c r="C29" s="18" t="s">
        <v>336</v>
      </c>
      <c r="D29" s="18" t="s">
        <v>1647</v>
      </c>
      <c r="E29" s="120" t="n">
        <f aca="false">0</f>
        <v>0</v>
      </c>
      <c r="F29" s="119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29" s="119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29" s="119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29" s="119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29" s="119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29" s="119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29" s="119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29" s="119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29" s="119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29" s="119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29" s="120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29" s="120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29" s="120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29" s="120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29" s="120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29" s="120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29" s="120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29" s="120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29" s="120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29" s="120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29" s="120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29" s="120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29" s="120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29" s="120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29" s="120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29" s="120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29" s="120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29" s="120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29" s="120" t="n">
        <f aca="false">SUMIF($F$7:$AG$7,AI$7,$F29:$AG29)</f>
        <v>0</v>
      </c>
      <c r="AJ29" s="120" t="n">
        <f aca="false">SUMIF($F$7:$AG$7,AJ$7,$F29:$AG29)</f>
        <v>0</v>
      </c>
      <c r="AK29" s="120" t="n">
        <f aca="false">SUMIF($F$7:$AG$7,AK$7,$F29:$AG29)</f>
        <v>0</v>
      </c>
      <c r="AL29" s="120" t="n">
        <f aca="false">SUMIF($F$7:$AG$7,AL$7,$F29:$AG29)</f>
        <v>0</v>
      </c>
      <c r="AM29" s="120" t="n">
        <f aca="false">SUMIF($F$7:$AG$7,AM$7,$F29:$AG29)</f>
        <v>142.4</v>
      </c>
      <c r="AN29" s="120" t="n">
        <f aca="false">SUMIF($F$7:$AG$7,AN$7,$F29:$AG29)</f>
        <v>646</v>
      </c>
      <c r="AO29" s="120" t="n">
        <f aca="false">SUMIF($F$7:$AG$7,AO$7,$F29:$AG29)</f>
        <v>3252.88</v>
      </c>
    </row>
    <row r="30" customFormat="false" ht="15" hidden="false" customHeight="false" outlineLevel="0" collapsed="false">
      <c r="A30" s="101" t="s">
        <v>1648</v>
      </c>
      <c r="B30" s="18" t="s">
        <v>400</v>
      </c>
      <c r="C30" s="18" t="s">
        <v>336</v>
      </c>
      <c r="D30" s="18"/>
      <c r="F30" s="119" t="n">
        <f aca="false">F23+F24+F25+F26+F27+F28+F29</f>
        <v>130</v>
      </c>
      <c r="G30" s="119" t="n">
        <f aca="false">G23+G24+G25+G26+G27+G28+G29</f>
        <v>130</v>
      </c>
      <c r="H30" s="119" t="n">
        <f aca="false">H23+H24+H25+H26+H27+H28+H29</f>
        <v>129.9</v>
      </c>
      <c r="I30" s="119" t="n">
        <f aca="false">I23+I24+I25+I26+I27+I28+I29</f>
        <v>417.6</v>
      </c>
      <c r="J30" s="119" t="n">
        <f aca="false">J23+J24+J25+J26+J27+J28+J29</f>
        <v>544</v>
      </c>
      <c r="K30" s="119" t="n">
        <f aca="false">K23+K24+K25+K26+K27+K28+K29</f>
        <v>510.6</v>
      </c>
      <c r="L30" s="119" t="n">
        <f aca="false">L23+L24+L25+L26+L27+L28+L29</f>
        <v>955.5</v>
      </c>
      <c r="M30" s="119" t="n">
        <f aca="false">M23+M24+M25+M26+M27+M28+M29</f>
        <v>2056</v>
      </c>
      <c r="N30" s="119" t="n">
        <f aca="false">N23+N24+N25+N26+N27+N28+N29</f>
        <v>2472.9</v>
      </c>
      <c r="O30" s="119" t="n">
        <f aca="false">O23+O24+O25+O26+O27+O28+O29</f>
        <v>5657.4</v>
      </c>
      <c r="P30" s="120" t="n">
        <f aca="false">P23+P24+P25+P26+P27+P28+P29</f>
        <v>3499.77366746524</v>
      </c>
      <c r="Q30" s="120" t="n">
        <f aca="false">Q23+Q24+Q25+Q26+Q27+Q28+Q29</f>
        <v>5090.26849926703</v>
      </c>
      <c r="R30" s="120" t="n">
        <f aca="false">R23+R24+R25+R26+R27+R28+R29</f>
        <v>5907.83660495378</v>
      </c>
      <c r="S30" s="120" t="n">
        <f aca="false">S23+S24+S25+S26+S27+S28+S29</f>
        <v>6651.77752493105</v>
      </c>
      <c r="T30" s="120" t="n">
        <f aca="false">T23+T24+T25+T26+T27+T28+T29</f>
        <v>10124.563214814</v>
      </c>
      <c r="U30" s="120" t="n">
        <f aca="false">U23+U24+U25+U26+U27+U28+U29</f>
        <v>4749.02851753565</v>
      </c>
      <c r="V30" s="120" t="n">
        <f aca="false">V23+V24+V25+V26+V27+V28+V29</f>
        <v>5026.72528058877</v>
      </c>
      <c r="W30" s="120" t="n">
        <f aca="false">W23+W24+W25+W26+W27+W28+W29</f>
        <v>3641.34287735977</v>
      </c>
      <c r="X30" s="120" t="n">
        <f aca="false">X23+X24+X25+X26+X27+X28+X29</f>
        <v>10961.6025219626</v>
      </c>
      <c r="Y30" s="120" t="n">
        <f aca="false">Y23+Y24+Y25+Y26+Y27+Y28+Y29</f>
        <v>4034.22700629075</v>
      </c>
      <c r="Z30" s="120" t="n">
        <f aca="false">Z23+Z24+Z25+Z26+Z27+Z28+Z29</f>
        <v>10899.6726748627</v>
      </c>
      <c r="AA30" s="120" t="n">
        <f aca="false">AA23+AA24+AA25+AA26+AA27+AA28+AA29</f>
        <v>5512.43157103625</v>
      </c>
      <c r="AB30" s="120" t="n">
        <f aca="false">AB23+AB24+AB25+AB26+AB27+AB28+AB29</f>
        <v>15121.5334200191</v>
      </c>
      <c r="AC30" s="120" t="n">
        <f aca="false">AC23+AC24+AC25+AC26+AC27+AC28+AC29</f>
        <v>508.333177210513</v>
      </c>
      <c r="AD30" s="120" t="n">
        <f aca="false">AD23+AD24+AD25+AD26+AD27+AD28+AD29</f>
        <v>629.868173686535</v>
      </c>
      <c r="AE30" s="120" t="n">
        <f aca="false">AE23+AE24+AE25+AE26+AE27+AE28+AE29</f>
        <v>624.390392480099</v>
      </c>
      <c r="AF30" s="120" t="n">
        <f aca="false">AF23+AF24+AF25+AF26+AF27+AF28+AF29</f>
        <v>979.052493806002</v>
      </c>
      <c r="AG30" s="120" t="n">
        <f aca="false">AG23+AG24+AG25+AG26+AG27+AG28+AG29</f>
        <v>1861.75265805268</v>
      </c>
      <c r="AI30" s="120" t="n">
        <f aca="false">SUMIF($F$7:$AG$7,AI$7,$F30:$AG30)</f>
        <v>807.5</v>
      </c>
      <c r="AJ30" s="120" t="n">
        <f aca="false">SUMIF($F$7:$AG$7,AJ$7,$F30:$AG30)</f>
        <v>4066.1</v>
      </c>
      <c r="AK30" s="120" t="n">
        <f aca="false">SUMIF($F$7:$AG$7,AK$7,$F30:$AG30)</f>
        <v>16720.3421667323</v>
      </c>
      <c r="AL30" s="120" t="n">
        <f aca="false">SUMIF($F$7:$AG$7,AL$7,$F30:$AG30)</f>
        <v>27433.2058622345</v>
      </c>
      <c r="AM30" s="120" t="n">
        <f aca="false">SUMIF($F$7:$AG$7,AM$7,$F30:$AG30)</f>
        <v>23663.8976862019</v>
      </c>
      <c r="AN30" s="120" t="n">
        <f aca="false">SUMIF($F$7:$AG$7,AN$7,$F30:$AG30)</f>
        <v>32041.9708431285</v>
      </c>
      <c r="AO30" s="120" t="n">
        <f aca="false">SUMIF($F$7:$AG$7,AO$7,$F30:$AG30)</f>
        <v>4095.06371802531</v>
      </c>
    </row>
    <row r="31" customFormat="false" ht="15" hidden="false" customHeight="false" outlineLevel="0" collapsed="false">
      <c r="A31" s="101" t="s">
        <v>1649</v>
      </c>
      <c r="B31" s="18" t="s">
        <v>400</v>
      </c>
      <c r="C31" s="18" t="s">
        <v>347</v>
      </c>
      <c r="D31" s="18" t="s">
        <v>1650</v>
      </c>
      <c r="F31" s="119" t="n">
        <f aca="false">IF(AND(CapexMode=1,F$7=2027,F$5&gt;LastHist),INDEX(Cons_Cx,1,2027-FYBase)/4-F30,0)</f>
        <v>0</v>
      </c>
      <c r="G31" s="119" t="n">
        <f aca="false">IF(AND(CapexMode=1,G$7=2027,G$5&gt;LastHist),INDEX(Cons_Cx,1,2027-FYBase)/4-G30,0)</f>
        <v>0</v>
      </c>
      <c r="H31" s="119" t="n">
        <f aca="false">IF(AND(CapexMode=1,H$7=2027,H$5&gt;LastHist),INDEX(Cons_Cx,1,2027-FYBase)/4-H30,0)</f>
        <v>0</v>
      </c>
      <c r="I31" s="119" t="n">
        <f aca="false">IF(AND(CapexMode=1,I$7=2027,I$5&gt;LastHist),INDEX(Cons_Cx,1,2027-FYBase)/4-I30,0)</f>
        <v>0</v>
      </c>
      <c r="J31" s="119" t="n">
        <f aca="false">IF(AND(CapexMode=1,J$7=2027,J$5&gt;LastHist),INDEX(Cons_Cx,1,2027-FYBase)/4-J30,0)</f>
        <v>0</v>
      </c>
      <c r="K31" s="119" t="n">
        <f aca="false">IF(AND(CapexMode=1,K$7=2027,K$5&gt;LastHist),INDEX(Cons_Cx,1,2027-FYBase)/4-K30,0)</f>
        <v>0</v>
      </c>
      <c r="L31" s="119" t="n">
        <f aca="false">IF(AND(CapexMode=1,L$7=2027,L$5&gt;LastHist),INDEX(Cons_Cx,1,2027-FYBase)/4-L30,0)</f>
        <v>0</v>
      </c>
      <c r="M31" s="119" t="n">
        <f aca="false">IF(AND(CapexMode=1,M$7=2027,M$5&gt;LastHist),INDEX(Cons_Cx,1,2027-FYBase)/4-M30,0)</f>
        <v>0</v>
      </c>
      <c r="N31" s="119" t="n">
        <f aca="false">IF(AND(CapexMode=1,N$7=2027,N$5&gt;LastHist),INDEX(Cons_Cx,1,2027-FYBase)/4-N30,0)</f>
        <v>0</v>
      </c>
      <c r="O31" s="119" t="n">
        <f aca="false">IF(AND(CapexMode=1,O$7=2027,O$5&gt;LastHist),INDEX(Cons_Cx,1,2027-FYBase)/4-O30,0)</f>
        <v>0</v>
      </c>
      <c r="P31" s="120" t="n">
        <f aca="false">IF(AND(CapexMode=1,P$7=2027,P$5&gt;LastHist),INDEX(Cons_Cx,1,2027-FYBase)/4-P30,0)</f>
        <v>0</v>
      </c>
      <c r="Q31" s="120" t="n">
        <f aca="false">IF(AND(CapexMode=1,Q$7=2027,Q$5&gt;LastHist),INDEX(Cons_Cx,1,2027-FYBase)/4-Q30,0)</f>
        <v>0</v>
      </c>
      <c r="R31" s="120" t="n">
        <f aca="false">IF(AND(CapexMode=1,R$7=2027,R$5&gt;LastHist),INDEX(Cons_Cx,1,2027-FYBase)/4-R30,0)</f>
        <v>0</v>
      </c>
      <c r="S31" s="120" t="n">
        <f aca="false">IF(AND(CapexMode=1,S$7=2027,S$5&gt;LastHist),INDEX(Cons_Cx,1,2027-FYBase)/4-S30,0)</f>
        <v>0</v>
      </c>
      <c r="T31" s="120" t="n">
        <f aca="false">IF(AND(CapexMode=1,T$7=2027,T$5&gt;LastHist),INDEX(Cons_Cx,1,2027-FYBase)/4-T30,0)</f>
        <v>0</v>
      </c>
      <c r="U31" s="120" t="n">
        <f aca="false">IF(AND(CapexMode=1,U$7=2027,U$5&gt;LastHist),INDEX(Cons_Cx,1,2027-FYBase)/4-U30,0)</f>
        <v>0</v>
      </c>
      <c r="V31" s="120" t="n">
        <f aca="false">IF(AND(CapexMode=1,V$7=2027,V$5&gt;LastHist),INDEX(Cons_Cx,1,2027-FYBase)/4-V30,0)</f>
        <v>0</v>
      </c>
      <c r="W31" s="120" t="n">
        <f aca="false">IF(AND(CapexMode=1,W$7=2027,W$5&gt;LastHist),INDEX(Cons_Cx,1,2027-FYBase)/4-W30,0)</f>
        <v>0</v>
      </c>
      <c r="X31" s="120" t="n">
        <f aca="false">IF(AND(CapexMode=1,X$7=2027,X$5&gt;LastHist),INDEX(Cons_Cx,1,2027-FYBase)/4-X30,0)</f>
        <v>0</v>
      </c>
      <c r="Y31" s="120" t="n">
        <f aca="false">IF(AND(CapexMode=1,Y$7=2027,Y$5&gt;LastHist),INDEX(Cons_Cx,1,2027-FYBase)/4-Y30,0)</f>
        <v>0</v>
      </c>
      <c r="Z31" s="120" t="n">
        <f aca="false">IF(AND(CapexMode=1,Z$7=2027,Z$5&gt;LastHist),INDEX(Cons_Cx,1,2027-FYBase)/4-Z30,0)</f>
        <v>0</v>
      </c>
      <c r="AA31" s="120" t="n">
        <f aca="false">IF(AND(CapexMode=1,AA$7=2027,AA$5&gt;LastHist),INDEX(Cons_Cx,1,2027-FYBase)/4-AA30,0)</f>
        <v>0</v>
      </c>
      <c r="AB31" s="120" t="n">
        <f aca="false">IF(AND(CapexMode=1,AB$7=2027,AB$5&gt;LastHist),INDEX(Cons_Cx,1,2027-FYBase)/4-AB30,0)</f>
        <v>0</v>
      </c>
      <c r="AC31" s="120" t="n">
        <f aca="false">IF(AND(CapexMode=1,AC$7=2027,AC$5&gt;LastHist),INDEX(Cons_Cx,1,2027-FYBase)/4-AC30,0)</f>
        <v>0</v>
      </c>
      <c r="AD31" s="120" t="n">
        <f aca="false">IF(AND(CapexMode=1,AD$7=2027,AD$5&gt;LastHist),INDEX(Cons_Cx,1,2027-FYBase)/4-AD30,0)</f>
        <v>0</v>
      </c>
      <c r="AE31" s="120" t="n">
        <f aca="false">IF(AND(CapexMode=1,AE$7=2027,AE$5&gt;LastHist),INDEX(Cons_Cx,1,2027-FYBase)/4-AE30,0)</f>
        <v>0</v>
      </c>
      <c r="AF31" s="120" t="n">
        <f aca="false">IF(AND(CapexMode=1,AF$7=2027,AF$5&gt;LastHist),INDEX(Cons_Cx,1,2027-FYBase)/4-AF30,0)</f>
        <v>0</v>
      </c>
      <c r="AG31" s="120" t="n">
        <f aca="false">IF(AND(CapexMode=1,AG$7=2027,AG$5&gt;LastHist),INDEX(Cons_Cx,1,2027-FYBase)/4-AG30,0)</f>
        <v>0</v>
      </c>
      <c r="AI31" s="120" t="n">
        <f aca="false">SUMIF($F$7:$AG$7,AI$7,$F31:$AG31)</f>
        <v>0</v>
      </c>
      <c r="AJ31" s="120" t="n">
        <f aca="false">SUMIF($F$7:$AG$7,AJ$7,$F31:$AG31)</f>
        <v>0</v>
      </c>
      <c r="AK31" s="120" t="n">
        <f aca="false">SUMIF($F$7:$AG$7,AK$7,$F31:$AG31)</f>
        <v>0</v>
      </c>
      <c r="AL31" s="120" t="n">
        <f aca="false">SUMIF($F$7:$AG$7,AL$7,$F31:$AG31)</f>
        <v>0</v>
      </c>
      <c r="AM31" s="120" t="n">
        <f aca="false">SUMIF($F$7:$AG$7,AM$7,$F31:$AG31)</f>
        <v>0</v>
      </c>
      <c r="AN31" s="120" t="n">
        <f aca="false">SUMIF($F$7:$AG$7,AN$7,$F31:$AG31)</f>
        <v>0</v>
      </c>
      <c r="AO31" s="120" t="n">
        <f aca="false">SUMIF($F$7:$AG$7,AO$7,$F31:$AG31)</f>
        <v>0</v>
      </c>
    </row>
    <row r="32" customFormat="false" ht="15" hidden="false" customHeight="false" outlineLevel="0" collapsed="false">
      <c r="A32" s="3" t="s">
        <v>1651</v>
      </c>
      <c r="B32" s="18" t="s">
        <v>400</v>
      </c>
      <c r="C32" s="18" t="s">
        <v>336</v>
      </c>
      <c r="D32" s="18"/>
      <c r="F32" s="121" t="n">
        <f aca="false">F30+F31</f>
        <v>130</v>
      </c>
      <c r="G32" s="121" t="n">
        <f aca="false">G30+G31</f>
        <v>130</v>
      </c>
      <c r="H32" s="121" t="n">
        <f aca="false">H30+H31</f>
        <v>129.9</v>
      </c>
      <c r="I32" s="121" t="n">
        <f aca="false">I30+I31</f>
        <v>417.6</v>
      </c>
      <c r="J32" s="121" t="n">
        <f aca="false">J30+J31</f>
        <v>544</v>
      </c>
      <c r="K32" s="121" t="n">
        <f aca="false">K30+K31</f>
        <v>510.6</v>
      </c>
      <c r="L32" s="121" t="n">
        <f aca="false">L30+L31</f>
        <v>955.5</v>
      </c>
      <c r="M32" s="121" t="n">
        <f aca="false">M30+M31</f>
        <v>2056</v>
      </c>
      <c r="N32" s="121" t="n">
        <f aca="false">N30+N31</f>
        <v>2472.9</v>
      </c>
      <c r="O32" s="121" t="n">
        <f aca="false">O30+O31</f>
        <v>5657.4</v>
      </c>
      <c r="P32" s="93" t="n">
        <f aca="false">P30+P31</f>
        <v>3499.77366746524</v>
      </c>
      <c r="Q32" s="93" t="n">
        <f aca="false">Q30+Q31</f>
        <v>5090.26849926703</v>
      </c>
      <c r="R32" s="93" t="n">
        <f aca="false">R30+R31</f>
        <v>5907.83660495378</v>
      </c>
      <c r="S32" s="93" t="n">
        <f aca="false">S30+S31</f>
        <v>6651.77752493105</v>
      </c>
      <c r="T32" s="93" t="n">
        <f aca="false">T30+T31</f>
        <v>10124.563214814</v>
      </c>
      <c r="U32" s="93" t="n">
        <f aca="false">U30+U31</f>
        <v>4749.02851753565</v>
      </c>
      <c r="V32" s="93" t="n">
        <f aca="false">V30+V31</f>
        <v>5026.72528058877</v>
      </c>
      <c r="W32" s="93" t="n">
        <f aca="false">W30+W31</f>
        <v>3641.34287735977</v>
      </c>
      <c r="X32" s="93" t="n">
        <f aca="false">X30+X31</f>
        <v>10961.6025219626</v>
      </c>
      <c r="Y32" s="93" t="n">
        <f aca="false">Y30+Y31</f>
        <v>4034.22700629075</v>
      </c>
      <c r="Z32" s="93" t="n">
        <f aca="false">Z30+Z31</f>
        <v>10899.6726748627</v>
      </c>
      <c r="AA32" s="93" t="n">
        <f aca="false">AA30+AA31</f>
        <v>5512.43157103625</v>
      </c>
      <c r="AB32" s="93" t="n">
        <f aca="false">AB30+AB31</f>
        <v>15121.5334200191</v>
      </c>
      <c r="AC32" s="93" t="n">
        <f aca="false">AC30+AC31</f>
        <v>508.333177210513</v>
      </c>
      <c r="AD32" s="93" t="n">
        <f aca="false">AD30+AD31</f>
        <v>629.868173686535</v>
      </c>
      <c r="AE32" s="93" t="n">
        <f aca="false">AE30+AE31</f>
        <v>624.390392480099</v>
      </c>
      <c r="AF32" s="93" t="n">
        <f aca="false">AF30+AF31</f>
        <v>979.052493806002</v>
      </c>
      <c r="AG32" s="93" t="n">
        <f aca="false">AG30+AG31</f>
        <v>1861.75265805268</v>
      </c>
      <c r="AI32" s="93" t="n">
        <f aca="false">SUMIF($F$7:$AG$7,AI$7,$F32:$AG32)</f>
        <v>807.5</v>
      </c>
      <c r="AJ32" s="93" t="n">
        <f aca="false">SUMIF($F$7:$AG$7,AJ$7,$F32:$AG32)</f>
        <v>4066.1</v>
      </c>
      <c r="AK32" s="93" t="n">
        <f aca="false">SUMIF($F$7:$AG$7,AK$7,$F32:$AG32)</f>
        <v>16720.3421667323</v>
      </c>
      <c r="AL32" s="93" t="n">
        <f aca="false">SUMIF($F$7:$AG$7,AL$7,$F32:$AG32)</f>
        <v>27433.2058622345</v>
      </c>
      <c r="AM32" s="93" t="n">
        <f aca="false">SUMIF($F$7:$AG$7,AM$7,$F32:$AG32)</f>
        <v>23663.8976862019</v>
      </c>
      <c r="AN32" s="93" t="n">
        <f aca="false">SUMIF($F$7:$AG$7,AN$7,$F32:$AG32)</f>
        <v>32041.9708431285</v>
      </c>
      <c r="AO32" s="93" t="n">
        <f aca="false">SUMIF($F$7:$AG$7,AO$7,$F32:$AG32)</f>
        <v>4095.06371802531</v>
      </c>
    </row>
    <row r="33" customFormat="false" ht="15" hidden="false" customHeight="false" outlineLevel="0" collapsed="false">
      <c r="A33" s="101" t="s">
        <v>1652</v>
      </c>
      <c r="B33" s="18" t="s">
        <v>400</v>
      </c>
      <c r="C33" s="18" t="s">
        <v>336</v>
      </c>
      <c r="D33" s="18"/>
      <c r="F33" s="119" t="n">
        <f aca="false">F23+F24+F25+F26+F27</f>
        <v>130</v>
      </c>
      <c r="G33" s="119" t="n">
        <f aca="false">G23+G24+G25+G26+G27</f>
        <v>130</v>
      </c>
      <c r="H33" s="119" t="n">
        <f aca="false">H23+H24+H25+H26+H27</f>
        <v>129.9</v>
      </c>
      <c r="I33" s="119" t="n">
        <f aca="false">I23+I24+I25+I26+I27</f>
        <v>417.6</v>
      </c>
      <c r="J33" s="119" t="n">
        <f aca="false">J23+J24+J25+J26+J27</f>
        <v>544</v>
      </c>
      <c r="K33" s="119" t="n">
        <f aca="false">K23+K24+K25+K26+K27</f>
        <v>510.6</v>
      </c>
      <c r="L33" s="119" t="n">
        <f aca="false">L23+L24+L25+L26+L27</f>
        <v>955.5</v>
      </c>
      <c r="M33" s="119" t="n">
        <f aca="false">M23+M24+M25+M26+M27</f>
        <v>2056</v>
      </c>
      <c r="N33" s="119" t="n">
        <f aca="false">N23+N24+N25+N26+N27</f>
        <v>2472.9</v>
      </c>
      <c r="O33" s="119" t="n">
        <f aca="false">O23+O24+O25+O26+O27</f>
        <v>5657.4</v>
      </c>
      <c r="P33" s="120" t="n">
        <f aca="false">P23+P24+P25+P26+P27</f>
        <v>3486.7</v>
      </c>
      <c r="Q33" s="120" t="n">
        <f aca="false">Q23+Q24+Q25+Q26+Q27</f>
        <v>5074.5</v>
      </c>
      <c r="R33" s="120" t="n">
        <f aca="false">R23+R24+R25+R26+R27</f>
        <v>5887.2</v>
      </c>
      <c r="S33" s="120" t="n">
        <f aca="false">S23+S24+S25+S26+S27</f>
        <v>6621.6</v>
      </c>
      <c r="T33" s="120" t="n">
        <f aca="false">T23+T24+T25+T26+T27</f>
        <v>10083</v>
      </c>
      <c r="U33" s="120" t="n">
        <f aca="false">U23+U24+U25+U26+U27</f>
        <v>4695</v>
      </c>
      <c r="V33" s="120" t="n">
        <f aca="false">V23+V24+V25+V26+V27</f>
        <v>4953</v>
      </c>
      <c r="W33" s="120" t="n">
        <f aca="false">W23+W24+W25+W26+W27</f>
        <v>3550</v>
      </c>
      <c r="X33" s="120" t="n">
        <f aca="false">X23+X24+X25+X26+X27</f>
        <v>10858</v>
      </c>
      <c r="Y33" s="120" t="n">
        <f aca="false">Y23+Y24+Y25+Y26+Y27</f>
        <v>3780</v>
      </c>
      <c r="Z33" s="120" t="n">
        <f aca="false">Z23+Z24+Z25+Z26+Z27</f>
        <v>10668</v>
      </c>
      <c r="AA33" s="120" t="n">
        <f aca="false">AA23+AA24+AA25+AA26+AA27</f>
        <v>5265</v>
      </c>
      <c r="AB33" s="120" t="n">
        <f aca="false">AB23+AB24+AB25+AB26+AB27</f>
        <v>14859</v>
      </c>
      <c r="AC33" s="120" t="n">
        <f aca="false">AC23+AC24+AC25+AC26+AC27</f>
        <v>0</v>
      </c>
      <c r="AD33" s="120" t="n">
        <f aca="false">AD23+AD24+AD25+AD26+AD27</f>
        <v>0</v>
      </c>
      <c r="AE33" s="120" t="n">
        <f aca="false">AE23+AE24+AE25+AE26+AE27</f>
        <v>0</v>
      </c>
      <c r="AF33" s="120" t="n">
        <f aca="false">AF23+AF24+AF25+AF26+AF27</f>
        <v>0</v>
      </c>
      <c r="AG33" s="120" t="n">
        <f aca="false">AG23+AG24+AG25+AG26+AG27</f>
        <v>0</v>
      </c>
      <c r="AI33" s="120" t="n">
        <f aca="false">SUMIF($F$7:$AG$7,AI$7,$F33:$AG33)</f>
        <v>807.5</v>
      </c>
      <c r="AJ33" s="120" t="n">
        <f aca="false">SUMIF($F$7:$AG$7,AJ$7,$F33:$AG33)</f>
        <v>4066.1</v>
      </c>
      <c r="AK33" s="120" t="n">
        <f aca="false">SUMIF($F$7:$AG$7,AK$7,$F33:$AG33)</f>
        <v>16691.5</v>
      </c>
      <c r="AL33" s="120" t="n">
        <f aca="false">SUMIF($F$7:$AG$7,AL$7,$F33:$AG33)</f>
        <v>27286.8</v>
      </c>
      <c r="AM33" s="120" t="n">
        <f aca="false">SUMIF($F$7:$AG$7,AM$7,$F33:$AG33)</f>
        <v>23141</v>
      </c>
      <c r="AN33" s="120" t="n">
        <f aca="false">SUMIF($F$7:$AG$7,AN$7,$F33:$AG33)</f>
        <v>30792</v>
      </c>
      <c r="AO33" s="120" t="n">
        <f aca="false">SUMIF($F$7:$AG$7,AO$7,$F33:$AG33)</f>
        <v>0</v>
      </c>
    </row>
    <row r="34" customFormat="false" ht="15" hidden="false" customHeight="false" outlineLevel="0" collapsed="false">
      <c r="A34" s="101" t="s">
        <v>1653</v>
      </c>
      <c r="B34" s="18" t="s">
        <v>400</v>
      </c>
      <c r="C34" s="18" t="s">
        <v>336</v>
      </c>
      <c r="D34" s="18"/>
      <c r="F34" s="119" t="n">
        <f aca="false">F32-F22</f>
        <v>0</v>
      </c>
      <c r="G34" s="119" t="n">
        <f aca="false">G32-G22</f>
        <v>0</v>
      </c>
      <c r="H34" s="119" t="n">
        <f aca="false">H32-H22</f>
        <v>0</v>
      </c>
      <c r="I34" s="119" t="n">
        <f aca="false">I32-I22</f>
        <v>0</v>
      </c>
      <c r="J34" s="119" t="n">
        <f aca="false">J32-J22</f>
        <v>0</v>
      </c>
      <c r="K34" s="119" t="n">
        <f aca="false">K32-K22</f>
        <v>0</v>
      </c>
      <c r="L34" s="119" t="n">
        <f aca="false">L32-L22</f>
        <v>0</v>
      </c>
      <c r="M34" s="119" t="n">
        <f aca="false">M32-M22</f>
        <v>0</v>
      </c>
      <c r="N34" s="119" t="n">
        <f aca="false">N32-N22</f>
        <v>0</v>
      </c>
      <c r="O34" s="119" t="n">
        <f aca="false">O32-O22</f>
        <v>0</v>
      </c>
      <c r="AI34" s="120" t="n">
        <f aca="false">SUMIF($F$7:$AG$7,AI$7,$F34:$AG34)</f>
        <v>0</v>
      </c>
      <c r="AJ34" s="120" t="n">
        <f aca="false">SUMIF($F$7:$AG$7,AJ$7,$F34:$AG34)</f>
        <v>0</v>
      </c>
      <c r="AK34" s="120" t="n">
        <f aca="false">SUMIF($F$7:$AG$7,AK$7,$F34:$AG34)</f>
        <v>0</v>
      </c>
      <c r="AL34" s="120" t="n">
        <f aca="false">SUMIF($F$7:$AG$7,AL$7,$F34:$AG34)</f>
        <v>0</v>
      </c>
      <c r="AM34" s="120" t="n">
        <f aca="false">SUMIF($F$7:$AG$7,AM$7,$F34:$AG34)</f>
        <v>0</v>
      </c>
      <c r="AN34" s="120" t="n">
        <f aca="false">SUMIF($F$7:$AG$7,AN$7,$F34:$AG34)</f>
        <v>0</v>
      </c>
      <c r="AO34" s="120" t="n">
        <f aca="false">SUMIF($F$7:$AG$7,AO$7,$F34:$AG34)</f>
        <v>0</v>
      </c>
    </row>
    <row r="36" customFormat="false" ht="15" hidden="false" customHeight="false" outlineLevel="0" collapsed="false">
      <c r="A36" s="48" t="s">
        <v>1654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</row>
    <row r="37" customFormat="false" ht="15" hidden="false" customHeight="false" outlineLevel="0" collapsed="false">
      <c r="A37" s="101" t="s">
        <v>1655</v>
      </c>
      <c r="B37" s="18" t="s">
        <v>400</v>
      </c>
      <c r="C37" s="18" t="s">
        <v>336</v>
      </c>
      <c r="D37" s="18"/>
      <c r="F37" s="119" t="n">
        <f aca="false">SUMPRODUCT($E$23:F$23,((F$5-$E$5:F$5)&gt;=(PISLag+($E$5:F$5&gt;LastHist)*(GPULead-1)))*((F$5-$E$5:F$5)&lt;LQ_H+(PISLag+($E$5:F$5&gt;LastHist)*(GPULead-1)))*($E$5:F$5&lt;=IMPE_H))/LQ_H</f>
        <v>7.12</v>
      </c>
      <c r="G37" s="119" t="n">
        <f aca="false">SUMPRODUCT($E$23:G$23,((G$5-$E$5:G$5)&gt;=(PISLag+($E$5:G$5&gt;LastHist)*(GPULead-1)))*((G$5-$E$5:G$5)&lt;LQ_H+(PISLag+($E$5:G$5&gt;LastHist)*(GPULead-1)))*($E$5:G$5&lt;=IMPE_H))/LQ_H</f>
        <v>12.32</v>
      </c>
      <c r="H37" s="119" t="n">
        <f aca="false">SUMPRODUCT($E$23:H$23,((H$5-$E$5:H$5)&gt;=(PISLag+($E$5:H$5&gt;LastHist)*(GPULead-1)))*((H$5-$E$5:H$5)&lt;LQ_H+(PISLag+($E$5:H$5&gt;LastHist)*(GPULead-1)))*($E$5:H$5&lt;=IMPE_H))/LQ_H</f>
        <v>17.52</v>
      </c>
      <c r="I37" s="119" t="n">
        <f aca="false">SUMPRODUCT($E$23:I$23,((I$5-$E$5:I$5)&gt;=(PISLag+($E$5:I$5&gt;LastHist)*(GPULead-1)))*((I$5-$E$5:I$5)&lt;LQ_H+(PISLag+($E$5:I$5&gt;LastHist)*(GPULead-1)))*($E$5:I$5&lt;=IMPE_H))/LQ_H</f>
        <v>22.716</v>
      </c>
      <c r="J37" s="119" t="n">
        <f aca="false">SUMPRODUCT($E$23:J$23,((J$5-$E$5:J$5)&gt;=(PISLag+($E$5:J$5&gt;LastHist)*(GPULead-1)))*((J$5-$E$5:J$5)&lt;LQ_H+(PISLag+($E$5:J$5&gt;LastHist)*(GPULead-1)))*($E$5:J$5&lt;=IMPE_H))/LQ_H</f>
        <v>39.42</v>
      </c>
      <c r="K37" s="119" t="n">
        <f aca="false">SUMPRODUCT($E$23:K$23,((K$5-$E$5:K$5)&gt;=(PISLag+($E$5:K$5&gt;LastHist)*(GPULead-1)))*((K$5-$E$5:K$5)&lt;LQ_H+(PISLag+($E$5:K$5&gt;LastHist)*(GPULead-1)))*($E$5:K$5&lt;=IMPE_H))/LQ_H</f>
        <v>52.476</v>
      </c>
      <c r="L37" s="119" t="n">
        <f aca="false">SUMPRODUCT($E$23:L$23,((L$5-$E$5:L$5)&gt;=(PISLag+($E$5:L$5&gt;LastHist)*(GPULead-1)))*((L$5-$E$5:L$5)&lt;LQ_H+(PISLag+($E$5:L$5&gt;LastHist)*(GPULead-1)))*($E$5:L$5&lt;=IMPE_H))/LQ_H</f>
        <v>64.7304</v>
      </c>
      <c r="M37" s="119" t="n">
        <f aca="false">SUMPRODUCT($E$23:M$23,((M$5-$E$5:M$5)&gt;=(PISLag+($E$5:M$5&gt;LastHist)*(GPULead-1)))*((M$5-$E$5:M$5)&lt;LQ_H+(PISLag+($E$5:M$5&gt;LastHist)*(GPULead-1)))*($E$5:M$5&lt;=IMPE_H))/LQ_H</f>
        <v>87.6624</v>
      </c>
      <c r="N37" s="119" t="n">
        <f aca="false">SUMPRODUCT($E$23:N$23,((N$5-$E$5:N$5)&gt;=(PISLag+($E$5:N$5&gt;LastHist)*(GPULead-1)))*((N$5-$E$5:N$5)&lt;LQ_H+(PISLag+($E$5:N$5&gt;LastHist)*(GPULead-1)))*($E$5:N$5&lt;=IMPE_H))/LQ_H</f>
        <v>137.0064</v>
      </c>
      <c r="O37" s="119" t="n">
        <f aca="false">SUMPRODUCT($E$23:O$23,((O$5-$E$5:O$5)&gt;=(PISLag+($E$5:O$5&gt;LastHist)*(GPULead-1)))*((O$5-$E$5:O$5)&lt;LQ_H+(PISLag+($E$5:O$5&gt;LastHist)*(GPULead-1)))*($E$5:O$5&lt;=IMPE_H))/LQ_H</f>
        <v>146.898</v>
      </c>
      <c r="P37" s="120" t="n">
        <f aca="false">SUMPRODUCT($E$23:P$23,((P$5-$E$5:P$5)&gt;=(PISLag+($E$5:P$5&gt;LastHist)*(GPULead-1)))*((P$5-$E$5:P$5)&lt;LQ_H+(PISLag+($E$5:P$5&gt;LastHist)*(GPULead-1)))*($E$5:P$5&lt;=IMPE_H))/LQ_H</f>
        <v>169.5276</v>
      </c>
      <c r="Q37" s="120" t="n">
        <f aca="false">SUMPRODUCT($E$23:Q$23,((Q$5-$E$5:Q$5)&gt;=(PISLag+($E$5:Q$5&gt;LastHist)*(GPULead-1)))*((Q$5-$E$5:Q$5)&lt;LQ_H+(PISLag+($E$5:Q$5&gt;LastHist)*(GPULead-1)))*($E$5:Q$5&lt;=IMPE_H))/LQ_H</f>
        <v>169.5276</v>
      </c>
      <c r="R37" s="120" t="n">
        <f aca="false">SUMPRODUCT($E$23:R$23,((R$5-$E$5:R$5)&gt;=(PISLag+($E$5:R$5&gt;LastHist)*(GPULead-1)))*((R$5-$E$5:R$5)&lt;LQ_H+(PISLag+($E$5:R$5&gt;LastHist)*(GPULead-1)))*($E$5:R$5&lt;=IMPE_H))/LQ_H</f>
        <v>169.5276</v>
      </c>
      <c r="S37" s="120" t="n">
        <f aca="false">SUMPRODUCT($E$23:S$23,((S$5-$E$5:S$5)&gt;=(PISLag+($E$5:S$5&gt;LastHist)*(GPULead-1)))*((S$5-$E$5:S$5)&lt;LQ_H+(PISLag+($E$5:S$5&gt;LastHist)*(GPULead-1)))*($E$5:S$5&lt;=IMPE_H))/LQ_H</f>
        <v>169.5276</v>
      </c>
      <c r="T37" s="120" t="n">
        <f aca="false">SUMPRODUCT($E$23:T$23,((T$5-$E$5:T$5)&gt;=(PISLag+($E$5:T$5&gt;LastHist)*(GPULead-1)))*((T$5-$E$5:T$5)&lt;LQ_H+(PISLag+($E$5:T$5&gt;LastHist)*(GPULead-1)))*($E$5:T$5&lt;=IMPE_H))/LQ_H</f>
        <v>169.5276</v>
      </c>
      <c r="U37" s="120" t="n">
        <f aca="false">SUMPRODUCT($E$23:U$23,((U$5-$E$5:U$5)&gt;=(PISLag+($E$5:U$5&gt;LastHist)*(GPULead-1)))*((U$5-$E$5:U$5)&lt;LQ_H+(PISLag+($E$5:U$5&gt;LastHist)*(GPULead-1)))*($E$5:U$5&lt;=IMPE_H))/LQ_H</f>
        <v>169.5276</v>
      </c>
      <c r="V37" s="120" t="n">
        <f aca="false">SUMPRODUCT($E$23:V$23,((V$5-$E$5:V$5)&gt;=(PISLag+($E$5:V$5&gt;LastHist)*(GPULead-1)))*((V$5-$E$5:V$5)&lt;LQ_H+(PISLag+($E$5:V$5&gt;LastHist)*(GPULead-1)))*($E$5:V$5&lt;=IMPE_H))/LQ_H</f>
        <v>169.5276</v>
      </c>
      <c r="W37" s="120" t="n">
        <f aca="false">SUMPRODUCT($E$23:W$23,((W$5-$E$5:W$5)&gt;=(PISLag+($E$5:W$5&gt;LastHist)*(GPULead-1)))*((W$5-$E$5:W$5)&lt;LQ_H+(PISLag+($E$5:W$5&gt;LastHist)*(GPULead-1)))*($E$5:W$5&lt;=IMPE_H))/LQ_H</f>
        <v>169.5276</v>
      </c>
      <c r="X37" s="120" t="n">
        <f aca="false">SUMPRODUCT($E$23:X$23,((X$5-$E$5:X$5)&gt;=(PISLag+($E$5:X$5&gt;LastHist)*(GPULead-1)))*((X$5-$E$5:X$5)&lt;LQ_H+(PISLag+($E$5:X$5&gt;LastHist)*(GPULead-1)))*($E$5:X$5&lt;=IMPE_H))/LQ_H</f>
        <v>169.5276</v>
      </c>
      <c r="Y37" s="120" t="n">
        <f aca="false">SUMPRODUCT($E$23:Y$23,((Y$5-$E$5:Y$5)&gt;=(PISLag+($E$5:Y$5&gt;LastHist)*(GPULead-1)))*((Y$5-$E$5:Y$5)&lt;LQ_H+(PISLag+($E$5:Y$5&gt;LastHist)*(GPULead-1)))*($E$5:Y$5&lt;=IMPE_H))/LQ_H</f>
        <v>169.5276</v>
      </c>
      <c r="Z37" s="120" t="n">
        <f aca="false">SUMPRODUCT($E$23:Z$23,((Z$5-$E$5:Z$5)&gt;=(PISLag+($E$5:Z$5&gt;LastHist)*(GPULead-1)))*((Z$5-$E$5:Z$5)&lt;LQ_H+(PISLag+($E$5:Z$5&gt;LastHist)*(GPULead-1)))*($E$5:Z$5&lt;=IMPE_H))/LQ_H</f>
        <v>162.4076</v>
      </c>
      <c r="AA37" s="120" t="n">
        <f aca="false">SUMPRODUCT($E$23:AA$23,((AA$5-$E$5:AA$5)&gt;=(PISLag+($E$5:AA$5&gt;LastHist)*(GPULead-1)))*((AA$5-$E$5:AA$5)&lt;LQ_H+(PISLag+($E$5:AA$5&gt;LastHist)*(GPULead-1)))*($E$5:AA$5&lt;=IMPE_H))/LQ_H</f>
        <v>157.2076</v>
      </c>
      <c r="AB37" s="120" t="n">
        <f aca="false">SUMPRODUCT($E$23:AB$23,((AB$5-$E$5:AB$5)&gt;=(PISLag+($E$5:AB$5&gt;LastHist)*(GPULead-1)))*((AB$5-$E$5:AB$5)&lt;LQ_H+(PISLag+($E$5:AB$5&gt;LastHist)*(GPULead-1)))*($E$5:AB$5&lt;=IMPE_H))/LQ_H</f>
        <v>152.0076</v>
      </c>
      <c r="AC37" s="120" t="n">
        <f aca="false">SUMPRODUCT($E$23:AC$23,((AC$5-$E$5:AC$5)&gt;=(PISLag+($E$5:AC$5&gt;LastHist)*(GPULead-1)))*((AC$5-$E$5:AC$5)&lt;LQ_H+(PISLag+($E$5:AC$5&gt;LastHist)*(GPULead-1)))*($E$5:AC$5&lt;=IMPE_H))/LQ_H</f>
        <v>146.8116</v>
      </c>
      <c r="AD37" s="120" t="n">
        <f aca="false">SUMPRODUCT($E$23:AD$23,((AD$5-$E$5:AD$5)&gt;=(PISLag+($E$5:AD$5&gt;LastHist)*(GPULead-1)))*((AD$5-$E$5:AD$5)&lt;LQ_H+(PISLag+($E$5:AD$5&gt;LastHist)*(GPULead-1)))*($E$5:AD$5&lt;=IMPE_H))/LQ_H</f>
        <v>130.1076</v>
      </c>
      <c r="AE37" s="120" t="n">
        <f aca="false">SUMPRODUCT($E$23:AE$23,((AE$5-$E$5:AE$5)&gt;=(PISLag+($E$5:AE$5&gt;LastHist)*(GPULead-1)))*((AE$5-$E$5:AE$5)&lt;LQ_H+(PISLag+($E$5:AE$5&gt;LastHist)*(GPULead-1)))*($E$5:AE$5&lt;=IMPE_H))/LQ_H</f>
        <v>117.0516</v>
      </c>
      <c r="AF37" s="120" t="n">
        <f aca="false">SUMPRODUCT($E$23:AF$23,((AF$5-$E$5:AF$5)&gt;=(PISLag+($E$5:AF$5&gt;LastHist)*(GPULead-1)))*((AF$5-$E$5:AF$5)&lt;LQ_H+(PISLag+($E$5:AF$5&gt;LastHist)*(GPULead-1)))*($E$5:AF$5&lt;=IMPE_H))/LQ_H</f>
        <v>104.7972</v>
      </c>
      <c r="AG37" s="120" t="n">
        <f aca="false">SUMPRODUCT($E$23:AG$23,((AG$5-$E$5:AG$5)&gt;=(PISLag+($E$5:AG$5&gt;LastHist)*(GPULead-1)))*((AG$5-$E$5:AG$5)&lt;LQ_H+(PISLag+($E$5:AG$5&gt;LastHist)*(GPULead-1)))*($E$5:AG$5&lt;=IMPE_H))/LQ_H</f>
        <v>81.8652</v>
      </c>
      <c r="AI37" s="120" t="n">
        <f aca="false">SUMIF($F$7:$AG$7,AI$7,$F37:$AG37)</f>
        <v>59.676</v>
      </c>
      <c r="AJ37" s="120" t="n">
        <f aca="false">SUMIF($F$7:$AG$7,AJ$7,$F37:$AG37)</f>
        <v>244.2888</v>
      </c>
      <c r="AK37" s="120" t="n">
        <f aca="false">SUMIF($F$7:$AG$7,AK$7,$F37:$AG37)</f>
        <v>622.9596</v>
      </c>
      <c r="AL37" s="120" t="n">
        <f aca="false">SUMIF($F$7:$AG$7,AL$7,$F37:$AG37)</f>
        <v>678.1104</v>
      </c>
      <c r="AM37" s="120" t="n">
        <f aca="false">SUMIF($F$7:$AG$7,AM$7,$F37:$AG37)</f>
        <v>678.1104</v>
      </c>
      <c r="AN37" s="120" t="n">
        <f aca="false">SUMIF($F$7:$AG$7,AN$7,$F37:$AG37)</f>
        <v>618.4344</v>
      </c>
      <c r="AO37" s="120" t="n">
        <f aca="false">SUMIF($F$7:$AG$7,AO$7,$F37:$AG37)</f>
        <v>433.8216</v>
      </c>
    </row>
    <row r="38" customFormat="false" ht="15" hidden="false" customHeight="false" outlineLevel="0" collapsed="false">
      <c r="A38" s="101" t="s">
        <v>1656</v>
      </c>
      <c r="B38" s="18" t="s">
        <v>400</v>
      </c>
      <c r="C38" s="18" t="s">
        <v>336</v>
      </c>
      <c r="D38" s="18"/>
      <c r="F38" s="119" t="n">
        <f aca="false">SUMPRODUCT($E$23:F$23,((F$5-$E$5:F$5)&gt;=(PISLag+($E$5:F$5&gt;LastHist)*(GPULead-1)))*((F$5-$E$5:F$5)&lt;LQ_H+(PISLag+($E$5:F$5&gt;LastHist)*(GPULead-1)))*($E$5:F$5&gt;IMPE_H))/LQ_H</f>
        <v>0</v>
      </c>
      <c r="G38" s="119" t="n">
        <f aca="false">SUMPRODUCT($E$23:G$23,((G$5-$E$5:G$5)&gt;=(PISLag+($E$5:G$5&gt;LastHist)*(GPULead-1)))*((G$5-$E$5:G$5)&lt;LQ_H+(PISLag+($E$5:G$5&gt;LastHist)*(GPULead-1)))*($E$5:G$5&gt;IMPE_H))/LQ_H</f>
        <v>0</v>
      </c>
      <c r="H38" s="119" t="n">
        <f aca="false">SUMPRODUCT($E$23:H$23,((H$5-$E$5:H$5)&gt;=(PISLag+($E$5:H$5&gt;LastHist)*(GPULead-1)))*((H$5-$E$5:H$5)&lt;LQ_H+(PISLag+($E$5:H$5&gt;LastHist)*(GPULead-1)))*($E$5:H$5&gt;IMPE_H))/LQ_H</f>
        <v>0</v>
      </c>
      <c r="I38" s="119" t="n">
        <f aca="false">SUMPRODUCT($E$23:I$23,((I$5-$E$5:I$5)&gt;=(PISLag+($E$5:I$5&gt;LastHist)*(GPULead-1)))*((I$5-$E$5:I$5)&lt;LQ_H+(PISLag+($E$5:I$5&gt;LastHist)*(GPULead-1)))*($E$5:I$5&gt;IMPE_H))/LQ_H</f>
        <v>0</v>
      </c>
      <c r="J38" s="119" t="n">
        <f aca="false">SUMPRODUCT($E$23:J$23,((J$5-$E$5:J$5)&gt;=(PISLag+($E$5:J$5&gt;LastHist)*(GPULead-1)))*((J$5-$E$5:J$5)&lt;LQ_H+(PISLag+($E$5:J$5&gt;LastHist)*(GPULead-1)))*($E$5:J$5&gt;IMPE_H))/LQ_H</f>
        <v>0</v>
      </c>
      <c r="K38" s="119" t="n">
        <f aca="false">SUMPRODUCT($E$23:K$23,((K$5-$E$5:K$5)&gt;=(PISLag+($E$5:K$5&gt;LastHist)*(GPULead-1)))*((K$5-$E$5:K$5)&lt;LQ_H+(PISLag+($E$5:K$5&gt;LastHist)*(GPULead-1)))*($E$5:K$5&gt;IMPE_H))/LQ_H</f>
        <v>0</v>
      </c>
      <c r="L38" s="119" t="n">
        <f aca="false">SUMPRODUCT($E$23:L$23,((L$5-$E$5:L$5)&gt;=(PISLag+($E$5:L$5&gt;LastHist)*(GPULead-1)))*((L$5-$E$5:L$5)&lt;LQ_H+(PISLag+($E$5:L$5&gt;LastHist)*(GPULead-1)))*($E$5:L$5&gt;IMPE_H))/LQ_H</f>
        <v>0</v>
      </c>
      <c r="M38" s="119" t="n">
        <f aca="false">SUMPRODUCT($E$23:M$23,((M$5-$E$5:M$5)&gt;=(PISLag+($E$5:M$5&gt;LastHist)*(GPULead-1)))*((M$5-$E$5:M$5)&lt;LQ_H+(PISLag+($E$5:M$5&gt;LastHist)*(GPULead-1)))*($E$5:M$5&gt;IMPE_H))/LQ_H</f>
        <v>0</v>
      </c>
      <c r="N38" s="119" t="n">
        <f aca="false">SUMPRODUCT($E$23:N$23,((N$5-$E$5:N$5)&gt;=(PISLag+($E$5:N$5&gt;LastHist)*(GPULead-1)))*((N$5-$E$5:N$5)&lt;LQ_H+(PISLag+($E$5:N$5&gt;LastHist)*(GPULead-1)))*($E$5:N$5&gt;IMPE_H))/LQ_H</f>
        <v>0</v>
      </c>
      <c r="O38" s="119" t="n">
        <f aca="false">SUMPRODUCT($E$23:O$23,((O$5-$E$5:O$5)&gt;=(PISLag+($E$5:O$5&gt;LastHist)*(GPULead-1)))*((O$5-$E$5:O$5)&lt;LQ_H+(PISLag+($E$5:O$5&gt;LastHist)*(GPULead-1)))*($E$5:O$5&gt;IMPE_H))/LQ_H</f>
        <v>0</v>
      </c>
      <c r="P38" s="120" t="n">
        <f aca="false">SUMPRODUCT($E$23:P$23,((P$5-$E$5:P$5)&gt;=(PISLag+($E$5:P$5&gt;LastHist)*(GPULead-1)))*((P$5-$E$5:P$5)&lt;LQ_H+(PISLag+($E$5:P$5&gt;LastHist)*(GPULead-1)))*($E$5:P$5&gt;IMPE_H))/LQ_H</f>
        <v>0</v>
      </c>
      <c r="Q38" s="120" t="n">
        <f aca="false">SUMPRODUCT($E$23:Q$23,((Q$5-$E$5:Q$5)&gt;=(PISLag+($E$5:Q$5&gt;LastHist)*(GPULead-1)))*((Q$5-$E$5:Q$5)&lt;LQ_H+(PISLag+($E$5:Q$5&gt;LastHist)*(GPULead-1)))*($E$5:Q$5&gt;IMPE_H))/LQ_H</f>
        <v>0</v>
      </c>
      <c r="R38" s="120" t="n">
        <f aca="false">SUMPRODUCT($E$23:R$23,((R$5-$E$5:R$5)&gt;=(PISLag+($E$5:R$5&gt;LastHist)*(GPULead-1)))*((R$5-$E$5:R$5)&lt;LQ_H+(PISLag+($E$5:R$5&gt;LastHist)*(GPULead-1)))*($E$5:R$5&gt;IMPE_H))/LQ_H</f>
        <v>0</v>
      </c>
      <c r="S38" s="120" t="n">
        <f aca="false">SUMPRODUCT($E$23:S$23,((S$5-$E$5:S$5)&gt;=(PISLag+($E$5:S$5&gt;LastHist)*(GPULead-1)))*((S$5-$E$5:S$5)&lt;LQ_H+(PISLag+($E$5:S$5&gt;LastHist)*(GPULead-1)))*($E$5:S$5&gt;IMPE_H))/LQ_H</f>
        <v>0</v>
      </c>
      <c r="T38" s="120" t="n">
        <f aca="false">SUMPRODUCT($E$23:T$23,((T$5-$E$5:T$5)&gt;=(PISLag+($E$5:T$5&gt;LastHist)*(GPULead-1)))*((T$5-$E$5:T$5)&lt;LQ_H+(PISLag+($E$5:T$5&gt;LastHist)*(GPULead-1)))*($E$5:T$5&gt;IMPE_H))/LQ_H</f>
        <v>0</v>
      </c>
      <c r="U38" s="120" t="n">
        <f aca="false">SUMPRODUCT($E$23:U$23,((U$5-$E$5:U$5)&gt;=(PISLag+($E$5:U$5&gt;LastHist)*(GPULead-1)))*((U$5-$E$5:U$5)&lt;LQ_H+(PISLag+($E$5:U$5&gt;LastHist)*(GPULead-1)))*($E$5:U$5&gt;IMPE_H))/LQ_H</f>
        <v>0</v>
      </c>
      <c r="V38" s="120" t="n">
        <f aca="false">SUMPRODUCT($E$23:V$23,((V$5-$E$5:V$5)&gt;=(PISLag+($E$5:V$5&gt;LastHist)*(GPULead-1)))*((V$5-$E$5:V$5)&lt;LQ_H+(PISLag+($E$5:V$5&gt;LastHist)*(GPULead-1)))*($E$5:V$5&gt;IMPE_H))/LQ_H</f>
        <v>0</v>
      </c>
      <c r="W38" s="120" t="n">
        <f aca="false">SUMPRODUCT($E$23:W$23,((W$5-$E$5:W$5)&gt;=(PISLag+($E$5:W$5&gt;LastHist)*(GPULead-1)))*((W$5-$E$5:W$5)&lt;LQ_H+(PISLag+($E$5:W$5&gt;LastHist)*(GPULead-1)))*($E$5:W$5&gt;IMPE_H))/LQ_H</f>
        <v>0</v>
      </c>
      <c r="X38" s="120" t="n">
        <f aca="false">SUMPRODUCT($E$23:X$23,((X$5-$E$5:X$5)&gt;=(PISLag+($E$5:X$5&gt;LastHist)*(GPULead-1)))*((X$5-$E$5:X$5)&lt;LQ_H+(PISLag+($E$5:X$5&gt;LastHist)*(GPULead-1)))*($E$5:X$5&gt;IMPE_H))/LQ_H</f>
        <v>0</v>
      </c>
      <c r="Y38" s="120" t="n">
        <f aca="false">SUMPRODUCT($E$23:Y$23,((Y$5-$E$5:Y$5)&gt;=(PISLag+($E$5:Y$5&gt;LastHist)*(GPULead-1)))*((Y$5-$E$5:Y$5)&lt;LQ_H+(PISLag+($E$5:Y$5&gt;LastHist)*(GPULead-1)))*($E$5:Y$5&gt;IMPE_H))/LQ_H</f>
        <v>0</v>
      </c>
      <c r="Z38" s="120" t="n">
        <f aca="false">SUMPRODUCT($E$23:Z$23,((Z$5-$E$5:Z$5)&gt;=(PISLag+($E$5:Z$5&gt;LastHist)*(GPULead-1)))*((Z$5-$E$5:Z$5)&lt;LQ_H+(PISLag+($E$5:Z$5&gt;LastHist)*(GPULead-1)))*($E$5:Z$5&gt;IMPE_H))/LQ_H</f>
        <v>0</v>
      </c>
      <c r="AA38" s="120" t="n">
        <f aca="false">SUMPRODUCT($E$23:AA$23,((AA$5-$E$5:AA$5)&gt;=(PISLag+($E$5:AA$5&gt;LastHist)*(GPULead-1)))*((AA$5-$E$5:AA$5)&lt;LQ_H+(PISLag+($E$5:AA$5&gt;LastHist)*(GPULead-1)))*($E$5:AA$5&gt;IMPE_H))/LQ_H</f>
        <v>0</v>
      </c>
      <c r="AB38" s="120" t="n">
        <f aca="false">SUMPRODUCT($E$23:AB$23,((AB$5-$E$5:AB$5)&gt;=(PISLag+($E$5:AB$5&gt;LastHist)*(GPULead-1)))*((AB$5-$E$5:AB$5)&lt;LQ_H+(PISLag+($E$5:AB$5&gt;LastHist)*(GPULead-1)))*($E$5:AB$5&gt;IMPE_H))/LQ_H</f>
        <v>0</v>
      </c>
      <c r="AC38" s="120" t="n">
        <f aca="false">SUMPRODUCT($E$23:AC$23,((AC$5-$E$5:AC$5)&gt;=(PISLag+($E$5:AC$5&gt;LastHist)*(GPULead-1)))*((AC$5-$E$5:AC$5)&lt;LQ_H+(PISLag+($E$5:AC$5&gt;LastHist)*(GPULead-1)))*($E$5:AC$5&gt;IMPE_H))/LQ_H</f>
        <v>0</v>
      </c>
      <c r="AD38" s="120" t="n">
        <f aca="false">SUMPRODUCT($E$23:AD$23,((AD$5-$E$5:AD$5)&gt;=(PISLag+($E$5:AD$5&gt;LastHist)*(GPULead-1)))*((AD$5-$E$5:AD$5)&lt;LQ_H+(PISLag+($E$5:AD$5&gt;LastHist)*(GPULead-1)))*($E$5:AD$5&gt;IMPE_H))/LQ_H</f>
        <v>0</v>
      </c>
      <c r="AE38" s="120" t="n">
        <f aca="false">SUMPRODUCT($E$23:AE$23,((AE$5-$E$5:AE$5)&gt;=(PISLag+($E$5:AE$5&gt;LastHist)*(GPULead-1)))*((AE$5-$E$5:AE$5)&lt;LQ_H+(PISLag+($E$5:AE$5&gt;LastHist)*(GPULead-1)))*($E$5:AE$5&gt;IMPE_H))/LQ_H</f>
        <v>0</v>
      </c>
      <c r="AF38" s="120" t="n">
        <f aca="false">SUMPRODUCT($E$23:AF$23,((AF$5-$E$5:AF$5)&gt;=(PISLag+($E$5:AF$5&gt;LastHist)*(GPULead-1)))*((AF$5-$E$5:AF$5)&lt;LQ_H+(PISLag+($E$5:AF$5&gt;LastHist)*(GPULead-1)))*($E$5:AF$5&gt;IMPE_H))/LQ_H</f>
        <v>0</v>
      </c>
      <c r="AG38" s="120" t="n">
        <f aca="false">SUMPRODUCT($E$23:AG$23,((AG$5-$E$5:AG$5)&gt;=(PISLag+($E$5:AG$5&gt;LastHist)*(GPULead-1)))*((AG$5-$E$5:AG$5)&lt;LQ_H+(PISLag+($E$5:AG$5&gt;LastHist)*(GPULead-1)))*($E$5:AG$5&gt;IMPE_H))/LQ_H</f>
        <v>0</v>
      </c>
      <c r="AI38" s="120" t="n">
        <f aca="false">SUMIF($F$7:$AG$7,AI$7,$F38:$AG38)</f>
        <v>0</v>
      </c>
      <c r="AJ38" s="120" t="n">
        <f aca="false">SUMIF($F$7:$AG$7,AJ$7,$F38:$AG38)</f>
        <v>0</v>
      </c>
      <c r="AK38" s="120" t="n">
        <f aca="false">SUMIF($F$7:$AG$7,AK$7,$F38:$AG38)</f>
        <v>0</v>
      </c>
      <c r="AL38" s="120" t="n">
        <f aca="false">SUMIF($F$7:$AG$7,AL$7,$F38:$AG38)</f>
        <v>0</v>
      </c>
      <c r="AM38" s="120" t="n">
        <f aca="false">SUMIF($F$7:$AG$7,AM$7,$F38:$AG38)</f>
        <v>0</v>
      </c>
      <c r="AN38" s="120" t="n">
        <f aca="false">SUMIF($F$7:$AG$7,AN$7,$F38:$AG38)</f>
        <v>0</v>
      </c>
      <c r="AO38" s="120" t="n">
        <f aca="false">SUMIF($F$7:$AG$7,AO$7,$F38:$AG38)</f>
        <v>0</v>
      </c>
    </row>
    <row r="39" customFormat="false" ht="15" hidden="false" customHeight="false" outlineLevel="0" collapsed="false">
      <c r="A39" s="3" t="s">
        <v>1657</v>
      </c>
      <c r="B39" s="18" t="s">
        <v>400</v>
      </c>
      <c r="C39" s="18" t="s">
        <v>336</v>
      </c>
      <c r="D39" s="18"/>
      <c r="F39" s="121" t="n">
        <f aca="false">F37*(1-ImpPct_H*(F$5&gt;IMPE_H))+F38</f>
        <v>7.12</v>
      </c>
      <c r="G39" s="121" t="n">
        <f aca="false">G37*(1-ImpPct_H*(G$5&gt;IMPE_H))+G38</f>
        <v>12.32</v>
      </c>
      <c r="H39" s="121" t="n">
        <f aca="false">H37*(1-ImpPct_H*(H$5&gt;IMPE_H))+H38</f>
        <v>17.52</v>
      </c>
      <c r="I39" s="121" t="n">
        <f aca="false">I37*(1-ImpPct_H*(I$5&gt;IMPE_H))+I38</f>
        <v>22.716</v>
      </c>
      <c r="J39" s="121" t="n">
        <f aca="false">J37*(1-ImpPct_H*(J$5&gt;IMPE_H))+J38</f>
        <v>39.42</v>
      </c>
      <c r="K39" s="121" t="n">
        <f aca="false">K37*(1-ImpPct_H*(K$5&gt;IMPE_H))+K38</f>
        <v>52.476</v>
      </c>
      <c r="L39" s="121" t="n">
        <f aca="false">L37*(1-ImpPct_H*(L$5&gt;IMPE_H))+L38</f>
        <v>64.7304</v>
      </c>
      <c r="M39" s="121" t="n">
        <f aca="false">M37*(1-ImpPct_H*(M$5&gt;IMPE_H))+M38</f>
        <v>87.6624</v>
      </c>
      <c r="N39" s="121" t="n">
        <f aca="false">N37*(1-ImpPct_H*(N$5&gt;IMPE_H))+N38</f>
        <v>137.0064</v>
      </c>
      <c r="O39" s="121" t="n">
        <f aca="false">O37*(1-ImpPct_H*(O$5&gt;IMPE_H))+O38</f>
        <v>146.898</v>
      </c>
      <c r="P39" s="93" t="n">
        <f aca="false">P37*(1-ImpPct_H*(P$5&gt;IMPE_H))+P38</f>
        <v>169.5276</v>
      </c>
      <c r="Q39" s="93" t="n">
        <f aca="false">Q37*(1-ImpPct_H*(Q$5&gt;IMPE_H))+Q38</f>
        <v>169.5276</v>
      </c>
      <c r="R39" s="93" t="n">
        <f aca="false">R37*(1-ImpPct_H*(R$5&gt;IMPE_H))+R38</f>
        <v>169.5276</v>
      </c>
      <c r="S39" s="93" t="n">
        <f aca="false">S37*(1-ImpPct_H*(S$5&gt;IMPE_H))+S38</f>
        <v>169.5276</v>
      </c>
      <c r="T39" s="93" t="n">
        <f aca="false">T37*(1-ImpPct_H*(T$5&gt;IMPE_H))+T38</f>
        <v>169.5276</v>
      </c>
      <c r="U39" s="93" t="n">
        <f aca="false">U37*(1-ImpPct_H*(U$5&gt;IMPE_H))+U38</f>
        <v>169.5276</v>
      </c>
      <c r="V39" s="93" t="n">
        <f aca="false">V37*(1-ImpPct_H*(V$5&gt;IMPE_H))+V38</f>
        <v>169.5276</v>
      </c>
      <c r="W39" s="93" t="n">
        <f aca="false">W37*(1-ImpPct_H*(W$5&gt;IMPE_H))+W38</f>
        <v>169.5276</v>
      </c>
      <c r="X39" s="93" t="n">
        <f aca="false">X37*(1-ImpPct_H*(X$5&gt;IMPE_H))+X38</f>
        <v>169.5276</v>
      </c>
      <c r="Y39" s="93" t="n">
        <f aca="false">Y37*(1-ImpPct_H*(Y$5&gt;IMPE_H))+Y38</f>
        <v>169.5276</v>
      </c>
      <c r="Z39" s="93" t="n">
        <f aca="false">Z37*(1-ImpPct_H*(Z$5&gt;IMPE_H))+Z38</f>
        <v>162.4076</v>
      </c>
      <c r="AA39" s="93" t="n">
        <f aca="false">AA37*(1-ImpPct_H*(AA$5&gt;IMPE_H))+AA38</f>
        <v>157.2076</v>
      </c>
      <c r="AB39" s="93" t="n">
        <f aca="false">AB37*(1-ImpPct_H*(AB$5&gt;IMPE_H))+AB38</f>
        <v>152.0076</v>
      </c>
      <c r="AC39" s="93" t="n">
        <f aca="false">AC37*(1-ImpPct_H*(AC$5&gt;IMPE_H))+AC38</f>
        <v>146.8116</v>
      </c>
      <c r="AD39" s="93" t="n">
        <f aca="false">AD37*(1-ImpPct_H*(AD$5&gt;IMPE_H))+AD38</f>
        <v>130.1076</v>
      </c>
      <c r="AE39" s="93" t="n">
        <f aca="false">AE37*(1-ImpPct_H*(AE$5&gt;IMPE_H))+AE38</f>
        <v>117.0516</v>
      </c>
      <c r="AF39" s="93" t="n">
        <f aca="false">AF37*(1-ImpPct_H*(AF$5&gt;IMPE_H))+AF38</f>
        <v>104.7972</v>
      </c>
      <c r="AG39" s="93" t="n">
        <f aca="false">AG37*(1-ImpPct_H*(AG$5&gt;IMPE_H))+AG38</f>
        <v>81.8652</v>
      </c>
      <c r="AI39" s="93" t="n">
        <f aca="false">SUMIF($F$7:$AG$7,AI$7,$F39:$AG39)</f>
        <v>59.676</v>
      </c>
      <c r="AJ39" s="93" t="n">
        <f aca="false">SUMIF($F$7:$AG$7,AJ$7,$F39:$AG39)</f>
        <v>244.2888</v>
      </c>
      <c r="AK39" s="93" t="n">
        <f aca="false">SUMIF($F$7:$AG$7,AK$7,$F39:$AG39)</f>
        <v>622.9596</v>
      </c>
      <c r="AL39" s="93" t="n">
        <f aca="false">SUMIF($F$7:$AG$7,AL$7,$F39:$AG39)</f>
        <v>678.1104</v>
      </c>
      <c r="AM39" s="93" t="n">
        <f aca="false">SUMIF($F$7:$AG$7,AM$7,$F39:$AG39)</f>
        <v>678.1104</v>
      </c>
      <c r="AN39" s="93" t="n">
        <f aca="false">SUMIF($F$7:$AG$7,AN$7,$F39:$AG39)</f>
        <v>618.4344</v>
      </c>
      <c r="AO39" s="93" t="n">
        <f aca="false">SUMIF($F$7:$AG$7,AO$7,$F39:$AG39)</f>
        <v>433.8216</v>
      </c>
    </row>
    <row r="40" customFormat="false" ht="15" hidden="false" customHeight="false" outlineLevel="0" collapsed="false">
      <c r="A40" s="101" t="s">
        <v>1658</v>
      </c>
      <c r="B40" s="18" t="s">
        <v>400</v>
      </c>
      <c r="C40" s="18" t="s">
        <v>347</v>
      </c>
      <c r="D40" s="18"/>
      <c r="F40" s="119" t="n">
        <f aca="false">IF(F$5=IMPE_H,ImpPct_H*(SUMPRODUCT($E$23:F$23,--($E$5:F$5&lt;=IMPE_H))-SUM($F$37:F$37)),0)</f>
        <v>0</v>
      </c>
      <c r="G40" s="119" t="n">
        <f aca="false">IF(G$5=IMPE_H,ImpPct_H*(SUMPRODUCT($E$23:G$23,--($E$5:G$5&lt;=IMPE_H))-SUM($F$37:G$37)),0)</f>
        <v>0</v>
      </c>
      <c r="H40" s="119" t="n">
        <f aca="false">IF(H$5=IMPE_H,ImpPct_H*(SUMPRODUCT($E$23:H$23,--($E$5:H$5&lt;=IMPE_H))-SUM($F$37:H$37)),0)</f>
        <v>0</v>
      </c>
      <c r="I40" s="119" t="n">
        <f aca="false">IF(I$5=IMPE_H,ImpPct_H*(SUMPRODUCT($E$23:I$23,--($E$5:I$5&lt;=IMPE_H))-SUM($F$37:I$37)),0)</f>
        <v>0</v>
      </c>
      <c r="J40" s="119" t="n">
        <f aca="false">IF(J$5=IMPE_H,ImpPct_H*(SUMPRODUCT($E$23:J$23,--($E$5:J$5&lt;=IMPE_H))-SUM($F$37:J$37)),0)</f>
        <v>0</v>
      </c>
      <c r="K40" s="119" t="n">
        <f aca="false">IF(K$5=IMPE_H,ImpPct_H*(SUMPRODUCT($E$23:K$23,--($E$5:K$5&lt;=IMPE_H))-SUM($F$37:K$37)),0)</f>
        <v>0</v>
      </c>
      <c r="L40" s="119" t="n">
        <f aca="false">IF(L$5=IMPE_H,ImpPct_H*(SUMPRODUCT($E$23:L$23,--($E$5:L$5&lt;=IMPE_H))-SUM($F$37:L$37)),0)</f>
        <v>0</v>
      </c>
      <c r="M40" s="119" t="n">
        <f aca="false">IF(M$5=IMPE_H,ImpPct_H*(SUMPRODUCT($E$23:M$23,--($E$5:M$5&lt;=IMPE_H))-SUM($F$37:M$37)),0)</f>
        <v>0</v>
      </c>
      <c r="N40" s="119" t="n">
        <f aca="false">IF(N$5=IMPE_H,ImpPct_H*(SUMPRODUCT($E$23:N$23,--($E$5:N$5&lt;=IMPE_H))-SUM($F$37:N$37)),0)</f>
        <v>0</v>
      </c>
      <c r="O40" s="119" t="n">
        <f aca="false">IF(O$5=IMPE_H,ImpPct_H*(SUMPRODUCT($E$23:O$23,--($E$5:O$5&lt;=IMPE_H))-SUM($F$37:O$37)),0)</f>
        <v>0</v>
      </c>
      <c r="P40" s="120" t="n">
        <f aca="false">IF(P$5=IMPE_H,ImpPct_H*(SUMPRODUCT($E$23:P$23,--($E$5:P$5&lt;=IMPE_H))-SUM($F$37:P$37)),0)</f>
        <v>0</v>
      </c>
      <c r="Q40" s="120" t="n">
        <f aca="false">IF(Q$5=IMPE_H,ImpPct_H*(SUMPRODUCT($E$23:Q$23,--($E$5:Q$5&lt;=IMPE_H))-SUM($F$37:Q$37)),0)</f>
        <v>0</v>
      </c>
      <c r="R40" s="120" t="n">
        <f aca="false">IF(R$5=IMPE_H,ImpPct_H*(SUMPRODUCT($E$23:R$23,--($E$5:R$5&lt;=IMPE_H))-SUM($F$37:R$37)),0)</f>
        <v>0</v>
      </c>
      <c r="S40" s="120" t="n">
        <f aca="false">IF(S$5=IMPE_H,ImpPct_H*(SUMPRODUCT($E$23:S$23,--($E$5:S$5&lt;=IMPE_H))-SUM($F$37:S$37)),0)</f>
        <v>0</v>
      </c>
      <c r="T40" s="120" t="n">
        <f aca="false">IF(T$5=IMPE_H,ImpPct_H*(SUMPRODUCT($E$23:T$23,--($E$5:T$5&lt;=IMPE_H))-SUM($F$37:T$37)),0)</f>
        <v>0</v>
      </c>
      <c r="U40" s="120" t="n">
        <f aca="false">IF(U$5=IMPE_H,ImpPct_H*(SUMPRODUCT($E$23:U$23,--($E$5:U$5&lt;=IMPE_H))-SUM($F$37:U$37)),0)</f>
        <v>0</v>
      </c>
      <c r="V40" s="120" t="n">
        <f aca="false">IF(V$5=IMPE_H,ImpPct_H*(SUMPRODUCT($E$23:V$23,--($E$5:V$5&lt;=IMPE_H))-SUM($F$37:V$37)),0)</f>
        <v>0</v>
      </c>
      <c r="W40" s="120" t="n">
        <f aca="false">IF(W$5=IMPE_H,ImpPct_H*(SUMPRODUCT($E$23:W$23,--($E$5:W$5&lt;=IMPE_H))-SUM($F$37:W$37)),0)</f>
        <v>0</v>
      </c>
      <c r="X40" s="120" t="n">
        <f aca="false">IF(X$5=IMPE_H,ImpPct_H*(SUMPRODUCT($E$23:X$23,--($E$5:X$5&lt;=IMPE_H))-SUM($F$37:X$37)),0)</f>
        <v>0</v>
      </c>
      <c r="Y40" s="120" t="n">
        <f aca="false">IF(Y$5=IMPE_H,ImpPct_H*(SUMPRODUCT($E$23:Y$23,--($E$5:Y$5&lt;=IMPE_H))-SUM($F$37:Y$37)),0)</f>
        <v>0</v>
      </c>
      <c r="Z40" s="120" t="n">
        <f aca="false">IF(Z$5=IMPE_H,ImpPct_H*(SUMPRODUCT($E$23:Z$23,--($E$5:Z$5&lt;=IMPE_H))-SUM($F$37:Z$37)),0)</f>
        <v>0</v>
      </c>
      <c r="AA40" s="120" t="n">
        <f aca="false">IF(AA$5=IMPE_H,ImpPct_H*(SUMPRODUCT($E$23:AA$23,--($E$5:AA$5&lt;=IMPE_H))-SUM($F$37:AA$37)),0)</f>
        <v>0</v>
      </c>
      <c r="AB40" s="120" t="n">
        <f aca="false">IF(AB$5=IMPE_H,ImpPct_H*(SUMPRODUCT($E$23:AB$23,--($E$5:AB$5&lt;=IMPE_H))-SUM($F$37:AB$37)),0)</f>
        <v>0</v>
      </c>
      <c r="AC40" s="120" t="n">
        <f aca="false">IF(AC$5=IMPE_H,ImpPct_H*(SUMPRODUCT($E$23:AC$23,--($E$5:AC$5&lt;=IMPE_H))-SUM($F$37:AC$37)),0)</f>
        <v>0</v>
      </c>
      <c r="AD40" s="120" t="n">
        <f aca="false">IF(AD$5=IMPE_H,ImpPct_H*(SUMPRODUCT($E$23:AD$23,--($E$5:AD$5&lt;=IMPE_H))-SUM($F$37:AD$37)),0)</f>
        <v>0</v>
      </c>
      <c r="AE40" s="120" t="n">
        <f aca="false">IF(AE$5=IMPE_H,ImpPct_H*(SUMPRODUCT($E$23:AE$23,--($E$5:AE$5&lt;=IMPE_H))-SUM($F$37:AE$37)),0)</f>
        <v>0</v>
      </c>
      <c r="AF40" s="120" t="n">
        <f aca="false">IF(AF$5=IMPE_H,ImpPct_H*(SUMPRODUCT($E$23:AF$23,--($E$5:AF$5&lt;=IMPE_H))-SUM($F$37:AF$37)),0)</f>
        <v>0</v>
      </c>
      <c r="AG40" s="120" t="n">
        <f aca="false">IF(AG$5=IMPE_H,ImpPct_H*(SUMPRODUCT($E$23:AG$23,--($E$5:AG$5&lt;=IMPE_H))-SUM($F$37:AG$37)),0)</f>
        <v>0</v>
      </c>
      <c r="AI40" s="120" t="n">
        <f aca="false">SUMIF($F$7:$AG$7,AI$7,$F40:$AG40)</f>
        <v>0</v>
      </c>
      <c r="AJ40" s="120" t="n">
        <f aca="false">SUMIF($F$7:$AG$7,AJ$7,$F40:$AG40)</f>
        <v>0</v>
      </c>
      <c r="AK40" s="120" t="n">
        <f aca="false">SUMIF($F$7:$AG$7,AK$7,$F40:$AG40)</f>
        <v>0</v>
      </c>
      <c r="AL40" s="120" t="n">
        <f aca="false">SUMIF($F$7:$AG$7,AL$7,$F40:$AG40)</f>
        <v>0</v>
      </c>
      <c r="AM40" s="120" t="n">
        <f aca="false">SUMIF($F$7:$AG$7,AM$7,$F40:$AG40)</f>
        <v>0</v>
      </c>
      <c r="AN40" s="120" t="n">
        <f aca="false">SUMIF($F$7:$AG$7,AN$7,$F40:$AG40)</f>
        <v>0</v>
      </c>
      <c r="AO40" s="120" t="n">
        <f aca="false">SUMIF($F$7:$AG$7,AO$7,$F40:$AG40)</f>
        <v>0</v>
      </c>
    </row>
    <row r="41" customFormat="false" ht="15" hidden="false" customHeight="false" outlineLevel="0" collapsed="false">
      <c r="A41" s="101" t="s">
        <v>1659</v>
      </c>
      <c r="B41" s="18" t="s">
        <v>400</v>
      </c>
      <c r="C41" s="18" t="s">
        <v>336</v>
      </c>
      <c r="D41" s="18"/>
      <c r="E41" s="120" t="n">
        <f aca="false">E23</f>
        <v>142.4</v>
      </c>
      <c r="F41" s="119" t="n">
        <f aca="false">E41+F23-F39-F40</f>
        <v>239.28</v>
      </c>
      <c r="G41" s="119" t="n">
        <f aca="false">F41+G23-G39-G40</f>
        <v>330.96</v>
      </c>
      <c r="H41" s="119" t="n">
        <f aca="false">G41+H23-H39-H40</f>
        <v>417.36</v>
      </c>
      <c r="I41" s="119" t="n">
        <f aca="false">H41+I23-I39-I40</f>
        <v>728.724</v>
      </c>
      <c r="J41" s="119" t="n">
        <f aca="false">I41+J23-J39-J40</f>
        <v>950.424</v>
      </c>
      <c r="K41" s="119" t="n">
        <f aca="false">J41+K23-K39-K40</f>
        <v>1143.036</v>
      </c>
      <c r="L41" s="119" t="n">
        <f aca="false">K41+L23-L39-L40</f>
        <v>1536.9456</v>
      </c>
      <c r="M41" s="119" t="n">
        <f aca="false">L41+M23-M39-M40</f>
        <v>2436.1632</v>
      </c>
      <c r="N41" s="119" t="n">
        <f aca="false">M41+N23-N39-N40</f>
        <v>2496.9888</v>
      </c>
      <c r="O41" s="119" t="n">
        <f aca="false">N41+O23-O39-O40</f>
        <v>2802.6828</v>
      </c>
      <c r="P41" s="120" t="n">
        <f aca="false">O41+P23-P39-P40</f>
        <v>2633.1552</v>
      </c>
      <c r="Q41" s="120" t="n">
        <f aca="false">P41+Q23-Q39-Q40</f>
        <v>2463.6276</v>
      </c>
      <c r="R41" s="120" t="n">
        <f aca="false">Q41+R23-R39-R40</f>
        <v>2294.1</v>
      </c>
      <c r="S41" s="120" t="n">
        <f aca="false">R41+S23-S39-S40</f>
        <v>2124.5724</v>
      </c>
      <c r="T41" s="120" t="n">
        <f aca="false">S41+T23-T39-T40</f>
        <v>1955.0448</v>
      </c>
      <c r="U41" s="120" t="n">
        <f aca="false">T41+U23-U39-U40</f>
        <v>1785.5172</v>
      </c>
      <c r="V41" s="120" t="n">
        <f aca="false">U41+V23-V39-V40</f>
        <v>1615.9896</v>
      </c>
      <c r="W41" s="120" t="n">
        <f aca="false">V41+W23-W39-W40</f>
        <v>1446.462</v>
      </c>
      <c r="X41" s="120" t="n">
        <f aca="false">W41+X23-X39-X40</f>
        <v>1276.9344</v>
      </c>
      <c r="Y41" s="120" t="n">
        <f aca="false">X41+Y23-Y39-Y40</f>
        <v>1107.4068</v>
      </c>
      <c r="Z41" s="120" t="n">
        <f aca="false">Y41+Z23-Z39-Z40</f>
        <v>944.999200000001</v>
      </c>
      <c r="AA41" s="120" t="n">
        <f aca="false">Z41+AA23-AA39-AA40</f>
        <v>787.791600000001</v>
      </c>
      <c r="AB41" s="120" t="n">
        <f aca="false">AA41+AB23-AB39-AB40</f>
        <v>635.784000000001</v>
      </c>
      <c r="AC41" s="120" t="n">
        <f aca="false">AB41+AC23-AC39-AC40</f>
        <v>488.972400000001</v>
      </c>
      <c r="AD41" s="120" t="n">
        <f aca="false">AC41+AD23-AD39-AD40</f>
        <v>358.864800000001</v>
      </c>
      <c r="AE41" s="120" t="n">
        <f aca="false">AD41+AE23-AE39-AE40</f>
        <v>241.813200000001</v>
      </c>
      <c r="AF41" s="120" t="n">
        <f aca="false">AE41+AF23-AF39-AF40</f>
        <v>137.016000000001</v>
      </c>
      <c r="AG41" s="120" t="n">
        <f aca="false">AF41+AG23-AG39-AG40</f>
        <v>55.1508000000006</v>
      </c>
      <c r="AI41" s="120" t="n">
        <f aca="false">INDEX($F41:$AG41,1,MATCH(AI$7,$F$7:$AG$7,1))</f>
        <v>728.724</v>
      </c>
      <c r="AJ41" s="120" t="n">
        <f aca="false">INDEX($F41:$AG41,1,MATCH(AJ$7,$F$7:$AG$7,1))</f>
        <v>2436.1632</v>
      </c>
      <c r="AK41" s="120" t="n">
        <f aca="false">INDEX($F41:$AG41,1,MATCH(AK$7,$F$7:$AG$7,1))</f>
        <v>2463.6276</v>
      </c>
      <c r="AL41" s="120" t="n">
        <f aca="false">INDEX($F41:$AG41,1,MATCH(AL$7,$F$7:$AG$7,1))</f>
        <v>1785.5172</v>
      </c>
      <c r="AM41" s="120" t="n">
        <f aca="false">INDEX($F41:$AG41,1,MATCH(AM$7,$F$7:$AG$7,1))</f>
        <v>1107.4068</v>
      </c>
      <c r="AN41" s="120" t="n">
        <f aca="false">INDEX($F41:$AG41,1,MATCH(AN$7,$F$7:$AG$7,1))</f>
        <v>488.972400000001</v>
      </c>
      <c r="AO41" s="120" t="n">
        <f aca="false">INDEX($F41:$AG41,1,MATCH(AO$7,$F$7:$AG$7,1))</f>
        <v>55.1508000000006</v>
      </c>
    </row>
    <row r="42" customFormat="false" ht="15" hidden="false" customHeight="false" outlineLevel="0" collapsed="false">
      <c r="A42" s="101" t="s">
        <v>1660</v>
      </c>
      <c r="B42" s="18" t="s">
        <v>400</v>
      </c>
      <c r="C42" s="18" t="s">
        <v>336</v>
      </c>
      <c r="D42" s="18"/>
      <c r="F42" s="119" t="n">
        <f aca="false">SUMPRODUCT($E$24:F$24,((F$5-$E$5:F$5)&gt;=(PISLag+($E$5:F$5&gt;LastHist)*(GPULead-1)))*((F$5-$E$5:F$5)&lt;LQ_B+(PISLag+($E$5:F$5&gt;LastHist)*(GPULead-1)))*($E$5:F$5&lt;=IMPE_B))/LQ_B</f>
        <v>0</v>
      </c>
      <c r="G42" s="119" t="n">
        <f aca="false">SUMPRODUCT($E$24:G$24,((G$5-$E$5:G$5)&gt;=(PISLag+($E$5:G$5&gt;LastHist)*(GPULead-1)))*((G$5-$E$5:G$5)&lt;LQ_B+(PISLag+($E$5:G$5&gt;LastHist)*(GPULead-1)))*($E$5:G$5&lt;=IMPE_B))/LQ_B</f>
        <v>0</v>
      </c>
      <c r="H42" s="119" t="n">
        <f aca="false">SUMPRODUCT($E$24:H$24,((H$5-$E$5:H$5)&gt;=(PISLag+($E$5:H$5&gt;LastHist)*(GPULead-1)))*((H$5-$E$5:H$5)&lt;LQ_B+(PISLag+($E$5:H$5&gt;LastHist)*(GPULead-1)))*($E$5:H$5&lt;=IMPE_B))/LQ_B</f>
        <v>0</v>
      </c>
      <c r="I42" s="119" t="n">
        <f aca="false">SUMPRODUCT($E$24:I$24,((I$5-$E$5:I$5)&gt;=(PISLag+($E$5:I$5&gt;LastHist)*(GPULead-1)))*((I$5-$E$5:I$5)&lt;LQ_B+(PISLag+($E$5:I$5&gt;LastHist)*(GPULead-1)))*($E$5:I$5&lt;=IMPE_B))/LQ_B</f>
        <v>0</v>
      </c>
      <c r="J42" s="119" t="n">
        <f aca="false">SUMPRODUCT($E$24:J$24,((J$5-$E$5:J$5)&gt;=(PISLag+($E$5:J$5&gt;LastHist)*(GPULead-1)))*((J$5-$E$5:J$5)&lt;LQ_B+(PISLag+($E$5:J$5&gt;LastHist)*(GPULead-1)))*($E$5:J$5&lt;=IMPE_B))/LQ_B</f>
        <v>0</v>
      </c>
      <c r="K42" s="119" t="n">
        <f aca="false">SUMPRODUCT($E$24:K$24,((K$5-$E$5:K$5)&gt;=(PISLag+($E$5:K$5&gt;LastHist)*(GPULead-1)))*((K$5-$E$5:K$5)&lt;LQ_B+(PISLag+($E$5:K$5&gt;LastHist)*(GPULead-1)))*($E$5:K$5&lt;=IMPE_B))/LQ_B</f>
        <v>8.704</v>
      </c>
      <c r="L42" s="119" t="n">
        <f aca="false">SUMPRODUCT($E$24:L$24,((L$5-$E$5:L$5)&gt;=(PISLag+($E$5:L$5&gt;LastHist)*(GPULead-1)))*((L$5-$E$5:L$5)&lt;LQ_B+(PISLag+($E$5:L$5&gt;LastHist)*(GPULead-1)))*($E$5:L$5&lt;=IMPE_B))/LQ_B</f>
        <v>16.8736</v>
      </c>
      <c r="M42" s="119" t="n">
        <f aca="false">SUMPRODUCT($E$24:M$24,((M$5-$E$5:M$5)&gt;=(PISLag+($E$5:M$5&gt;LastHist)*(GPULead-1)))*((M$5-$E$5:M$5)&lt;LQ_B+(PISLag+($E$5:M$5&gt;LastHist)*(GPULead-1)))*($E$5:M$5&lt;=IMPE_B))/LQ_B</f>
        <v>32.1616</v>
      </c>
      <c r="N42" s="119" t="n">
        <f aca="false">SUMPRODUCT($E$24:N$24,((N$5-$E$5:N$5)&gt;=(PISLag+($E$5:N$5&gt;LastHist)*(GPULead-1)))*((N$5-$E$5:N$5)&lt;LQ_B+(PISLag+($E$5:N$5&gt;LastHist)*(GPULead-1)))*($E$5:N$5&lt;=IMPE_B))/LQ_B</f>
        <v>65.0576</v>
      </c>
      <c r="O42" s="119" t="n">
        <f aca="false">SUMPRODUCT($E$24:O$24,((O$5-$E$5:O$5)&gt;=(PISLag+($E$5:O$5&gt;LastHist)*(GPULead-1)))*((O$5-$E$5:O$5)&lt;LQ_B+(PISLag+($E$5:O$5&gt;LastHist)*(GPULead-1)))*($E$5:O$5&lt;=IMPE_B))/LQ_B</f>
        <v>154.082</v>
      </c>
      <c r="P42" s="120" t="n">
        <f aca="false">SUMPRODUCT($E$24:P$24,((P$5-$E$5:P$5)&gt;=(PISLag+($E$5:P$5&gt;LastHist)*(GPULead-1)))*((P$5-$E$5:P$5)&lt;LQ_B+(PISLag+($E$5:P$5&gt;LastHist)*(GPULead-1)))*($E$5:P$5&lt;=IMPE_B))/LQ_B</f>
        <v>357.7484</v>
      </c>
      <c r="Q42" s="120" t="n">
        <f aca="false">SUMPRODUCT($E$24:Q$24,((Q$5-$E$5:Q$5)&gt;=(PISLag+($E$5:Q$5&gt;LastHist)*(GPULead-1)))*((Q$5-$E$5:Q$5)&lt;LQ_B+(PISLag+($E$5:Q$5&gt;LastHist)*(GPULead-1)))*($E$5:Q$5&lt;=IMPE_B))/LQ_B</f>
        <v>357.7484</v>
      </c>
      <c r="R42" s="120" t="n">
        <f aca="false">SUMPRODUCT($E$24:R$24,((R$5-$E$5:R$5)&gt;=(PISLag+($E$5:R$5&gt;LastHist)*(GPULead-1)))*((R$5-$E$5:R$5)&lt;LQ_B+(PISLag+($E$5:R$5&gt;LastHist)*(GPULead-1)))*($E$5:R$5&lt;=IMPE_B))/LQ_B</f>
        <v>526.4584</v>
      </c>
      <c r="S42" s="120" t="n">
        <f aca="false">SUMPRODUCT($E$24:S$24,((S$5-$E$5:S$5)&gt;=(PISLag+($E$5:S$5&gt;LastHist)*(GPULead-1)))*((S$5-$E$5:S$5)&lt;LQ_B+(PISLag+($E$5:S$5&gt;LastHist)*(GPULead-1)))*($E$5:S$5&lt;=IMPE_B))/LQ_B</f>
        <v>752.908387116059</v>
      </c>
      <c r="T42" s="120" t="n">
        <f aca="false">SUMPRODUCT($E$24:T$24,((T$5-$E$5:T$5)&gt;=(PISLag+($E$5:T$5&gt;LastHist)*(GPULead-1)))*((T$5-$E$5:T$5)&lt;LQ_B+(PISLag+($E$5:T$5&gt;LastHist)*(GPULead-1)))*($E$5:T$5&lt;=IMPE_B))/LQ_B</f>
        <v>971.899890266374</v>
      </c>
      <c r="U42" s="120" t="n">
        <f aca="false">SUMPRODUCT($E$24:U$24,((U$5-$E$5:U$5)&gt;=(PISLag+($E$5:U$5&gt;LastHist)*(GPULead-1)))*((U$5-$E$5:U$5)&lt;LQ_B+(PISLag+($E$5:U$5&gt;LastHist)*(GPULead-1)))*($E$5:U$5&lt;=IMPE_B))/LQ_B</f>
        <v>1084.64746414087</v>
      </c>
      <c r="V42" s="120" t="n">
        <f aca="false">SUMPRODUCT($E$24:V$24,((V$5-$E$5:V$5)&gt;=(PISLag+($E$5:V$5&gt;LastHist)*(GPULead-1)))*((V$5-$E$5:V$5)&lt;LQ_B+(PISLag+($E$5:V$5&gt;LastHist)*(GPULead-1)))*($E$5:V$5&lt;=IMPE_B))/LQ_B</f>
        <v>1288.07359476</v>
      </c>
      <c r="W42" s="120" t="n">
        <f aca="false">SUMPRODUCT($E$24:W$24,((W$5-$E$5:W$5)&gt;=(PISLag+($E$5:W$5&gt;LastHist)*(GPULead-1)))*((W$5-$E$5:W$5)&lt;LQ_B+(PISLag+($E$5:W$5&gt;LastHist)*(GPULead-1)))*($E$5:W$5&lt;=IMPE_B))/LQ_B</f>
        <v>1288.07359476</v>
      </c>
      <c r="X42" s="120" t="n">
        <f aca="false">SUMPRODUCT($E$24:X$24,((X$5-$E$5:X$5)&gt;=(PISLag+($E$5:X$5&gt;LastHist)*(GPULead-1)))*((X$5-$E$5:X$5)&lt;LQ_B+(PISLag+($E$5:X$5&gt;LastHist)*(GPULead-1)))*($E$5:X$5&lt;=IMPE_B))/LQ_B</f>
        <v>1288.07359476</v>
      </c>
      <c r="Y42" s="120" t="n">
        <f aca="false">SUMPRODUCT($E$24:Y$24,((Y$5-$E$5:Y$5)&gt;=(PISLag+($E$5:Y$5&gt;LastHist)*(GPULead-1)))*((Y$5-$E$5:Y$5)&lt;LQ_B+(PISLag+($E$5:Y$5&gt;LastHist)*(GPULead-1)))*($E$5:Y$5&lt;=IMPE_B))/LQ_B</f>
        <v>1288.07359476</v>
      </c>
      <c r="Z42" s="120" t="n">
        <f aca="false">SUMPRODUCT($E$24:Z$24,((Z$5-$E$5:Z$5)&gt;=(PISLag+($E$5:Z$5&gt;LastHist)*(GPULead-1)))*((Z$5-$E$5:Z$5)&lt;LQ_B+(PISLag+($E$5:Z$5&gt;LastHist)*(GPULead-1)))*($E$5:Z$5&lt;=IMPE_B))/LQ_B</f>
        <v>1401.05354696663</v>
      </c>
      <c r="AA42" s="120" t="n">
        <f aca="false">SUMPRODUCT($E$24:AA$24,((AA$5-$E$5:AA$5)&gt;=(PISLag+($E$5:AA$5&gt;LastHist)*(GPULead-1)))*((AA$5-$E$5:AA$5)&lt;LQ_B+(PISLag+($E$5:AA$5&gt;LastHist)*(GPULead-1)))*($E$5:AA$5&lt;=IMPE_B))/LQ_B</f>
        <v>1401.05354696663</v>
      </c>
      <c r="AB42" s="120" t="n">
        <f aca="false">SUMPRODUCT($E$24:AB$24,((AB$5-$E$5:AB$5)&gt;=(PISLag+($E$5:AB$5&gt;LastHist)*(GPULead-1)))*((AB$5-$E$5:AB$5)&lt;LQ_B+(PISLag+($E$5:AB$5&gt;LastHist)*(GPULead-1)))*($E$5:AB$5&lt;=IMPE_B))/LQ_B</f>
        <v>1401.05354696663</v>
      </c>
      <c r="AC42" s="120" t="n">
        <f aca="false">SUMPRODUCT($E$24:AC$24,((AC$5-$E$5:AC$5)&gt;=(PISLag+($E$5:AC$5&gt;LastHist)*(GPULead-1)))*((AC$5-$E$5:AC$5)&lt;LQ_B+(PISLag+($E$5:AC$5&gt;LastHist)*(GPULead-1)))*($E$5:AC$5&lt;=IMPE_B))/LQ_B</f>
        <v>1401.05354696663</v>
      </c>
      <c r="AD42" s="120" t="n">
        <f aca="false">SUMPRODUCT($E$24:AD$24,((AD$5-$E$5:AD$5)&gt;=(PISLag+($E$5:AD$5&gt;LastHist)*(GPULead-1)))*((AD$5-$E$5:AD$5)&lt;LQ_B+(PISLag+($E$5:AD$5&gt;LastHist)*(GPULead-1)))*($E$5:AD$5&lt;=IMPE_B))/LQ_B</f>
        <v>1401.05354696663</v>
      </c>
      <c r="AE42" s="120" t="n">
        <f aca="false">SUMPRODUCT($E$24:AE$24,((AE$5-$E$5:AE$5)&gt;=(PISLag+($E$5:AE$5&gt;LastHist)*(GPULead-1)))*((AE$5-$E$5:AE$5)&lt;LQ_B+(PISLag+($E$5:AE$5&gt;LastHist)*(GPULead-1)))*($E$5:AE$5&lt;=IMPE_B))/LQ_B</f>
        <v>1392.34954696663</v>
      </c>
      <c r="AF42" s="120" t="n">
        <f aca="false">SUMPRODUCT($E$24:AF$24,((AF$5-$E$5:AF$5)&gt;=(PISLag+($E$5:AF$5&gt;LastHist)*(GPULead-1)))*((AF$5-$E$5:AF$5)&lt;LQ_B+(PISLag+($E$5:AF$5&gt;LastHist)*(GPULead-1)))*($E$5:AF$5&lt;=IMPE_B))/LQ_B</f>
        <v>1384.17994696663</v>
      </c>
      <c r="AG42" s="120" t="n">
        <f aca="false">SUMPRODUCT($E$24:AG$24,((AG$5-$E$5:AG$5)&gt;=(PISLag+($E$5:AG$5&gt;LastHist)*(GPULead-1)))*((AG$5-$E$5:AG$5)&lt;LQ_B+(PISLag+($E$5:AG$5&gt;LastHist)*(GPULead-1)))*($E$5:AG$5&lt;=IMPE_B))/LQ_B</f>
        <v>1368.89194696663</v>
      </c>
      <c r="AI42" s="120" t="n">
        <f aca="false">SUMIF($F$7:$AG$7,AI$7,$F42:$AG42)</f>
        <v>0</v>
      </c>
      <c r="AJ42" s="120" t="n">
        <f aca="false">SUMIF($F$7:$AG$7,AJ$7,$F42:$AG42)</f>
        <v>57.7392</v>
      </c>
      <c r="AK42" s="120" t="n">
        <f aca="false">SUMIF($F$7:$AG$7,AK$7,$F42:$AG42)</f>
        <v>934.6364</v>
      </c>
      <c r="AL42" s="120" t="n">
        <f aca="false">SUMIF($F$7:$AG$7,AL$7,$F42:$AG42)</f>
        <v>3335.9141415233</v>
      </c>
      <c r="AM42" s="120" t="n">
        <f aca="false">SUMIF($F$7:$AG$7,AM$7,$F42:$AG42)</f>
        <v>5152.29437904001</v>
      </c>
      <c r="AN42" s="120" t="n">
        <f aca="false">SUMIF($F$7:$AG$7,AN$7,$F42:$AG42)</f>
        <v>5604.21418786653</v>
      </c>
      <c r="AO42" s="120" t="n">
        <f aca="false">SUMIF($F$7:$AG$7,AO$7,$F42:$AG42)</f>
        <v>5546.47498786653</v>
      </c>
    </row>
    <row r="43" customFormat="false" ht="15" hidden="false" customHeight="false" outlineLevel="0" collapsed="false">
      <c r="A43" s="101" t="s">
        <v>1661</v>
      </c>
      <c r="B43" s="18" t="s">
        <v>400</v>
      </c>
      <c r="C43" s="18" t="s">
        <v>336</v>
      </c>
      <c r="D43" s="18"/>
      <c r="F43" s="119" t="n">
        <f aca="false">SUMPRODUCT($E$24:F$24,((F$5-$E$5:F$5)&gt;=(PISLag+($E$5:F$5&gt;LastHist)*(GPULead-1)))*((F$5-$E$5:F$5)&lt;LQ_B+(PISLag+($E$5:F$5&gt;LastHist)*(GPULead-1)))*($E$5:F$5&gt;IMPE_B))/LQ_B</f>
        <v>0</v>
      </c>
      <c r="G43" s="119" t="n">
        <f aca="false">SUMPRODUCT($E$24:G$24,((G$5-$E$5:G$5)&gt;=(PISLag+($E$5:G$5&gt;LastHist)*(GPULead-1)))*((G$5-$E$5:G$5)&lt;LQ_B+(PISLag+($E$5:G$5&gt;LastHist)*(GPULead-1)))*($E$5:G$5&gt;IMPE_B))/LQ_B</f>
        <v>0</v>
      </c>
      <c r="H43" s="119" t="n">
        <f aca="false">SUMPRODUCT($E$24:H$24,((H$5-$E$5:H$5)&gt;=(PISLag+($E$5:H$5&gt;LastHist)*(GPULead-1)))*((H$5-$E$5:H$5)&lt;LQ_B+(PISLag+($E$5:H$5&gt;LastHist)*(GPULead-1)))*($E$5:H$5&gt;IMPE_B))/LQ_B</f>
        <v>0</v>
      </c>
      <c r="I43" s="119" t="n">
        <f aca="false">SUMPRODUCT($E$24:I$24,((I$5-$E$5:I$5)&gt;=(PISLag+($E$5:I$5&gt;LastHist)*(GPULead-1)))*((I$5-$E$5:I$5)&lt;LQ_B+(PISLag+($E$5:I$5&gt;LastHist)*(GPULead-1)))*($E$5:I$5&gt;IMPE_B))/LQ_B</f>
        <v>0</v>
      </c>
      <c r="J43" s="119" t="n">
        <f aca="false">SUMPRODUCT($E$24:J$24,((J$5-$E$5:J$5)&gt;=(PISLag+($E$5:J$5&gt;LastHist)*(GPULead-1)))*((J$5-$E$5:J$5)&lt;LQ_B+(PISLag+($E$5:J$5&gt;LastHist)*(GPULead-1)))*($E$5:J$5&gt;IMPE_B))/LQ_B</f>
        <v>0</v>
      </c>
      <c r="K43" s="119" t="n">
        <f aca="false">SUMPRODUCT($E$24:K$24,((K$5-$E$5:K$5)&gt;=(PISLag+($E$5:K$5&gt;LastHist)*(GPULead-1)))*((K$5-$E$5:K$5)&lt;LQ_B+(PISLag+($E$5:K$5&gt;LastHist)*(GPULead-1)))*($E$5:K$5&gt;IMPE_B))/LQ_B</f>
        <v>0</v>
      </c>
      <c r="L43" s="119" t="n">
        <f aca="false">SUMPRODUCT($E$24:L$24,((L$5-$E$5:L$5)&gt;=(PISLag+($E$5:L$5&gt;LastHist)*(GPULead-1)))*((L$5-$E$5:L$5)&lt;LQ_B+(PISLag+($E$5:L$5&gt;LastHist)*(GPULead-1)))*($E$5:L$5&gt;IMPE_B))/LQ_B</f>
        <v>0</v>
      </c>
      <c r="M43" s="119" t="n">
        <f aca="false">SUMPRODUCT($E$24:M$24,((M$5-$E$5:M$5)&gt;=(PISLag+($E$5:M$5&gt;LastHist)*(GPULead-1)))*((M$5-$E$5:M$5)&lt;LQ_B+(PISLag+($E$5:M$5&gt;LastHist)*(GPULead-1)))*($E$5:M$5&gt;IMPE_B))/LQ_B</f>
        <v>0</v>
      </c>
      <c r="N43" s="119" t="n">
        <f aca="false">SUMPRODUCT($E$24:N$24,((N$5-$E$5:N$5)&gt;=(PISLag+($E$5:N$5&gt;LastHist)*(GPULead-1)))*((N$5-$E$5:N$5)&lt;LQ_B+(PISLag+($E$5:N$5&gt;LastHist)*(GPULead-1)))*($E$5:N$5&gt;IMPE_B))/LQ_B</f>
        <v>0</v>
      </c>
      <c r="O43" s="119" t="n">
        <f aca="false">SUMPRODUCT($E$24:O$24,((O$5-$E$5:O$5)&gt;=(PISLag+($E$5:O$5&gt;LastHist)*(GPULead-1)))*((O$5-$E$5:O$5)&lt;LQ_B+(PISLag+($E$5:O$5&gt;LastHist)*(GPULead-1)))*($E$5:O$5&gt;IMPE_B))/LQ_B</f>
        <v>0</v>
      </c>
      <c r="P43" s="120" t="n">
        <f aca="false">SUMPRODUCT($E$24:P$24,((P$5-$E$5:P$5)&gt;=(PISLag+($E$5:P$5&gt;LastHist)*(GPULead-1)))*((P$5-$E$5:P$5)&lt;LQ_B+(PISLag+($E$5:P$5&gt;LastHist)*(GPULead-1)))*($E$5:P$5&gt;IMPE_B))/LQ_B</f>
        <v>0</v>
      </c>
      <c r="Q43" s="120" t="n">
        <f aca="false">SUMPRODUCT($E$24:Q$24,((Q$5-$E$5:Q$5)&gt;=(PISLag+($E$5:Q$5&gt;LastHist)*(GPULead-1)))*((Q$5-$E$5:Q$5)&lt;LQ_B+(PISLag+($E$5:Q$5&gt;LastHist)*(GPULead-1)))*($E$5:Q$5&gt;IMPE_B))/LQ_B</f>
        <v>0</v>
      </c>
      <c r="R43" s="120" t="n">
        <f aca="false">SUMPRODUCT($E$24:R$24,((R$5-$E$5:R$5)&gt;=(PISLag+($E$5:R$5&gt;LastHist)*(GPULead-1)))*((R$5-$E$5:R$5)&lt;LQ_B+(PISLag+($E$5:R$5&gt;LastHist)*(GPULead-1)))*($E$5:R$5&gt;IMPE_B))/LQ_B</f>
        <v>0</v>
      </c>
      <c r="S43" s="120" t="n">
        <f aca="false">SUMPRODUCT($E$24:S$24,((S$5-$E$5:S$5)&gt;=(PISLag+($E$5:S$5&gt;LastHist)*(GPULead-1)))*((S$5-$E$5:S$5)&lt;LQ_B+(PISLag+($E$5:S$5&gt;LastHist)*(GPULead-1)))*($E$5:S$5&gt;IMPE_B))/LQ_B</f>
        <v>0</v>
      </c>
      <c r="T43" s="120" t="n">
        <f aca="false">SUMPRODUCT($E$24:T$24,((T$5-$E$5:T$5)&gt;=(PISLag+($E$5:T$5&gt;LastHist)*(GPULead-1)))*((T$5-$E$5:T$5)&lt;LQ_B+(PISLag+($E$5:T$5&gt;LastHist)*(GPULead-1)))*($E$5:T$5&gt;IMPE_B))/LQ_B</f>
        <v>0</v>
      </c>
      <c r="U43" s="120" t="n">
        <f aca="false">SUMPRODUCT($E$24:U$24,((U$5-$E$5:U$5)&gt;=(PISLag+($E$5:U$5&gt;LastHist)*(GPULead-1)))*((U$5-$E$5:U$5)&lt;LQ_B+(PISLag+($E$5:U$5&gt;LastHist)*(GPULead-1)))*($E$5:U$5&gt;IMPE_B))/LQ_B</f>
        <v>0</v>
      </c>
      <c r="V43" s="120" t="n">
        <f aca="false">SUMPRODUCT($E$24:V$24,((V$5-$E$5:V$5)&gt;=(PISLag+($E$5:V$5&gt;LastHist)*(GPULead-1)))*((V$5-$E$5:V$5)&lt;LQ_B+(PISLag+($E$5:V$5&gt;LastHist)*(GPULead-1)))*($E$5:V$5&gt;IMPE_B))/LQ_B</f>
        <v>0</v>
      </c>
      <c r="W43" s="120" t="n">
        <f aca="false">SUMPRODUCT($E$24:W$24,((W$5-$E$5:W$5)&gt;=(PISLag+($E$5:W$5&gt;LastHist)*(GPULead-1)))*((W$5-$E$5:W$5)&lt;LQ_B+(PISLag+($E$5:W$5&gt;LastHist)*(GPULead-1)))*($E$5:W$5&gt;IMPE_B))/LQ_B</f>
        <v>0</v>
      </c>
      <c r="X43" s="120" t="n">
        <f aca="false">SUMPRODUCT($E$24:X$24,((X$5-$E$5:X$5)&gt;=(PISLag+($E$5:X$5&gt;LastHist)*(GPULead-1)))*((X$5-$E$5:X$5)&lt;LQ_B+(PISLag+($E$5:X$5&gt;LastHist)*(GPULead-1)))*($E$5:X$5&gt;IMPE_B))/LQ_B</f>
        <v>0</v>
      </c>
      <c r="Y43" s="120" t="n">
        <f aca="false">SUMPRODUCT($E$24:Y$24,((Y$5-$E$5:Y$5)&gt;=(PISLag+($E$5:Y$5&gt;LastHist)*(GPULead-1)))*((Y$5-$E$5:Y$5)&lt;LQ_B+(PISLag+($E$5:Y$5&gt;LastHist)*(GPULead-1)))*($E$5:Y$5&gt;IMPE_B))/LQ_B</f>
        <v>0</v>
      </c>
      <c r="Z43" s="120" t="n">
        <f aca="false">SUMPRODUCT($E$24:Z$24,((Z$5-$E$5:Z$5)&gt;=(PISLag+($E$5:Z$5&gt;LastHist)*(GPULead-1)))*((Z$5-$E$5:Z$5)&lt;LQ_B+(PISLag+($E$5:Z$5&gt;LastHist)*(GPULead-1)))*($E$5:Z$5&gt;IMPE_B))/LQ_B</f>
        <v>0</v>
      </c>
      <c r="AA43" s="120" t="n">
        <f aca="false">SUMPRODUCT($E$24:AA$24,((AA$5-$E$5:AA$5)&gt;=(PISLag+($E$5:AA$5&gt;LastHist)*(GPULead-1)))*((AA$5-$E$5:AA$5)&lt;LQ_B+(PISLag+($E$5:AA$5&gt;LastHist)*(GPULead-1)))*($E$5:AA$5&gt;IMPE_B))/LQ_B</f>
        <v>0</v>
      </c>
      <c r="AB43" s="120" t="n">
        <f aca="false">SUMPRODUCT($E$24:AB$24,((AB$5-$E$5:AB$5)&gt;=(PISLag+($E$5:AB$5&gt;LastHist)*(GPULead-1)))*((AB$5-$E$5:AB$5)&lt;LQ_B+(PISLag+($E$5:AB$5&gt;LastHist)*(GPULead-1)))*($E$5:AB$5&gt;IMPE_B))/LQ_B</f>
        <v>0</v>
      </c>
      <c r="AC43" s="120" t="n">
        <f aca="false">SUMPRODUCT($E$24:AC$24,((AC$5-$E$5:AC$5)&gt;=(PISLag+($E$5:AC$5&gt;LastHist)*(GPULead-1)))*((AC$5-$E$5:AC$5)&lt;LQ_B+(PISLag+($E$5:AC$5&gt;LastHist)*(GPULead-1)))*($E$5:AC$5&gt;IMPE_B))/LQ_B</f>
        <v>0</v>
      </c>
      <c r="AD43" s="120" t="n">
        <f aca="false">SUMPRODUCT($E$24:AD$24,((AD$5-$E$5:AD$5)&gt;=(PISLag+($E$5:AD$5&gt;LastHist)*(GPULead-1)))*((AD$5-$E$5:AD$5)&lt;LQ_B+(PISLag+($E$5:AD$5&gt;LastHist)*(GPULead-1)))*($E$5:AD$5&gt;IMPE_B))/LQ_B</f>
        <v>0</v>
      </c>
      <c r="AE43" s="120" t="n">
        <f aca="false">SUMPRODUCT($E$24:AE$24,((AE$5-$E$5:AE$5)&gt;=(PISLag+($E$5:AE$5&gt;LastHist)*(GPULead-1)))*((AE$5-$E$5:AE$5)&lt;LQ_B+(PISLag+($E$5:AE$5&gt;LastHist)*(GPULead-1)))*($E$5:AE$5&gt;IMPE_B))/LQ_B</f>
        <v>0</v>
      </c>
      <c r="AF43" s="120" t="n">
        <f aca="false">SUMPRODUCT($E$24:AF$24,((AF$5-$E$5:AF$5)&gt;=(PISLag+($E$5:AF$5&gt;LastHist)*(GPULead-1)))*((AF$5-$E$5:AF$5)&lt;LQ_B+(PISLag+($E$5:AF$5&gt;LastHist)*(GPULead-1)))*($E$5:AF$5&gt;IMPE_B))/LQ_B</f>
        <v>0</v>
      </c>
      <c r="AG43" s="120" t="n">
        <f aca="false">SUMPRODUCT($E$24:AG$24,((AG$5-$E$5:AG$5)&gt;=(PISLag+($E$5:AG$5&gt;LastHist)*(GPULead-1)))*((AG$5-$E$5:AG$5)&lt;LQ_B+(PISLag+($E$5:AG$5&gt;LastHist)*(GPULead-1)))*($E$5:AG$5&gt;IMPE_B))/LQ_B</f>
        <v>0</v>
      </c>
      <c r="AI43" s="120" t="n">
        <f aca="false">SUMIF($F$7:$AG$7,AI$7,$F43:$AG43)</f>
        <v>0</v>
      </c>
      <c r="AJ43" s="120" t="n">
        <f aca="false">SUMIF($F$7:$AG$7,AJ$7,$F43:$AG43)</f>
        <v>0</v>
      </c>
      <c r="AK43" s="120" t="n">
        <f aca="false">SUMIF($F$7:$AG$7,AK$7,$F43:$AG43)</f>
        <v>0</v>
      </c>
      <c r="AL43" s="120" t="n">
        <f aca="false">SUMIF($F$7:$AG$7,AL$7,$F43:$AG43)</f>
        <v>0</v>
      </c>
      <c r="AM43" s="120" t="n">
        <f aca="false">SUMIF($F$7:$AG$7,AM$7,$F43:$AG43)</f>
        <v>0</v>
      </c>
      <c r="AN43" s="120" t="n">
        <f aca="false">SUMIF($F$7:$AG$7,AN$7,$F43:$AG43)</f>
        <v>0</v>
      </c>
      <c r="AO43" s="120" t="n">
        <f aca="false">SUMIF($F$7:$AG$7,AO$7,$F43:$AG43)</f>
        <v>0</v>
      </c>
    </row>
    <row r="44" customFormat="false" ht="15" hidden="false" customHeight="false" outlineLevel="0" collapsed="false">
      <c r="A44" s="3" t="s">
        <v>1662</v>
      </c>
      <c r="B44" s="18" t="s">
        <v>400</v>
      </c>
      <c r="C44" s="18" t="s">
        <v>336</v>
      </c>
      <c r="D44" s="18"/>
      <c r="F44" s="121" t="n">
        <f aca="false">F42*(1-ImpPct_B*(F$5&gt;IMPE_B))+F43</f>
        <v>0</v>
      </c>
      <c r="G44" s="121" t="n">
        <f aca="false">G42*(1-ImpPct_B*(G$5&gt;IMPE_B))+G43</f>
        <v>0</v>
      </c>
      <c r="H44" s="121" t="n">
        <f aca="false">H42*(1-ImpPct_B*(H$5&gt;IMPE_B))+H43</f>
        <v>0</v>
      </c>
      <c r="I44" s="121" t="n">
        <f aca="false">I42*(1-ImpPct_B*(I$5&gt;IMPE_B))+I43</f>
        <v>0</v>
      </c>
      <c r="J44" s="121" t="n">
        <f aca="false">J42*(1-ImpPct_B*(J$5&gt;IMPE_B))+J43</f>
        <v>0</v>
      </c>
      <c r="K44" s="121" t="n">
        <f aca="false">K42*(1-ImpPct_B*(K$5&gt;IMPE_B))+K43</f>
        <v>8.704</v>
      </c>
      <c r="L44" s="121" t="n">
        <f aca="false">L42*(1-ImpPct_B*(L$5&gt;IMPE_B))+L43</f>
        <v>16.8736</v>
      </c>
      <c r="M44" s="121" t="n">
        <f aca="false">M42*(1-ImpPct_B*(M$5&gt;IMPE_B))+M43</f>
        <v>32.1616</v>
      </c>
      <c r="N44" s="121" t="n">
        <f aca="false">N42*(1-ImpPct_B*(N$5&gt;IMPE_B))+N43</f>
        <v>65.0576</v>
      </c>
      <c r="O44" s="121" t="n">
        <f aca="false">O42*(1-ImpPct_B*(O$5&gt;IMPE_B))+O43</f>
        <v>154.082</v>
      </c>
      <c r="P44" s="93" t="n">
        <f aca="false">P42*(1-ImpPct_B*(P$5&gt;IMPE_B))+P43</f>
        <v>357.7484</v>
      </c>
      <c r="Q44" s="93" t="n">
        <f aca="false">Q42*(1-ImpPct_B*(Q$5&gt;IMPE_B))+Q43</f>
        <v>357.7484</v>
      </c>
      <c r="R44" s="93" t="n">
        <f aca="false">R42*(1-ImpPct_B*(R$5&gt;IMPE_B))+R43</f>
        <v>526.4584</v>
      </c>
      <c r="S44" s="93" t="n">
        <f aca="false">S42*(1-ImpPct_B*(S$5&gt;IMPE_B))+S43</f>
        <v>752.908387116059</v>
      </c>
      <c r="T44" s="93" t="n">
        <f aca="false">T42*(1-ImpPct_B*(T$5&gt;IMPE_B))+T43</f>
        <v>971.899890266374</v>
      </c>
      <c r="U44" s="93" t="n">
        <f aca="false">U42*(1-ImpPct_B*(U$5&gt;IMPE_B))+U43</f>
        <v>1084.64746414087</v>
      </c>
      <c r="V44" s="93" t="n">
        <f aca="false">V42*(1-ImpPct_B*(V$5&gt;IMPE_B))+V43</f>
        <v>1288.07359476</v>
      </c>
      <c r="W44" s="93" t="n">
        <f aca="false">W42*(1-ImpPct_B*(W$5&gt;IMPE_B))+W43</f>
        <v>1288.07359476</v>
      </c>
      <c r="X44" s="93" t="n">
        <f aca="false">X42*(1-ImpPct_B*(X$5&gt;IMPE_B))+X43</f>
        <v>1288.07359476</v>
      </c>
      <c r="Y44" s="93" t="n">
        <f aca="false">Y42*(1-ImpPct_B*(Y$5&gt;IMPE_B))+Y43</f>
        <v>1288.07359476</v>
      </c>
      <c r="Z44" s="93" t="n">
        <f aca="false">Z42*(1-ImpPct_B*(Z$5&gt;IMPE_B))+Z43</f>
        <v>1401.05354696663</v>
      </c>
      <c r="AA44" s="93" t="n">
        <f aca="false">AA42*(1-ImpPct_B*(AA$5&gt;IMPE_B))+AA43</f>
        <v>1401.05354696663</v>
      </c>
      <c r="AB44" s="93" t="n">
        <f aca="false">AB42*(1-ImpPct_B*(AB$5&gt;IMPE_B))+AB43</f>
        <v>1401.05354696663</v>
      </c>
      <c r="AC44" s="93" t="n">
        <f aca="false">AC42*(1-ImpPct_B*(AC$5&gt;IMPE_B))+AC43</f>
        <v>1401.05354696663</v>
      </c>
      <c r="AD44" s="93" t="n">
        <f aca="false">AD42*(1-ImpPct_B*(AD$5&gt;IMPE_B))+AD43</f>
        <v>1401.05354696663</v>
      </c>
      <c r="AE44" s="93" t="n">
        <f aca="false">AE42*(1-ImpPct_B*(AE$5&gt;IMPE_B))+AE43</f>
        <v>1392.34954696663</v>
      </c>
      <c r="AF44" s="93" t="n">
        <f aca="false">AF42*(1-ImpPct_B*(AF$5&gt;IMPE_B))+AF43</f>
        <v>1384.17994696663</v>
      </c>
      <c r="AG44" s="93" t="n">
        <f aca="false">AG42*(1-ImpPct_B*(AG$5&gt;IMPE_B))+AG43</f>
        <v>1368.89194696663</v>
      </c>
      <c r="AI44" s="93" t="n">
        <f aca="false">SUMIF($F$7:$AG$7,AI$7,$F44:$AG44)</f>
        <v>0</v>
      </c>
      <c r="AJ44" s="93" t="n">
        <f aca="false">SUMIF($F$7:$AG$7,AJ$7,$F44:$AG44)</f>
        <v>57.7392</v>
      </c>
      <c r="AK44" s="93" t="n">
        <f aca="false">SUMIF($F$7:$AG$7,AK$7,$F44:$AG44)</f>
        <v>934.6364</v>
      </c>
      <c r="AL44" s="93" t="n">
        <f aca="false">SUMIF($F$7:$AG$7,AL$7,$F44:$AG44)</f>
        <v>3335.9141415233</v>
      </c>
      <c r="AM44" s="93" t="n">
        <f aca="false">SUMIF($F$7:$AG$7,AM$7,$F44:$AG44)</f>
        <v>5152.29437904001</v>
      </c>
      <c r="AN44" s="93" t="n">
        <f aca="false">SUMIF($F$7:$AG$7,AN$7,$F44:$AG44)</f>
        <v>5604.21418786653</v>
      </c>
      <c r="AO44" s="93" t="n">
        <f aca="false">SUMIF($F$7:$AG$7,AO$7,$F44:$AG44)</f>
        <v>5546.47498786653</v>
      </c>
    </row>
    <row r="45" customFormat="false" ht="15" hidden="false" customHeight="false" outlineLevel="0" collapsed="false">
      <c r="A45" s="101" t="s">
        <v>1663</v>
      </c>
      <c r="B45" s="18" t="s">
        <v>400</v>
      </c>
      <c r="C45" s="18" t="s">
        <v>347</v>
      </c>
      <c r="D45" s="18"/>
      <c r="F45" s="119" t="n">
        <f aca="false">IF(F$5=IMPE_B,ImpPct_B*(SUMPRODUCT($E$24:F$24,--($E$5:F$5&lt;=IMPE_B))-SUM($F$42:F$42)),0)</f>
        <v>0</v>
      </c>
      <c r="G45" s="119" t="n">
        <f aca="false">IF(G$5=IMPE_B,ImpPct_B*(SUMPRODUCT($E$24:G$24,--($E$5:G$5&lt;=IMPE_B))-SUM($F$42:G$42)),0)</f>
        <v>0</v>
      </c>
      <c r="H45" s="119" t="n">
        <f aca="false">IF(H$5=IMPE_B,ImpPct_B*(SUMPRODUCT($E$24:H$24,--($E$5:H$5&lt;=IMPE_B))-SUM($F$42:H$42)),0)</f>
        <v>0</v>
      </c>
      <c r="I45" s="119" t="n">
        <f aca="false">IF(I$5=IMPE_B,ImpPct_B*(SUMPRODUCT($E$24:I$24,--($E$5:I$5&lt;=IMPE_B))-SUM($F$42:I$42)),0)</f>
        <v>0</v>
      </c>
      <c r="J45" s="119" t="n">
        <f aca="false">IF(J$5=IMPE_B,ImpPct_B*(SUMPRODUCT($E$24:J$24,--($E$5:J$5&lt;=IMPE_B))-SUM($F$42:J$42)),0)</f>
        <v>0</v>
      </c>
      <c r="K45" s="119" t="n">
        <f aca="false">IF(K$5=IMPE_B,ImpPct_B*(SUMPRODUCT($E$24:K$24,--($E$5:K$5&lt;=IMPE_B))-SUM($F$42:K$42)),0)</f>
        <v>0</v>
      </c>
      <c r="L45" s="119" t="n">
        <f aca="false">IF(L$5=IMPE_B,ImpPct_B*(SUMPRODUCT($E$24:L$24,--($E$5:L$5&lt;=IMPE_B))-SUM($F$42:L$42)),0)</f>
        <v>0</v>
      </c>
      <c r="M45" s="119" t="n">
        <f aca="false">IF(M$5=IMPE_B,ImpPct_B*(SUMPRODUCT($E$24:M$24,--($E$5:M$5&lt;=IMPE_B))-SUM($F$42:M$42)),0)</f>
        <v>0</v>
      </c>
      <c r="N45" s="119" t="n">
        <f aca="false">IF(N$5=IMPE_B,ImpPct_B*(SUMPRODUCT($E$24:N$24,--($E$5:N$5&lt;=IMPE_B))-SUM($F$42:N$42)),0)</f>
        <v>0</v>
      </c>
      <c r="O45" s="119" t="n">
        <f aca="false">IF(O$5=IMPE_B,ImpPct_B*(SUMPRODUCT($E$24:O$24,--($E$5:O$5&lt;=IMPE_B))-SUM($F$42:O$42)),0)</f>
        <v>0</v>
      </c>
      <c r="P45" s="120" t="n">
        <f aca="false">IF(P$5=IMPE_B,ImpPct_B*(SUMPRODUCT($E$24:P$24,--($E$5:P$5&lt;=IMPE_B))-SUM($F$42:P$42)),0)</f>
        <v>0</v>
      </c>
      <c r="Q45" s="120" t="n">
        <f aca="false">IF(Q$5=IMPE_B,ImpPct_B*(SUMPRODUCT($E$24:Q$24,--($E$5:Q$5&lt;=IMPE_B))-SUM($F$42:Q$42)),0)</f>
        <v>0</v>
      </c>
      <c r="R45" s="120" t="n">
        <f aca="false">IF(R$5=IMPE_B,ImpPct_B*(SUMPRODUCT($E$24:R$24,--($E$5:R$5&lt;=IMPE_B))-SUM($F$42:R$42)),0)</f>
        <v>0</v>
      </c>
      <c r="S45" s="120" t="n">
        <f aca="false">IF(S$5=IMPE_B,ImpPct_B*(SUMPRODUCT($E$24:S$24,--($E$5:S$5&lt;=IMPE_B))-SUM($F$42:S$42)),0)</f>
        <v>0</v>
      </c>
      <c r="T45" s="120" t="n">
        <f aca="false">IF(T$5=IMPE_B,ImpPct_B*(SUMPRODUCT($E$24:T$24,--($E$5:T$5&lt;=IMPE_B))-SUM($F$42:T$42)),0)</f>
        <v>0</v>
      </c>
      <c r="U45" s="120" t="n">
        <f aca="false">IF(U$5=IMPE_B,ImpPct_B*(SUMPRODUCT($E$24:U$24,--($E$5:U$5&lt;=IMPE_B))-SUM($F$42:U$42)),0)</f>
        <v>0</v>
      </c>
      <c r="V45" s="120" t="n">
        <f aca="false">IF(V$5=IMPE_B,ImpPct_B*(SUMPRODUCT($E$24:V$24,--($E$5:V$5&lt;=IMPE_B))-SUM($F$42:V$42)),0)</f>
        <v>0</v>
      </c>
      <c r="W45" s="120" t="n">
        <f aca="false">IF(W$5=IMPE_B,ImpPct_B*(SUMPRODUCT($E$24:W$24,--($E$5:W$5&lt;=IMPE_B))-SUM($F$42:W$42)),0)</f>
        <v>0</v>
      </c>
      <c r="X45" s="120" t="n">
        <f aca="false">IF(X$5=IMPE_B,ImpPct_B*(SUMPRODUCT($E$24:X$24,--($E$5:X$5&lt;=IMPE_B))-SUM($F$42:X$42)),0)</f>
        <v>0</v>
      </c>
      <c r="Y45" s="120" t="n">
        <f aca="false">IF(Y$5=IMPE_B,ImpPct_B*(SUMPRODUCT($E$24:Y$24,--($E$5:Y$5&lt;=IMPE_B))-SUM($F$42:Y$42)),0)</f>
        <v>0</v>
      </c>
      <c r="Z45" s="120" t="n">
        <f aca="false">IF(Z$5=IMPE_B,ImpPct_B*(SUMPRODUCT($E$24:Z$24,--($E$5:Z$5&lt;=IMPE_B))-SUM($F$42:Z$42)),0)</f>
        <v>0</v>
      </c>
      <c r="AA45" s="120" t="n">
        <f aca="false">IF(AA$5=IMPE_B,ImpPct_B*(SUMPRODUCT($E$24:AA$24,--($E$5:AA$5&lt;=IMPE_B))-SUM($F$42:AA$42)),0)</f>
        <v>0</v>
      </c>
      <c r="AB45" s="120" t="n">
        <f aca="false">IF(AB$5=IMPE_B,ImpPct_B*(SUMPRODUCT($E$24:AB$24,--($E$5:AB$5&lt;=IMPE_B))-SUM($F$42:AB$42)),0)</f>
        <v>0</v>
      </c>
      <c r="AC45" s="120" t="n">
        <f aca="false">IF(AC$5=IMPE_B,ImpPct_B*(SUMPRODUCT($E$24:AC$24,--($E$5:AC$5&lt;=IMPE_B))-SUM($F$42:AC$42)),0)</f>
        <v>0</v>
      </c>
      <c r="AD45" s="120" t="n">
        <f aca="false">IF(AD$5=IMPE_B,ImpPct_B*(SUMPRODUCT($E$24:AD$24,--($E$5:AD$5&lt;=IMPE_B))-SUM($F$42:AD$42)),0)</f>
        <v>0</v>
      </c>
      <c r="AE45" s="120" t="n">
        <f aca="false">IF(AE$5=IMPE_B,ImpPct_B*(SUMPRODUCT($E$24:AE$24,--($E$5:AE$5&lt;=IMPE_B))-SUM($F$42:AE$42)),0)</f>
        <v>0</v>
      </c>
      <c r="AF45" s="120" t="n">
        <f aca="false">IF(AF$5=IMPE_B,ImpPct_B*(SUMPRODUCT($E$24:AF$24,--($E$5:AF$5&lt;=IMPE_B))-SUM($F$42:AF$42)),0)</f>
        <v>0</v>
      </c>
      <c r="AG45" s="120" t="n">
        <f aca="false">IF(AG$5=IMPE_B,ImpPct_B*(SUMPRODUCT($E$24:AG$24,--($E$5:AG$5&lt;=IMPE_B))-SUM($F$42:AG$42)),0)</f>
        <v>0</v>
      </c>
      <c r="AI45" s="120" t="n">
        <f aca="false">SUMIF($F$7:$AG$7,AI$7,$F45:$AG45)</f>
        <v>0</v>
      </c>
      <c r="AJ45" s="120" t="n">
        <f aca="false">SUMIF($F$7:$AG$7,AJ$7,$F45:$AG45)</f>
        <v>0</v>
      </c>
      <c r="AK45" s="120" t="n">
        <f aca="false">SUMIF($F$7:$AG$7,AK$7,$F45:$AG45)</f>
        <v>0</v>
      </c>
      <c r="AL45" s="120" t="n">
        <f aca="false">SUMIF($F$7:$AG$7,AL$7,$F45:$AG45)</f>
        <v>0</v>
      </c>
      <c r="AM45" s="120" t="n">
        <f aca="false">SUMIF($F$7:$AG$7,AM$7,$F45:$AG45)</f>
        <v>0</v>
      </c>
      <c r="AN45" s="120" t="n">
        <f aca="false">SUMIF($F$7:$AG$7,AN$7,$F45:$AG45)</f>
        <v>0</v>
      </c>
      <c r="AO45" s="120" t="n">
        <f aca="false">SUMIF($F$7:$AG$7,AO$7,$F45:$AG45)</f>
        <v>0</v>
      </c>
    </row>
    <row r="46" customFormat="false" ht="15" hidden="false" customHeight="false" outlineLevel="0" collapsed="false">
      <c r="A46" s="101" t="s">
        <v>1664</v>
      </c>
      <c r="B46" s="18" t="s">
        <v>400</v>
      </c>
      <c r="C46" s="18" t="s">
        <v>336</v>
      </c>
      <c r="D46" s="18"/>
      <c r="E46" s="120" t="n">
        <f aca="false">E24</f>
        <v>0</v>
      </c>
      <c r="F46" s="119" t="n">
        <f aca="false">E46+F24-F44-F45</f>
        <v>0</v>
      </c>
      <c r="G46" s="119" t="n">
        <f aca="false">F46+G24-G44-G45</f>
        <v>0</v>
      </c>
      <c r="H46" s="119" t="n">
        <f aca="false">G46+H24-H44-H45</f>
        <v>0</v>
      </c>
      <c r="I46" s="119" t="n">
        <f aca="false">H46+I24-I44-I45</f>
        <v>0</v>
      </c>
      <c r="J46" s="119" t="n">
        <f aca="false">I46+J24-J44-J45</f>
        <v>174.08</v>
      </c>
      <c r="K46" s="119" t="n">
        <f aca="false">J46+K24-K44-K45</f>
        <v>328.768</v>
      </c>
      <c r="L46" s="119" t="n">
        <f aca="false">K46+L24-L44-L45</f>
        <v>617.6544</v>
      </c>
      <c r="M46" s="119" t="n">
        <f aca="false">L46+M24-M44-M45</f>
        <v>1243.4128</v>
      </c>
      <c r="N46" s="119" t="n">
        <f aca="false">M46+N24-N44-N45</f>
        <v>2958.8432</v>
      </c>
      <c r="O46" s="119" t="n">
        <f aca="false">N46+O24-O44-O45</f>
        <v>6878.0892</v>
      </c>
      <c r="P46" s="120" t="n">
        <f aca="false">O46+P24-P44-P45</f>
        <v>9894.5408</v>
      </c>
      <c r="Q46" s="120" t="n">
        <f aca="false">P46+Q24-Q44-Q45</f>
        <v>14065.7921423212</v>
      </c>
      <c r="R46" s="120" t="n">
        <f aca="false">Q46+R24-R44-R45</f>
        <v>17919.1638053275</v>
      </c>
      <c r="S46" s="120" t="n">
        <f aca="false">R46+S24-S44-S45</f>
        <v>19421.2068957013</v>
      </c>
      <c r="T46" s="120" t="n">
        <f aca="false">S46+T24-T44-T45</f>
        <v>22517.8296178176</v>
      </c>
      <c r="U46" s="120" t="n">
        <f aca="false">T46+U24-U44-U45</f>
        <v>21433.1821536767</v>
      </c>
      <c r="V46" s="120" t="n">
        <f aca="false">U46+V24-V44-V45</f>
        <v>20145.1085589167</v>
      </c>
      <c r="W46" s="120" t="n">
        <f aca="false">V46+W24-W44-W45</f>
        <v>18857.0349641567</v>
      </c>
      <c r="X46" s="120" t="n">
        <f aca="false">W46+X24-X44-X45</f>
        <v>19828.5604135293</v>
      </c>
      <c r="Y46" s="120" t="n">
        <f aca="false">X46+Y24-Y44-Y45</f>
        <v>18540.4868187693</v>
      </c>
      <c r="Z46" s="120" t="n">
        <f aca="false">Y46+Z24-Z44-Z45</f>
        <v>17139.4332718027</v>
      </c>
      <c r="AA46" s="120" t="n">
        <f aca="false">Z46+AA24-AA44-AA45</f>
        <v>15738.3797248361</v>
      </c>
      <c r="AB46" s="120" t="n">
        <f aca="false">AA46+AB24-AB44-AB45</f>
        <v>14337.3261778694</v>
      </c>
      <c r="AC46" s="120" t="n">
        <f aca="false">AB46+AC24-AC44-AC45</f>
        <v>12936.2726309028</v>
      </c>
      <c r="AD46" s="120" t="n">
        <f aca="false">AC46+AD24-AD44-AD45</f>
        <v>11535.2190839362</v>
      </c>
      <c r="AE46" s="120" t="n">
        <f aca="false">AD46+AE24-AE44-AE45</f>
        <v>10142.8695369695</v>
      </c>
      <c r="AF46" s="120" t="n">
        <f aca="false">AE46+AF24-AF44-AF45</f>
        <v>8758.68959000291</v>
      </c>
      <c r="AG46" s="120" t="n">
        <f aca="false">AF46+AG24-AG44-AG45</f>
        <v>7389.79764303627</v>
      </c>
      <c r="AI46" s="120" t="n">
        <f aca="false">INDEX($F46:$AG46,1,MATCH(AI$7,$F$7:$AG$7,1))</f>
        <v>0</v>
      </c>
      <c r="AJ46" s="120" t="n">
        <f aca="false">INDEX($F46:$AG46,1,MATCH(AJ$7,$F$7:$AG$7,1))</f>
        <v>1243.4128</v>
      </c>
      <c r="AK46" s="120" t="n">
        <f aca="false">INDEX($F46:$AG46,1,MATCH(AK$7,$F$7:$AG$7,1))</f>
        <v>14065.7921423212</v>
      </c>
      <c r="AL46" s="120" t="n">
        <f aca="false">INDEX($F46:$AG46,1,MATCH(AL$7,$F$7:$AG$7,1))</f>
        <v>21433.1821536767</v>
      </c>
      <c r="AM46" s="120" t="n">
        <f aca="false">INDEX($F46:$AG46,1,MATCH(AM$7,$F$7:$AG$7,1))</f>
        <v>18540.4868187693</v>
      </c>
      <c r="AN46" s="120" t="n">
        <f aca="false">INDEX($F46:$AG46,1,MATCH(AN$7,$F$7:$AG$7,1))</f>
        <v>12936.2726309028</v>
      </c>
      <c r="AO46" s="120" t="n">
        <f aca="false">INDEX($F46:$AG46,1,MATCH(AO$7,$F$7:$AG$7,1))</f>
        <v>7389.79764303627</v>
      </c>
    </row>
    <row r="47" customFormat="false" ht="15" hidden="false" customHeight="false" outlineLevel="0" collapsed="false">
      <c r="A47" s="101" t="s">
        <v>1665</v>
      </c>
      <c r="B47" s="18" t="s">
        <v>400</v>
      </c>
      <c r="C47" s="18" t="s">
        <v>336</v>
      </c>
      <c r="D47" s="18"/>
      <c r="F47" s="119" t="n">
        <f aca="false">SUMPRODUCT($E$25:F$25,((F$5-$E$5:F$5)&gt;=(PISLag+($E$5:F$5&gt;LastHist)*(GPULead-1)))*((F$5-$E$5:F$5)&lt;LQ_N+(PISLag+($E$5:F$5&gt;LastHist)*(GPULead-1)))*($E$5:F$5&lt;=IMPE_N))/LQ_N</f>
        <v>0</v>
      </c>
      <c r="G47" s="119" t="n">
        <f aca="false">SUMPRODUCT($E$25:G$25,((G$5-$E$5:G$5)&gt;=(PISLag+($E$5:G$5&gt;LastHist)*(GPULead-1)))*((G$5-$E$5:G$5)&lt;LQ_N+(PISLag+($E$5:G$5&gt;LastHist)*(GPULead-1)))*($E$5:G$5&lt;=IMPE_N))/LQ_N</f>
        <v>0</v>
      </c>
      <c r="H47" s="119" t="n">
        <f aca="false">SUMPRODUCT($E$25:H$25,((H$5-$E$5:H$5)&gt;=(PISLag+($E$5:H$5&gt;LastHist)*(GPULead-1)))*((H$5-$E$5:H$5)&lt;LQ_N+(PISLag+($E$5:H$5&gt;LastHist)*(GPULead-1)))*($E$5:H$5&lt;=IMPE_N))/LQ_N</f>
        <v>0</v>
      </c>
      <c r="I47" s="119" t="n">
        <f aca="false">SUMPRODUCT($E$25:I$25,((I$5-$E$5:I$5)&gt;=(PISLag+($E$5:I$5&gt;LastHist)*(GPULead-1)))*((I$5-$E$5:I$5)&lt;LQ_N+(PISLag+($E$5:I$5&gt;LastHist)*(GPULead-1)))*($E$5:I$5&lt;=IMPE_N))/LQ_N</f>
        <v>0</v>
      </c>
      <c r="J47" s="119" t="n">
        <f aca="false">SUMPRODUCT($E$25:J$25,((J$5-$E$5:J$5)&gt;=(PISLag+($E$5:J$5&gt;LastHist)*(GPULead-1)))*((J$5-$E$5:J$5)&lt;LQ_N+(PISLag+($E$5:J$5&gt;LastHist)*(GPULead-1)))*($E$5:J$5&lt;=IMPE_N))/LQ_N</f>
        <v>0</v>
      </c>
      <c r="K47" s="119" t="n">
        <f aca="false">SUMPRODUCT($E$25:K$25,((K$5-$E$5:K$5)&gt;=(PISLag+($E$5:K$5&gt;LastHist)*(GPULead-1)))*((K$5-$E$5:K$5)&lt;LQ_N+(PISLag+($E$5:K$5&gt;LastHist)*(GPULead-1)))*($E$5:K$5&lt;=IMPE_N))/LQ_N</f>
        <v>0</v>
      </c>
      <c r="L47" s="119" t="n">
        <f aca="false">SUMPRODUCT($E$25:L$25,((L$5-$E$5:L$5)&gt;=(PISLag+($E$5:L$5&gt;LastHist)*(GPULead-1)))*((L$5-$E$5:L$5)&lt;LQ_N+(PISLag+($E$5:L$5&gt;LastHist)*(GPULead-1)))*($E$5:L$5&lt;=IMPE_N))/LQ_N</f>
        <v>0</v>
      </c>
      <c r="M47" s="119" t="n">
        <f aca="false">SUMPRODUCT($E$25:M$25,((M$5-$E$5:M$5)&gt;=(PISLag+($E$5:M$5&gt;LastHist)*(GPULead-1)))*((M$5-$E$5:M$5)&lt;LQ_N+(PISLag+($E$5:M$5&gt;LastHist)*(GPULead-1)))*($E$5:M$5&lt;=IMPE_N))/LQ_N</f>
        <v>0</v>
      </c>
      <c r="N47" s="119" t="n">
        <f aca="false">SUMPRODUCT($E$25:N$25,((N$5-$E$5:N$5)&gt;=(PISLag+($E$5:N$5&gt;LastHist)*(GPULead-1)))*((N$5-$E$5:N$5)&lt;LQ_N+(PISLag+($E$5:N$5&gt;LastHist)*(GPULead-1)))*($E$5:N$5&lt;=IMPE_N))/LQ_N</f>
        <v>0</v>
      </c>
      <c r="O47" s="119" t="n">
        <f aca="false">SUMPRODUCT($E$25:O$25,((O$5-$E$5:O$5)&gt;=(PISLag+($E$5:O$5&gt;LastHist)*(GPULead-1)))*((O$5-$E$5:O$5)&lt;LQ_N+(PISLag+($E$5:O$5&gt;LastHist)*(GPULead-1)))*($E$5:O$5&lt;=IMPE_N))/LQ_N</f>
        <v>0</v>
      </c>
      <c r="P47" s="120" t="n">
        <f aca="false">SUMPRODUCT($E$25:P$25,((P$5-$E$5:P$5)&gt;=(PISLag+($E$5:P$5&gt;LastHist)*(GPULead-1)))*((P$5-$E$5:P$5)&lt;LQ_N+(PISLag+($E$5:P$5&gt;LastHist)*(GPULead-1)))*($E$5:P$5&lt;=IMPE_N))/LQ_N</f>
        <v>0</v>
      </c>
      <c r="Q47" s="120" t="n">
        <f aca="false">SUMPRODUCT($E$25:Q$25,((Q$5-$E$5:Q$5)&gt;=(PISLag+($E$5:Q$5&gt;LastHist)*(GPULead-1)))*((Q$5-$E$5:Q$5)&lt;LQ_N+(PISLag+($E$5:Q$5&gt;LastHist)*(GPULead-1)))*($E$5:Q$5&lt;=IMPE_N))/LQ_N</f>
        <v>0</v>
      </c>
      <c r="R47" s="120" t="n">
        <f aca="false">SUMPRODUCT($E$25:R$25,((R$5-$E$5:R$5)&gt;=(PISLag+($E$5:R$5&gt;LastHist)*(GPULead-1)))*((R$5-$E$5:R$5)&lt;LQ_N+(PISLag+($E$5:R$5&gt;LastHist)*(GPULead-1)))*($E$5:R$5&lt;=IMPE_N))/LQ_N</f>
        <v>0</v>
      </c>
      <c r="S47" s="120" t="n">
        <f aca="false">SUMPRODUCT($E$25:S$25,((S$5-$E$5:S$5)&gt;=(PISLag+($E$5:S$5&gt;LastHist)*(GPULead-1)))*((S$5-$E$5:S$5)&lt;LQ_N+(PISLag+($E$5:S$5&gt;LastHist)*(GPULead-1)))*($E$5:S$5&lt;=IMPE_N))/LQ_N</f>
        <v>13.7750128839415</v>
      </c>
      <c r="T47" s="120" t="n">
        <f aca="false">SUMPRODUCT($E$25:T$25,((T$5-$E$5:T$5)&gt;=(PISLag+($E$5:T$5&gt;LastHist)*(GPULead-1)))*((T$5-$E$5:T$5)&lt;LQ_N+(PISLag+($E$5:T$5&gt;LastHist)*(GPULead-1)))*($E$5:T$5&lt;=IMPE_N))/LQ_N</f>
        <v>47.5185097336264</v>
      </c>
      <c r="U47" s="120" t="n">
        <f aca="false">SUMPRODUCT($E$25:U$25,((U$5-$E$5:U$5)&gt;=(PISLag+($E$5:U$5&gt;LastHist)*(GPULead-1)))*((U$5-$E$5:U$5)&lt;LQ_N+(PISLag+($E$5:U$5&gt;LastHist)*(GPULead-1)))*($E$5:U$5&lt;=IMPE_N))/LQ_N</f>
        <v>175.850935859134</v>
      </c>
      <c r="V47" s="120" t="n">
        <f aca="false">SUMPRODUCT($E$25:V$25,((V$5-$E$5:V$5)&gt;=(PISLag+($E$5:V$5&gt;LastHist)*(GPULead-1)))*((V$5-$E$5:V$5)&lt;LQ_N+(PISLag+($E$5:V$5&gt;LastHist)*(GPULead-1)))*($E$5:V$5&lt;=IMPE_N))/LQ_N</f>
        <v>431.574805239998</v>
      </c>
      <c r="W47" s="120" t="n">
        <f aca="false">SUMPRODUCT($E$25:W$25,((W$5-$E$5:W$5)&gt;=(PISLag+($E$5:W$5&gt;LastHist)*(GPULead-1)))*((W$5-$E$5:W$5)&lt;LQ_N+(PISLag+($E$5:W$5&gt;LastHist)*(GPULead-1)))*($E$5:W$5&lt;=IMPE_N))/LQ_N</f>
        <v>578.574805239998</v>
      </c>
      <c r="X47" s="120" t="n">
        <f aca="false">SUMPRODUCT($E$25:X$25,((X$5-$E$5:X$5)&gt;=(PISLag+($E$5:X$5&gt;LastHist)*(GPULead-1)))*((X$5-$E$5:X$5)&lt;LQ_N+(PISLag+($E$5:X$5&gt;LastHist)*(GPULead-1)))*($E$5:X$5&lt;=IMPE_N))/LQ_N</f>
        <v>826.224805239998</v>
      </c>
      <c r="Y47" s="120" t="n">
        <f aca="false">SUMPRODUCT($E$25:Y$25,((Y$5-$E$5:Y$5)&gt;=(PISLag+($E$5:Y$5&gt;LastHist)*(GPULead-1)))*((Y$5-$E$5:Y$5)&lt;LQ_N+(PISLag+($E$5:Y$5&gt;LastHist)*(GPULead-1)))*($E$5:Y$5&lt;=IMPE_N))/LQ_N</f>
        <v>846.224805239998</v>
      </c>
      <c r="Z47" s="120" t="n">
        <f aca="false">SUMPRODUCT($E$25:Z$25,((Z$5-$E$5:Z$5)&gt;=(PISLag+($E$5:Z$5&gt;LastHist)*(GPULead-1)))*((Z$5-$E$5:Z$5)&lt;LQ_N+(PISLag+($E$5:Z$5&gt;LastHist)*(GPULead-1)))*($E$5:Z$5&lt;=IMPE_N))/LQ_N</f>
        <v>1276.14485303337</v>
      </c>
      <c r="AA47" s="120" t="n">
        <f aca="false">SUMPRODUCT($E$25:AA$25,((AA$5-$E$5:AA$5)&gt;=(PISLag+($E$5:AA$5&gt;LastHist)*(GPULead-1)))*((AA$5-$E$5:AA$5)&lt;LQ_N+(PISLag+($E$5:AA$5&gt;LastHist)*(GPULead-1)))*($E$5:AA$5&lt;=IMPE_N))/LQ_N</f>
        <v>1276.14485303337</v>
      </c>
      <c r="AB47" s="120" t="n">
        <f aca="false">SUMPRODUCT($E$25:AB$25,((AB$5-$E$5:AB$5)&gt;=(PISLag+($E$5:AB$5&gt;LastHist)*(GPULead-1)))*((AB$5-$E$5:AB$5)&lt;LQ_N+(PISLag+($E$5:AB$5&gt;LastHist)*(GPULead-1)))*($E$5:AB$5&lt;=IMPE_N))/LQ_N</f>
        <v>1809.54485303337</v>
      </c>
      <c r="AC47" s="120" t="n">
        <f aca="false">SUMPRODUCT($E$25:AC$25,((AC$5-$E$5:AC$5)&gt;=(PISLag+($E$5:AC$5&gt;LastHist)*(GPULead-1)))*((AC$5-$E$5:AC$5)&lt;LQ_N+(PISLag+($E$5:AC$5&gt;LastHist)*(GPULead-1)))*($E$5:AC$5&lt;=IMPE_N))/LQ_N</f>
        <v>1809.54485303337</v>
      </c>
      <c r="AD47" s="120" t="n">
        <f aca="false">SUMPRODUCT($E$25:AD$25,((AD$5-$E$5:AD$5)&gt;=(PISLag+($E$5:AD$5&gt;LastHist)*(GPULead-1)))*((AD$5-$E$5:AD$5)&lt;LQ_N+(PISLag+($E$5:AD$5&gt;LastHist)*(GPULead-1)))*($E$5:AD$5&lt;=IMPE_N))/LQ_N</f>
        <v>2552.49485303337</v>
      </c>
      <c r="AE47" s="120" t="n">
        <f aca="false">SUMPRODUCT($E$25:AE$25,((AE$5-$E$5:AE$5)&gt;=(PISLag+($E$5:AE$5&gt;LastHist)*(GPULead-1)))*((AE$5-$E$5:AE$5)&lt;LQ_N+(PISLag+($E$5:AE$5&gt;LastHist)*(GPULead-1)))*($E$5:AE$5&lt;=IMPE_N))/LQ_N</f>
        <v>2552.49485303337</v>
      </c>
      <c r="AF47" s="120" t="n">
        <f aca="false">SUMPRODUCT($E$25:AF$25,((AF$5-$E$5:AF$5)&gt;=(PISLag+($E$5:AF$5&gt;LastHist)*(GPULead-1)))*((AF$5-$E$5:AF$5)&lt;LQ_N+(PISLag+($E$5:AF$5&gt;LastHist)*(GPULead-1)))*($E$5:AF$5&lt;=IMPE_N))/LQ_N</f>
        <v>2552.49485303337</v>
      </c>
      <c r="AG47" s="120" t="n">
        <f aca="false">SUMPRODUCT($E$25:AG$25,((AG$5-$E$5:AG$5)&gt;=(PISLag+($E$5:AG$5&gt;LastHist)*(GPULead-1)))*((AG$5-$E$5:AG$5)&lt;LQ_N+(PISLag+($E$5:AG$5&gt;LastHist)*(GPULead-1)))*($E$5:AG$5&lt;=IMPE_N))/LQ_N</f>
        <v>2552.49485303337</v>
      </c>
      <c r="AI47" s="120" t="n">
        <f aca="false">SUMIF($F$7:$AG$7,AI$7,$F47:$AG47)</f>
        <v>0</v>
      </c>
      <c r="AJ47" s="120" t="n">
        <f aca="false">SUMIF($F$7:$AG$7,AJ$7,$F47:$AG47)</f>
        <v>0</v>
      </c>
      <c r="AK47" s="120" t="n">
        <f aca="false">SUMIF($F$7:$AG$7,AK$7,$F47:$AG47)</f>
        <v>0</v>
      </c>
      <c r="AL47" s="120" t="n">
        <f aca="false">SUMIF($F$7:$AG$7,AL$7,$F47:$AG47)</f>
        <v>237.144458476702</v>
      </c>
      <c r="AM47" s="120" t="n">
        <f aca="false">SUMIF($F$7:$AG$7,AM$7,$F47:$AG47)</f>
        <v>2682.59922095999</v>
      </c>
      <c r="AN47" s="120" t="n">
        <f aca="false">SUMIF($F$7:$AG$7,AN$7,$F47:$AG47)</f>
        <v>6171.37941213347</v>
      </c>
      <c r="AO47" s="120" t="n">
        <f aca="false">SUMIF($F$7:$AG$7,AO$7,$F47:$AG47)</f>
        <v>10209.9794121335</v>
      </c>
    </row>
    <row r="48" customFormat="false" ht="15" hidden="false" customHeight="false" outlineLevel="0" collapsed="false">
      <c r="A48" s="101" t="s">
        <v>1666</v>
      </c>
      <c r="B48" s="18" t="s">
        <v>400</v>
      </c>
      <c r="C48" s="18" t="s">
        <v>336</v>
      </c>
      <c r="D48" s="18"/>
      <c r="F48" s="119" t="n">
        <f aca="false">SUMPRODUCT($E$25:F$25,((F$5-$E$5:F$5)&gt;=(PISLag+($E$5:F$5&gt;LastHist)*(GPULead-1)))*((F$5-$E$5:F$5)&lt;LQ_N+(PISLag+($E$5:F$5&gt;LastHist)*(GPULead-1)))*($E$5:F$5&gt;IMPE_N))/LQ_N</f>
        <v>0</v>
      </c>
      <c r="G48" s="119" t="n">
        <f aca="false">SUMPRODUCT($E$25:G$25,((G$5-$E$5:G$5)&gt;=(PISLag+($E$5:G$5&gt;LastHist)*(GPULead-1)))*((G$5-$E$5:G$5)&lt;LQ_N+(PISLag+($E$5:G$5&gt;LastHist)*(GPULead-1)))*($E$5:G$5&gt;IMPE_N))/LQ_N</f>
        <v>0</v>
      </c>
      <c r="H48" s="119" t="n">
        <f aca="false">SUMPRODUCT($E$25:H$25,((H$5-$E$5:H$5)&gt;=(PISLag+($E$5:H$5&gt;LastHist)*(GPULead-1)))*((H$5-$E$5:H$5)&lt;LQ_N+(PISLag+($E$5:H$5&gt;LastHist)*(GPULead-1)))*($E$5:H$5&gt;IMPE_N))/LQ_N</f>
        <v>0</v>
      </c>
      <c r="I48" s="119" t="n">
        <f aca="false">SUMPRODUCT($E$25:I$25,((I$5-$E$5:I$5)&gt;=(PISLag+($E$5:I$5&gt;LastHist)*(GPULead-1)))*((I$5-$E$5:I$5)&lt;LQ_N+(PISLag+($E$5:I$5&gt;LastHist)*(GPULead-1)))*($E$5:I$5&gt;IMPE_N))/LQ_N</f>
        <v>0</v>
      </c>
      <c r="J48" s="119" t="n">
        <f aca="false">SUMPRODUCT($E$25:J$25,((J$5-$E$5:J$5)&gt;=(PISLag+($E$5:J$5&gt;LastHist)*(GPULead-1)))*((J$5-$E$5:J$5)&lt;LQ_N+(PISLag+($E$5:J$5&gt;LastHist)*(GPULead-1)))*($E$5:J$5&gt;IMPE_N))/LQ_N</f>
        <v>0</v>
      </c>
      <c r="K48" s="119" t="n">
        <f aca="false">SUMPRODUCT($E$25:K$25,((K$5-$E$5:K$5)&gt;=(PISLag+($E$5:K$5&gt;LastHist)*(GPULead-1)))*((K$5-$E$5:K$5)&lt;LQ_N+(PISLag+($E$5:K$5&gt;LastHist)*(GPULead-1)))*($E$5:K$5&gt;IMPE_N))/LQ_N</f>
        <v>0</v>
      </c>
      <c r="L48" s="119" t="n">
        <f aca="false">SUMPRODUCT($E$25:L$25,((L$5-$E$5:L$5)&gt;=(PISLag+($E$5:L$5&gt;LastHist)*(GPULead-1)))*((L$5-$E$5:L$5)&lt;LQ_N+(PISLag+($E$5:L$5&gt;LastHist)*(GPULead-1)))*($E$5:L$5&gt;IMPE_N))/LQ_N</f>
        <v>0</v>
      </c>
      <c r="M48" s="119" t="n">
        <f aca="false">SUMPRODUCT($E$25:M$25,((M$5-$E$5:M$5)&gt;=(PISLag+($E$5:M$5&gt;LastHist)*(GPULead-1)))*((M$5-$E$5:M$5)&lt;LQ_N+(PISLag+($E$5:M$5&gt;LastHist)*(GPULead-1)))*($E$5:M$5&gt;IMPE_N))/LQ_N</f>
        <v>0</v>
      </c>
      <c r="N48" s="119" t="n">
        <f aca="false">SUMPRODUCT($E$25:N$25,((N$5-$E$5:N$5)&gt;=(PISLag+($E$5:N$5&gt;LastHist)*(GPULead-1)))*((N$5-$E$5:N$5)&lt;LQ_N+(PISLag+($E$5:N$5&gt;LastHist)*(GPULead-1)))*($E$5:N$5&gt;IMPE_N))/LQ_N</f>
        <v>0</v>
      </c>
      <c r="O48" s="119" t="n">
        <f aca="false">SUMPRODUCT($E$25:O$25,((O$5-$E$5:O$5)&gt;=(PISLag+($E$5:O$5&gt;LastHist)*(GPULead-1)))*((O$5-$E$5:O$5)&lt;LQ_N+(PISLag+($E$5:O$5&gt;LastHist)*(GPULead-1)))*($E$5:O$5&gt;IMPE_N))/LQ_N</f>
        <v>0</v>
      </c>
      <c r="P48" s="120" t="n">
        <f aca="false">SUMPRODUCT($E$25:P$25,((P$5-$E$5:P$5)&gt;=(PISLag+($E$5:P$5&gt;LastHist)*(GPULead-1)))*((P$5-$E$5:P$5)&lt;LQ_N+(PISLag+($E$5:P$5&gt;LastHist)*(GPULead-1)))*($E$5:P$5&gt;IMPE_N))/LQ_N</f>
        <v>0</v>
      </c>
      <c r="Q48" s="120" t="n">
        <f aca="false">SUMPRODUCT($E$25:Q$25,((Q$5-$E$5:Q$5)&gt;=(PISLag+($E$5:Q$5&gt;LastHist)*(GPULead-1)))*((Q$5-$E$5:Q$5)&lt;LQ_N+(PISLag+($E$5:Q$5&gt;LastHist)*(GPULead-1)))*($E$5:Q$5&gt;IMPE_N))/LQ_N</f>
        <v>0</v>
      </c>
      <c r="R48" s="120" t="n">
        <f aca="false">SUMPRODUCT($E$25:R$25,((R$5-$E$5:R$5)&gt;=(PISLag+($E$5:R$5&gt;LastHist)*(GPULead-1)))*((R$5-$E$5:R$5)&lt;LQ_N+(PISLag+($E$5:R$5&gt;LastHist)*(GPULead-1)))*($E$5:R$5&gt;IMPE_N))/LQ_N</f>
        <v>0</v>
      </c>
      <c r="S48" s="120" t="n">
        <f aca="false">SUMPRODUCT($E$25:S$25,((S$5-$E$5:S$5)&gt;=(PISLag+($E$5:S$5&gt;LastHist)*(GPULead-1)))*((S$5-$E$5:S$5)&lt;LQ_N+(PISLag+($E$5:S$5&gt;LastHist)*(GPULead-1)))*($E$5:S$5&gt;IMPE_N))/LQ_N</f>
        <v>0</v>
      </c>
      <c r="T48" s="120" t="n">
        <f aca="false">SUMPRODUCT($E$25:T$25,((T$5-$E$5:T$5)&gt;=(PISLag+($E$5:T$5&gt;LastHist)*(GPULead-1)))*((T$5-$E$5:T$5)&lt;LQ_N+(PISLag+($E$5:T$5&gt;LastHist)*(GPULead-1)))*($E$5:T$5&gt;IMPE_N))/LQ_N</f>
        <v>0</v>
      </c>
      <c r="U48" s="120" t="n">
        <f aca="false">SUMPRODUCT($E$25:U$25,((U$5-$E$5:U$5)&gt;=(PISLag+($E$5:U$5&gt;LastHist)*(GPULead-1)))*((U$5-$E$5:U$5)&lt;LQ_N+(PISLag+($E$5:U$5&gt;LastHist)*(GPULead-1)))*($E$5:U$5&gt;IMPE_N))/LQ_N</f>
        <v>0</v>
      </c>
      <c r="V48" s="120" t="n">
        <f aca="false">SUMPRODUCT($E$25:V$25,((V$5-$E$5:V$5)&gt;=(PISLag+($E$5:V$5&gt;LastHist)*(GPULead-1)))*((V$5-$E$5:V$5)&lt;LQ_N+(PISLag+($E$5:V$5&gt;LastHist)*(GPULead-1)))*($E$5:V$5&gt;IMPE_N))/LQ_N</f>
        <v>0</v>
      </c>
      <c r="W48" s="120" t="n">
        <f aca="false">SUMPRODUCT($E$25:W$25,((W$5-$E$5:W$5)&gt;=(PISLag+($E$5:W$5&gt;LastHist)*(GPULead-1)))*((W$5-$E$5:W$5)&lt;LQ_N+(PISLag+($E$5:W$5&gt;LastHist)*(GPULead-1)))*($E$5:W$5&gt;IMPE_N))/LQ_N</f>
        <v>0</v>
      </c>
      <c r="X48" s="120" t="n">
        <f aca="false">SUMPRODUCT($E$25:X$25,((X$5-$E$5:X$5)&gt;=(PISLag+($E$5:X$5&gt;LastHist)*(GPULead-1)))*((X$5-$E$5:X$5)&lt;LQ_N+(PISLag+($E$5:X$5&gt;LastHist)*(GPULead-1)))*($E$5:X$5&gt;IMPE_N))/LQ_N</f>
        <v>0</v>
      </c>
      <c r="Y48" s="120" t="n">
        <f aca="false">SUMPRODUCT($E$25:Y$25,((Y$5-$E$5:Y$5)&gt;=(PISLag+($E$5:Y$5&gt;LastHist)*(GPULead-1)))*((Y$5-$E$5:Y$5)&lt;LQ_N+(PISLag+($E$5:Y$5&gt;LastHist)*(GPULead-1)))*($E$5:Y$5&gt;IMPE_N))/LQ_N</f>
        <v>0</v>
      </c>
      <c r="Z48" s="120" t="n">
        <f aca="false">SUMPRODUCT($E$25:Z$25,((Z$5-$E$5:Z$5)&gt;=(PISLag+($E$5:Z$5&gt;LastHist)*(GPULead-1)))*((Z$5-$E$5:Z$5)&lt;LQ_N+(PISLag+($E$5:Z$5&gt;LastHist)*(GPULead-1)))*($E$5:Z$5&gt;IMPE_N))/LQ_N</f>
        <v>0</v>
      </c>
      <c r="AA48" s="120" t="n">
        <f aca="false">SUMPRODUCT($E$25:AA$25,((AA$5-$E$5:AA$5)&gt;=(PISLag+($E$5:AA$5&gt;LastHist)*(GPULead-1)))*((AA$5-$E$5:AA$5)&lt;LQ_N+(PISLag+($E$5:AA$5&gt;LastHist)*(GPULead-1)))*($E$5:AA$5&gt;IMPE_N))/LQ_N</f>
        <v>0</v>
      </c>
      <c r="AB48" s="120" t="n">
        <f aca="false">SUMPRODUCT($E$25:AB$25,((AB$5-$E$5:AB$5)&gt;=(PISLag+($E$5:AB$5&gt;LastHist)*(GPULead-1)))*((AB$5-$E$5:AB$5)&lt;LQ_N+(PISLag+($E$5:AB$5&gt;LastHist)*(GPULead-1)))*($E$5:AB$5&gt;IMPE_N))/LQ_N</f>
        <v>0</v>
      </c>
      <c r="AC48" s="120" t="n">
        <f aca="false">SUMPRODUCT($E$25:AC$25,((AC$5-$E$5:AC$5)&gt;=(PISLag+($E$5:AC$5&gt;LastHist)*(GPULead-1)))*((AC$5-$E$5:AC$5)&lt;LQ_N+(PISLag+($E$5:AC$5&gt;LastHist)*(GPULead-1)))*($E$5:AC$5&gt;IMPE_N))/LQ_N</f>
        <v>0</v>
      </c>
      <c r="AD48" s="120" t="n">
        <f aca="false">SUMPRODUCT($E$25:AD$25,((AD$5-$E$5:AD$5)&gt;=(PISLag+($E$5:AD$5&gt;LastHist)*(GPULead-1)))*((AD$5-$E$5:AD$5)&lt;LQ_N+(PISLag+($E$5:AD$5&gt;LastHist)*(GPULead-1)))*($E$5:AD$5&gt;IMPE_N))/LQ_N</f>
        <v>0</v>
      </c>
      <c r="AE48" s="120" t="n">
        <f aca="false">SUMPRODUCT($E$25:AE$25,((AE$5-$E$5:AE$5)&gt;=(PISLag+($E$5:AE$5&gt;LastHist)*(GPULead-1)))*((AE$5-$E$5:AE$5)&lt;LQ_N+(PISLag+($E$5:AE$5&gt;LastHist)*(GPULead-1)))*($E$5:AE$5&gt;IMPE_N))/LQ_N</f>
        <v>0</v>
      </c>
      <c r="AF48" s="120" t="n">
        <f aca="false">SUMPRODUCT($E$25:AF$25,((AF$5-$E$5:AF$5)&gt;=(PISLag+($E$5:AF$5&gt;LastHist)*(GPULead-1)))*((AF$5-$E$5:AF$5)&lt;LQ_N+(PISLag+($E$5:AF$5&gt;LastHist)*(GPULead-1)))*($E$5:AF$5&gt;IMPE_N))/LQ_N</f>
        <v>0</v>
      </c>
      <c r="AG48" s="120" t="n">
        <f aca="false">SUMPRODUCT($E$25:AG$25,((AG$5-$E$5:AG$5)&gt;=(PISLag+($E$5:AG$5&gt;LastHist)*(GPULead-1)))*((AG$5-$E$5:AG$5)&lt;LQ_N+(PISLag+($E$5:AG$5&gt;LastHist)*(GPULead-1)))*($E$5:AG$5&gt;IMPE_N))/LQ_N</f>
        <v>0</v>
      </c>
      <c r="AI48" s="120" t="n">
        <f aca="false">SUMIF($F$7:$AG$7,AI$7,$F48:$AG48)</f>
        <v>0</v>
      </c>
      <c r="AJ48" s="120" t="n">
        <f aca="false">SUMIF($F$7:$AG$7,AJ$7,$F48:$AG48)</f>
        <v>0</v>
      </c>
      <c r="AK48" s="120" t="n">
        <f aca="false">SUMIF($F$7:$AG$7,AK$7,$F48:$AG48)</f>
        <v>0</v>
      </c>
      <c r="AL48" s="120" t="n">
        <f aca="false">SUMIF($F$7:$AG$7,AL$7,$F48:$AG48)</f>
        <v>0</v>
      </c>
      <c r="AM48" s="120" t="n">
        <f aca="false">SUMIF($F$7:$AG$7,AM$7,$F48:$AG48)</f>
        <v>0</v>
      </c>
      <c r="AN48" s="120" t="n">
        <f aca="false">SUMIF($F$7:$AG$7,AN$7,$F48:$AG48)</f>
        <v>0</v>
      </c>
      <c r="AO48" s="120" t="n">
        <f aca="false">SUMIF($F$7:$AG$7,AO$7,$F48:$AG48)</f>
        <v>0</v>
      </c>
    </row>
    <row r="49" customFormat="false" ht="15" hidden="false" customHeight="false" outlineLevel="0" collapsed="false">
      <c r="A49" s="3" t="s">
        <v>1667</v>
      </c>
      <c r="B49" s="18" t="s">
        <v>400</v>
      </c>
      <c r="C49" s="18" t="s">
        <v>336</v>
      </c>
      <c r="D49" s="18"/>
      <c r="F49" s="121" t="n">
        <f aca="false">F47*(1-ImpPct_N*(F$5&gt;IMPE_N))+F48</f>
        <v>0</v>
      </c>
      <c r="G49" s="121" t="n">
        <f aca="false">G47*(1-ImpPct_N*(G$5&gt;IMPE_N))+G48</f>
        <v>0</v>
      </c>
      <c r="H49" s="121" t="n">
        <f aca="false">H47*(1-ImpPct_N*(H$5&gt;IMPE_N))+H48</f>
        <v>0</v>
      </c>
      <c r="I49" s="121" t="n">
        <f aca="false">I47*(1-ImpPct_N*(I$5&gt;IMPE_N))+I48</f>
        <v>0</v>
      </c>
      <c r="J49" s="121" t="n">
        <f aca="false">J47*(1-ImpPct_N*(J$5&gt;IMPE_N))+J48</f>
        <v>0</v>
      </c>
      <c r="K49" s="121" t="n">
        <f aca="false">K47*(1-ImpPct_N*(K$5&gt;IMPE_N))+K48</f>
        <v>0</v>
      </c>
      <c r="L49" s="121" t="n">
        <f aca="false">L47*(1-ImpPct_N*(L$5&gt;IMPE_N))+L48</f>
        <v>0</v>
      </c>
      <c r="M49" s="121" t="n">
        <f aca="false">M47*(1-ImpPct_N*(M$5&gt;IMPE_N))+M48</f>
        <v>0</v>
      </c>
      <c r="N49" s="121" t="n">
        <f aca="false">N47*(1-ImpPct_N*(N$5&gt;IMPE_N))+N48</f>
        <v>0</v>
      </c>
      <c r="O49" s="121" t="n">
        <f aca="false">O47*(1-ImpPct_N*(O$5&gt;IMPE_N))+O48</f>
        <v>0</v>
      </c>
      <c r="P49" s="93" t="n">
        <f aca="false">P47*(1-ImpPct_N*(P$5&gt;IMPE_N))+P48</f>
        <v>0</v>
      </c>
      <c r="Q49" s="93" t="n">
        <f aca="false">Q47*(1-ImpPct_N*(Q$5&gt;IMPE_N))+Q48</f>
        <v>0</v>
      </c>
      <c r="R49" s="93" t="n">
        <f aca="false">R47*(1-ImpPct_N*(R$5&gt;IMPE_N))+R48</f>
        <v>0</v>
      </c>
      <c r="S49" s="93" t="n">
        <f aca="false">S47*(1-ImpPct_N*(S$5&gt;IMPE_N))+S48</f>
        <v>13.7750128839415</v>
      </c>
      <c r="T49" s="93" t="n">
        <f aca="false">T47*(1-ImpPct_N*(T$5&gt;IMPE_N))+T48</f>
        <v>47.5185097336264</v>
      </c>
      <c r="U49" s="93" t="n">
        <f aca="false">U47*(1-ImpPct_N*(U$5&gt;IMPE_N))+U48</f>
        <v>175.850935859134</v>
      </c>
      <c r="V49" s="93" t="n">
        <f aca="false">V47*(1-ImpPct_N*(V$5&gt;IMPE_N))+V48</f>
        <v>431.574805239998</v>
      </c>
      <c r="W49" s="93" t="n">
        <f aca="false">W47*(1-ImpPct_N*(W$5&gt;IMPE_N))+W48</f>
        <v>578.574805239998</v>
      </c>
      <c r="X49" s="93" t="n">
        <f aca="false">X47*(1-ImpPct_N*(X$5&gt;IMPE_N))+X48</f>
        <v>826.224805239998</v>
      </c>
      <c r="Y49" s="93" t="n">
        <f aca="false">Y47*(1-ImpPct_N*(Y$5&gt;IMPE_N))+Y48</f>
        <v>846.224805239998</v>
      </c>
      <c r="Z49" s="93" t="n">
        <f aca="false">Z47*(1-ImpPct_N*(Z$5&gt;IMPE_N))+Z48</f>
        <v>1276.14485303337</v>
      </c>
      <c r="AA49" s="93" t="n">
        <f aca="false">AA47*(1-ImpPct_N*(AA$5&gt;IMPE_N))+AA48</f>
        <v>1276.14485303337</v>
      </c>
      <c r="AB49" s="93" t="n">
        <f aca="false">AB47*(1-ImpPct_N*(AB$5&gt;IMPE_N))+AB48</f>
        <v>1809.54485303337</v>
      </c>
      <c r="AC49" s="93" t="n">
        <f aca="false">AC47*(1-ImpPct_N*(AC$5&gt;IMPE_N))+AC48</f>
        <v>1809.54485303337</v>
      </c>
      <c r="AD49" s="93" t="n">
        <f aca="false">AD47*(1-ImpPct_N*(AD$5&gt;IMPE_N))+AD48</f>
        <v>2552.49485303337</v>
      </c>
      <c r="AE49" s="93" t="n">
        <f aca="false">AE47*(1-ImpPct_N*(AE$5&gt;IMPE_N))+AE48</f>
        <v>2552.49485303337</v>
      </c>
      <c r="AF49" s="93" t="n">
        <f aca="false">AF47*(1-ImpPct_N*(AF$5&gt;IMPE_N))+AF48</f>
        <v>2552.49485303337</v>
      </c>
      <c r="AG49" s="93" t="n">
        <f aca="false">AG47*(1-ImpPct_N*(AG$5&gt;IMPE_N))+AG48</f>
        <v>2552.49485303337</v>
      </c>
      <c r="AI49" s="93" t="n">
        <f aca="false">SUMIF($F$7:$AG$7,AI$7,$F49:$AG49)</f>
        <v>0</v>
      </c>
      <c r="AJ49" s="93" t="n">
        <f aca="false">SUMIF($F$7:$AG$7,AJ$7,$F49:$AG49)</f>
        <v>0</v>
      </c>
      <c r="AK49" s="93" t="n">
        <f aca="false">SUMIF($F$7:$AG$7,AK$7,$F49:$AG49)</f>
        <v>0</v>
      </c>
      <c r="AL49" s="93" t="n">
        <f aca="false">SUMIF($F$7:$AG$7,AL$7,$F49:$AG49)</f>
        <v>237.144458476702</v>
      </c>
      <c r="AM49" s="93" t="n">
        <f aca="false">SUMIF($F$7:$AG$7,AM$7,$F49:$AG49)</f>
        <v>2682.59922095999</v>
      </c>
      <c r="AN49" s="93" t="n">
        <f aca="false">SUMIF($F$7:$AG$7,AN$7,$F49:$AG49)</f>
        <v>6171.37941213347</v>
      </c>
      <c r="AO49" s="93" t="n">
        <f aca="false">SUMIF($F$7:$AG$7,AO$7,$F49:$AG49)</f>
        <v>10209.9794121335</v>
      </c>
    </row>
    <row r="50" customFormat="false" ht="15" hidden="false" customHeight="false" outlineLevel="0" collapsed="false">
      <c r="A50" s="101" t="s">
        <v>1668</v>
      </c>
      <c r="B50" s="18" t="s">
        <v>400</v>
      </c>
      <c r="C50" s="18" t="s">
        <v>347</v>
      </c>
      <c r="D50" s="18"/>
      <c r="F50" s="119" t="n">
        <f aca="false">IF(F$5=IMPE_N,ImpPct_N*(SUMPRODUCT($E$25:F$25,--($E$5:F$5&lt;=IMPE_N))-SUM($F$47:F$47)),0)</f>
        <v>0</v>
      </c>
      <c r="G50" s="119" t="n">
        <f aca="false">IF(G$5=IMPE_N,ImpPct_N*(SUMPRODUCT($E$25:G$25,--($E$5:G$5&lt;=IMPE_N))-SUM($F$47:G$47)),0)</f>
        <v>0</v>
      </c>
      <c r="H50" s="119" t="n">
        <f aca="false">IF(H$5=IMPE_N,ImpPct_N*(SUMPRODUCT($E$25:H$25,--($E$5:H$5&lt;=IMPE_N))-SUM($F$47:H$47)),0)</f>
        <v>0</v>
      </c>
      <c r="I50" s="119" t="n">
        <f aca="false">IF(I$5=IMPE_N,ImpPct_N*(SUMPRODUCT($E$25:I$25,--($E$5:I$5&lt;=IMPE_N))-SUM($F$47:I$47)),0)</f>
        <v>0</v>
      </c>
      <c r="J50" s="119" t="n">
        <f aca="false">IF(J$5=IMPE_N,ImpPct_N*(SUMPRODUCT($E$25:J$25,--($E$5:J$5&lt;=IMPE_N))-SUM($F$47:J$47)),0)</f>
        <v>0</v>
      </c>
      <c r="K50" s="119" t="n">
        <f aca="false">IF(K$5=IMPE_N,ImpPct_N*(SUMPRODUCT($E$25:K$25,--($E$5:K$5&lt;=IMPE_N))-SUM($F$47:K$47)),0)</f>
        <v>0</v>
      </c>
      <c r="L50" s="119" t="n">
        <f aca="false">IF(L$5=IMPE_N,ImpPct_N*(SUMPRODUCT($E$25:L$25,--($E$5:L$5&lt;=IMPE_N))-SUM($F$47:L$47)),0)</f>
        <v>0</v>
      </c>
      <c r="M50" s="119" t="n">
        <f aca="false">IF(M$5=IMPE_N,ImpPct_N*(SUMPRODUCT($E$25:M$25,--($E$5:M$5&lt;=IMPE_N))-SUM($F$47:M$47)),0)</f>
        <v>0</v>
      </c>
      <c r="N50" s="119" t="n">
        <f aca="false">IF(N$5=IMPE_N,ImpPct_N*(SUMPRODUCT($E$25:N$25,--($E$5:N$5&lt;=IMPE_N))-SUM($F$47:N$47)),0)</f>
        <v>0</v>
      </c>
      <c r="O50" s="119" t="n">
        <f aca="false">IF(O$5=IMPE_N,ImpPct_N*(SUMPRODUCT($E$25:O$25,--($E$5:O$5&lt;=IMPE_N))-SUM($F$47:O$47)),0)</f>
        <v>0</v>
      </c>
      <c r="P50" s="120" t="n">
        <f aca="false">IF(P$5=IMPE_N,ImpPct_N*(SUMPRODUCT($E$25:P$25,--($E$5:P$5&lt;=IMPE_N))-SUM($F$47:P$47)),0)</f>
        <v>0</v>
      </c>
      <c r="Q50" s="120" t="n">
        <f aca="false">IF(Q$5=IMPE_N,ImpPct_N*(SUMPRODUCT($E$25:Q$25,--($E$5:Q$5&lt;=IMPE_N))-SUM($F$47:Q$47)),0)</f>
        <v>0</v>
      </c>
      <c r="R50" s="120" t="n">
        <f aca="false">IF(R$5=IMPE_N,ImpPct_N*(SUMPRODUCT($E$25:R$25,--($E$5:R$5&lt;=IMPE_N))-SUM($F$47:R$47)),0)</f>
        <v>0</v>
      </c>
      <c r="S50" s="120" t="n">
        <f aca="false">IF(S$5=IMPE_N,ImpPct_N*(SUMPRODUCT($E$25:S$25,--($E$5:S$5&lt;=IMPE_N))-SUM($F$47:S$47)),0)</f>
        <v>0</v>
      </c>
      <c r="T50" s="120" t="n">
        <f aca="false">IF(T$5=IMPE_N,ImpPct_N*(SUMPRODUCT($E$25:T$25,--($E$5:T$5&lt;=IMPE_N))-SUM($F$47:T$47)),0)</f>
        <v>0</v>
      </c>
      <c r="U50" s="120" t="n">
        <f aca="false">IF(U$5=IMPE_N,ImpPct_N*(SUMPRODUCT($E$25:U$25,--($E$5:U$5&lt;=IMPE_N))-SUM($F$47:U$47)),0)</f>
        <v>0</v>
      </c>
      <c r="V50" s="120" t="n">
        <f aca="false">IF(V$5=IMPE_N,ImpPct_N*(SUMPRODUCT($E$25:V$25,--($E$5:V$5&lt;=IMPE_N))-SUM($F$47:V$47)),0)</f>
        <v>0</v>
      </c>
      <c r="W50" s="120" t="n">
        <f aca="false">IF(W$5=IMPE_N,ImpPct_N*(SUMPRODUCT($E$25:W$25,--($E$5:W$5&lt;=IMPE_N))-SUM($F$47:W$47)),0)</f>
        <v>0</v>
      </c>
      <c r="X50" s="120" t="n">
        <f aca="false">IF(X$5=IMPE_N,ImpPct_N*(SUMPRODUCT($E$25:X$25,--($E$5:X$5&lt;=IMPE_N))-SUM($F$47:X$47)),0)</f>
        <v>0</v>
      </c>
      <c r="Y50" s="120" t="n">
        <f aca="false">IF(Y$5=IMPE_N,ImpPct_N*(SUMPRODUCT($E$25:Y$25,--($E$5:Y$5&lt;=IMPE_N))-SUM($F$47:Y$47)),0)</f>
        <v>0</v>
      </c>
      <c r="Z50" s="120" t="n">
        <f aca="false">IF(Z$5=IMPE_N,ImpPct_N*(SUMPRODUCT($E$25:Z$25,--($E$5:Z$5&lt;=IMPE_N))-SUM($F$47:Z$47)),0)</f>
        <v>0</v>
      </c>
      <c r="AA50" s="120" t="n">
        <f aca="false">IF(AA$5=IMPE_N,ImpPct_N*(SUMPRODUCT($E$25:AA$25,--($E$5:AA$5&lt;=IMPE_N))-SUM($F$47:AA$47)),0)</f>
        <v>0</v>
      </c>
      <c r="AB50" s="120" t="n">
        <f aca="false">IF(AB$5=IMPE_N,ImpPct_N*(SUMPRODUCT($E$25:AB$25,--($E$5:AB$5&lt;=IMPE_N))-SUM($F$47:AB$47)),0)</f>
        <v>0</v>
      </c>
      <c r="AC50" s="120" t="n">
        <f aca="false">IF(AC$5=IMPE_N,ImpPct_N*(SUMPRODUCT($E$25:AC$25,--($E$5:AC$5&lt;=IMPE_N))-SUM($F$47:AC$47)),0)</f>
        <v>0</v>
      </c>
      <c r="AD50" s="120" t="n">
        <f aca="false">IF(AD$5=IMPE_N,ImpPct_N*(SUMPRODUCT($E$25:AD$25,--($E$5:AD$5&lt;=IMPE_N))-SUM($F$47:AD$47)),0)</f>
        <v>0</v>
      </c>
      <c r="AE50" s="120" t="n">
        <f aca="false">IF(AE$5=IMPE_N,ImpPct_N*(SUMPRODUCT($E$25:AE$25,--($E$5:AE$5&lt;=IMPE_N))-SUM($F$47:AE$47)),0)</f>
        <v>0</v>
      </c>
      <c r="AF50" s="120" t="n">
        <f aca="false">IF(AF$5=IMPE_N,ImpPct_N*(SUMPRODUCT($E$25:AF$25,--($E$5:AF$5&lt;=IMPE_N))-SUM($F$47:AF$47)),0)</f>
        <v>0</v>
      </c>
      <c r="AG50" s="120" t="n">
        <f aca="false">IF(AG$5=IMPE_N,ImpPct_N*(SUMPRODUCT($E$25:AG$25,--($E$5:AG$5&lt;=IMPE_N))-SUM($F$47:AG$47)),0)</f>
        <v>0</v>
      </c>
      <c r="AI50" s="120" t="n">
        <f aca="false">SUMIF($F$7:$AG$7,AI$7,$F50:$AG50)</f>
        <v>0</v>
      </c>
      <c r="AJ50" s="120" t="n">
        <f aca="false">SUMIF($F$7:$AG$7,AJ$7,$F50:$AG50)</f>
        <v>0</v>
      </c>
      <c r="AK50" s="120" t="n">
        <f aca="false">SUMIF($F$7:$AG$7,AK$7,$F50:$AG50)</f>
        <v>0</v>
      </c>
      <c r="AL50" s="120" t="n">
        <f aca="false">SUMIF($F$7:$AG$7,AL$7,$F50:$AG50)</f>
        <v>0</v>
      </c>
      <c r="AM50" s="120" t="n">
        <f aca="false">SUMIF($F$7:$AG$7,AM$7,$F50:$AG50)</f>
        <v>0</v>
      </c>
      <c r="AN50" s="120" t="n">
        <f aca="false">SUMIF($F$7:$AG$7,AN$7,$F50:$AG50)</f>
        <v>0</v>
      </c>
      <c r="AO50" s="120" t="n">
        <f aca="false">SUMIF($F$7:$AG$7,AO$7,$F50:$AG50)</f>
        <v>0</v>
      </c>
    </row>
    <row r="51" customFormat="false" ht="15" hidden="false" customHeight="false" outlineLevel="0" collapsed="false">
      <c r="A51" s="101" t="s">
        <v>1669</v>
      </c>
      <c r="B51" s="18" t="s">
        <v>400</v>
      </c>
      <c r="C51" s="18" t="s">
        <v>336</v>
      </c>
      <c r="D51" s="18"/>
      <c r="E51" s="120" t="n">
        <f aca="false">E25</f>
        <v>0</v>
      </c>
      <c r="F51" s="119" t="n">
        <f aca="false">E51+F25-F49-F50</f>
        <v>0</v>
      </c>
      <c r="G51" s="119" t="n">
        <f aca="false">F51+G25-G49-G50</f>
        <v>0</v>
      </c>
      <c r="H51" s="119" t="n">
        <f aca="false">G51+H25-H49-H50</f>
        <v>0</v>
      </c>
      <c r="I51" s="119" t="n">
        <f aca="false">H51+I25-I49-I50</f>
        <v>0</v>
      </c>
      <c r="J51" s="119" t="n">
        <f aca="false">I51+J25-J49-J50</f>
        <v>0</v>
      </c>
      <c r="K51" s="119" t="n">
        <f aca="false">J51+K25-K49-K50</f>
        <v>0</v>
      </c>
      <c r="L51" s="119" t="n">
        <f aca="false">K51+L25-L49-L50</f>
        <v>0</v>
      </c>
      <c r="M51" s="119" t="n">
        <f aca="false">L51+M25-M49-M50</f>
        <v>0</v>
      </c>
      <c r="N51" s="119" t="n">
        <f aca="false">M51+N25-N49-N50</f>
        <v>0</v>
      </c>
      <c r="O51" s="119" t="n">
        <f aca="false">N51+O25-O49-O50</f>
        <v>0</v>
      </c>
      <c r="P51" s="120" t="n">
        <f aca="false">O51+P25-P49-P50</f>
        <v>0</v>
      </c>
      <c r="Q51" s="120" t="n">
        <f aca="false">P51+Q25-Q49-Q50</f>
        <v>275.500257678829</v>
      </c>
      <c r="R51" s="120" t="n">
        <f aca="false">Q51+R25-R49-R50</f>
        <v>950.370194672529</v>
      </c>
      <c r="S51" s="120" t="n">
        <f aca="false">R51+S25-S49-S50</f>
        <v>3503.24370429874</v>
      </c>
      <c r="T51" s="120" t="n">
        <f aca="false">S51+T25-T49-T50</f>
        <v>8570.2025821824</v>
      </c>
      <c r="U51" s="120" t="n">
        <f aca="false">T51+U25-U49-U50</f>
        <v>11334.3516463233</v>
      </c>
      <c r="V51" s="120" t="n">
        <f aca="false">U51+V25-V49-V50</f>
        <v>15855.7768410833</v>
      </c>
      <c r="W51" s="120" t="n">
        <f aca="false">V51+W25-W49-W50</f>
        <v>15677.2020358433</v>
      </c>
      <c r="X51" s="120" t="n">
        <f aca="false">W51+X25-X49-X50</f>
        <v>23449.3781864707</v>
      </c>
      <c r="Y51" s="120" t="n">
        <f aca="false">X51+Y25-Y49-Y50</f>
        <v>22603.1533812307</v>
      </c>
      <c r="Z51" s="120" t="n">
        <f aca="false">Y51+Z25-Z49-Z50</f>
        <v>31995.0085281973</v>
      </c>
      <c r="AA51" s="120" t="n">
        <f aca="false">Z51+AA25-AA49-AA50</f>
        <v>30718.8636751639</v>
      </c>
      <c r="AB51" s="120" t="n">
        <f aca="false">AA51+AB25-AB49-AB50</f>
        <v>43768.3188221306</v>
      </c>
      <c r="AC51" s="120" t="n">
        <f aca="false">AB51+AC25-AC49-AC50</f>
        <v>41958.7739690972</v>
      </c>
      <c r="AD51" s="120" t="n">
        <f aca="false">AC51+AD25-AD49-AD50</f>
        <v>39406.2791160638</v>
      </c>
      <c r="AE51" s="120" t="n">
        <f aca="false">AD51+AE25-AE49-AE50</f>
        <v>36853.7842630305</v>
      </c>
      <c r="AF51" s="120" t="n">
        <f aca="false">AE51+AF25-AF49-AF50</f>
        <v>34301.2894099971</v>
      </c>
      <c r="AG51" s="120" t="n">
        <f aca="false">AF51+AG25-AG49-AG50</f>
        <v>31748.7945569637</v>
      </c>
      <c r="AI51" s="120" t="n">
        <f aca="false">INDEX($F51:$AG51,1,MATCH(AI$7,$F$7:$AG$7,1))</f>
        <v>0</v>
      </c>
      <c r="AJ51" s="120" t="n">
        <f aca="false">INDEX($F51:$AG51,1,MATCH(AJ$7,$F$7:$AG$7,1))</f>
        <v>0</v>
      </c>
      <c r="AK51" s="120" t="n">
        <f aca="false">INDEX($F51:$AG51,1,MATCH(AK$7,$F$7:$AG$7,1))</f>
        <v>275.500257678829</v>
      </c>
      <c r="AL51" s="120" t="n">
        <f aca="false">INDEX($F51:$AG51,1,MATCH(AL$7,$F$7:$AG$7,1))</f>
        <v>11334.3516463233</v>
      </c>
      <c r="AM51" s="120" t="n">
        <f aca="false">INDEX($F51:$AG51,1,MATCH(AM$7,$F$7:$AG$7,1))</f>
        <v>22603.1533812307</v>
      </c>
      <c r="AN51" s="120" t="n">
        <f aca="false">INDEX($F51:$AG51,1,MATCH(AN$7,$F$7:$AG$7,1))</f>
        <v>41958.7739690972</v>
      </c>
      <c r="AO51" s="120" t="n">
        <f aca="false">INDEX($F51:$AG51,1,MATCH(AO$7,$F$7:$AG$7,1))</f>
        <v>31748.7945569637</v>
      </c>
    </row>
    <row r="53" customFormat="false" ht="15" hidden="false" customHeight="false" outlineLevel="0" collapsed="false">
      <c r="A53" s="48" t="s">
        <v>1670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</row>
    <row r="54" customFormat="false" ht="15" hidden="false" customHeight="false" outlineLevel="0" collapsed="false">
      <c r="A54" s="101" t="s">
        <v>1671</v>
      </c>
      <c r="B54" s="18" t="s">
        <v>400</v>
      </c>
      <c r="C54" s="18" t="s">
        <v>336</v>
      </c>
      <c r="D54" s="18"/>
      <c r="F54" s="119" t="n">
        <f aca="false">SUMPRODUCT($E$26:F$26,((F$5-$E$5:F$5)&gt;=(PISLag+($E$5:F$5&gt;LastHist)*MAX(0,DCLead-2)))*((F$5-$E$5:F$5)&lt;LQ_Shell+(PISLag+($E$5:F$5&gt;LastHist)*MAX(0,DCLead-2))))/LQ_Shell</f>
        <v>0</v>
      </c>
      <c r="G54" s="119" t="n">
        <f aca="false">SUMPRODUCT($E$26:G$26,((G$5-$E$5:G$5)&gt;=(PISLag+($E$5:G$5&gt;LastHist)*MAX(0,DCLead-2)))*((G$5-$E$5:G$5)&lt;LQ_Shell+(PISLag+($E$5:G$5&gt;LastHist)*MAX(0,DCLead-2))))/LQ_Shell</f>
        <v>0.13</v>
      </c>
      <c r="H54" s="119" t="n">
        <f aca="false">SUMPRODUCT($E$26:H$26,((H$5-$E$5:H$5)&gt;=(PISLag+($E$5:H$5&gt;LastHist)*MAX(0,DCLead-2)))*((H$5-$E$5:H$5)&lt;LQ_Shell+(PISLag+($E$5:H$5&gt;LastHist)*MAX(0,DCLead-2))))/LQ_Shell</f>
        <v>0.26</v>
      </c>
      <c r="I54" s="119" t="n">
        <f aca="false">SUMPRODUCT($E$26:I$26,((I$5-$E$5:I$5)&gt;=(PISLag+($E$5:I$5&gt;LastHist)*MAX(0,DCLead-2)))*((I$5-$E$5:I$5)&lt;LQ_Shell+(PISLag+($E$5:I$5&gt;LastHist)*MAX(0,DCLead-2))))/LQ_Shell</f>
        <v>0.3899</v>
      </c>
      <c r="J54" s="119" t="n">
        <f aca="false">SUMPRODUCT($E$26:J$26,((J$5-$E$5:J$5)&gt;=(PISLag+($E$5:J$5&gt;LastHist)*MAX(0,DCLead-2)))*((J$5-$E$5:J$5)&lt;LQ_Shell+(PISLag+($E$5:J$5&gt;LastHist)*MAX(0,DCLead-2))))/LQ_Shell</f>
        <v>0.8075</v>
      </c>
      <c r="K54" s="119" t="n">
        <f aca="false">SUMPRODUCT($E$26:K$26,((K$5-$E$5:K$5)&gt;=(PISLag+($E$5:K$5&gt;LastHist)*MAX(0,DCLead-2)))*((K$5-$E$5:K$5)&lt;LQ_Shell+(PISLag+($E$5:K$5&gt;LastHist)*MAX(0,DCLead-2))))/LQ_Shell</f>
        <v>1.3515</v>
      </c>
      <c r="L54" s="119" t="n">
        <f aca="false">SUMPRODUCT($E$26:L$26,((L$5-$E$5:L$5)&gt;=(PISLag+($E$5:L$5&gt;LastHist)*MAX(0,DCLead-2)))*((L$5-$E$5:L$5)&lt;LQ_Shell+(PISLag+($E$5:L$5&gt;LastHist)*MAX(0,DCLead-2))))/LQ_Shell</f>
        <v>1.8621</v>
      </c>
      <c r="M54" s="119" t="n">
        <f aca="false">SUMPRODUCT($E$26:M$26,((M$5-$E$5:M$5)&gt;=(PISLag+($E$5:M$5&gt;LastHist)*MAX(0,DCLead-2)))*((M$5-$E$5:M$5)&lt;LQ_Shell+(PISLag+($E$5:M$5&gt;LastHist)*MAX(0,DCLead-2))))/LQ_Shell</f>
        <v>2.8176</v>
      </c>
      <c r="N54" s="119" t="n">
        <f aca="false">SUMPRODUCT($E$26:N$26,((N$5-$E$5:N$5)&gt;=(PISLag+($E$5:N$5&gt;LastHist)*MAX(0,DCLead-2)))*((N$5-$E$5:N$5)&lt;LQ_Shell+(PISLag+($E$5:N$5&gt;LastHist)*MAX(0,DCLead-2))))/LQ_Shell</f>
        <v>4.8736</v>
      </c>
      <c r="O54" s="119" t="n">
        <f aca="false">SUMPRODUCT($E$26:O$26,((O$5-$E$5:O$5)&gt;=(PISLag+($E$5:O$5&gt;LastHist)*MAX(0,DCLead-2)))*((O$5-$E$5:O$5)&lt;LQ_Shell+(PISLag+($E$5:O$5&gt;LastHist)*MAX(0,DCLead-2))))/LQ_Shell</f>
        <v>7.3465</v>
      </c>
      <c r="P54" s="120" t="n">
        <f aca="false">SUMPRODUCT($E$26:P$26,((P$5-$E$5:P$5)&gt;=(PISLag+($E$5:P$5&gt;LastHist)*MAX(0,DCLead-2)))*((P$5-$E$5:P$5)&lt;LQ_Shell+(PISLag+($E$5:P$5&gt;LastHist)*MAX(0,DCLead-2))))/LQ_Shell</f>
        <v>13.0039</v>
      </c>
      <c r="Q54" s="120" t="n">
        <f aca="false">SUMPRODUCT($E$26:Q$26,((Q$5-$E$5:Q$5)&gt;=(PISLag+($E$5:Q$5&gt;LastHist)*MAX(0,DCLead-2)))*((Q$5-$E$5:Q$5)&lt;LQ_Shell+(PISLag+($E$5:Q$5&gt;LastHist)*MAX(0,DCLead-2))))/LQ_Shell</f>
        <v>13.0039</v>
      </c>
      <c r="R54" s="120" t="n">
        <f aca="false">SUMPRODUCT($E$26:R$26,((R$5-$E$5:R$5)&gt;=(PISLag+($E$5:R$5&gt;LastHist)*MAX(0,DCLead-2)))*((R$5-$E$5:R$5)&lt;LQ_Shell+(PISLag+($E$5:R$5&gt;LastHist)*MAX(0,DCLead-2))))/LQ_Shell</f>
        <v>13.5664</v>
      </c>
      <c r="S54" s="120" t="n">
        <f aca="false">SUMPRODUCT($E$26:S$26,((S$5-$E$5:S$5)&gt;=(PISLag+($E$5:S$5&gt;LastHist)*MAX(0,DCLead-2)))*((S$5-$E$5:S$5)&lt;LQ_Shell+(PISLag+($E$5:S$5&gt;LastHist)*MAX(0,DCLead-2))))/LQ_Shell</f>
        <v>14.9164</v>
      </c>
      <c r="T54" s="120" t="n">
        <f aca="false">SUMPRODUCT($E$26:T$26,((T$5-$E$5:T$5)&gt;=(PISLag+($E$5:T$5&gt;LastHist)*MAX(0,DCLead-2)))*((T$5-$E$5:T$5)&lt;LQ_Shell+(PISLag+($E$5:T$5&gt;LastHist)*MAX(0,DCLead-2))))/LQ_Shell</f>
        <v>19.0789</v>
      </c>
      <c r="U54" s="120" t="n">
        <f aca="false">SUMPRODUCT($E$26:U$26,((U$5-$E$5:U$5)&gt;=(PISLag+($E$5:U$5&gt;LastHist)*MAX(0,DCLead-2)))*((U$5-$E$5:U$5)&lt;LQ_Shell+(PISLag+($E$5:U$5&gt;LastHist)*MAX(0,DCLead-2))))/LQ_Shell</f>
        <v>28.0789</v>
      </c>
      <c r="V54" s="120" t="n">
        <f aca="false">SUMPRODUCT($E$26:V$26,((V$5-$E$5:V$5)&gt;=(PISLag+($E$5:V$5&gt;LastHist)*MAX(0,DCLead-2)))*((V$5-$E$5:V$5)&lt;LQ_Shell+(PISLag+($E$5:V$5&gt;LastHist)*MAX(0,DCLead-2))))/LQ_Shell</f>
        <v>32.5789</v>
      </c>
      <c r="W54" s="120" t="n">
        <f aca="false">SUMPRODUCT($E$26:W$26,((W$5-$E$5:W$5)&gt;=(PISLag+($E$5:W$5&gt;LastHist)*MAX(0,DCLead-2)))*((W$5-$E$5:W$5)&lt;LQ_Shell+(PISLag+($E$5:W$5&gt;LastHist)*MAX(0,DCLead-2))))/LQ_Shell</f>
        <v>41.3539</v>
      </c>
      <c r="X54" s="120" t="n">
        <f aca="false">SUMPRODUCT($E$26:X$26,((X$5-$E$5:X$5)&gt;=(PISLag+($E$5:X$5&gt;LastHist)*MAX(0,DCLead-2)))*((X$5-$E$5:X$5)&lt;LQ_Shell+(PISLag+($E$5:X$5&gt;LastHist)*MAX(0,DCLead-2))))/LQ_Shell</f>
        <v>41.3539</v>
      </c>
      <c r="Y54" s="120" t="n">
        <f aca="false">SUMPRODUCT($E$26:Y$26,((Y$5-$E$5:Y$5)&gt;=(PISLag+($E$5:Y$5&gt;LastHist)*MAX(0,DCLead-2)))*((Y$5-$E$5:Y$5)&lt;LQ_Shell+(PISLag+($E$5:Y$5&gt;LastHist)*MAX(0,DCLead-2))))/LQ_Shell</f>
        <v>57.1039</v>
      </c>
      <c r="Z54" s="120" t="n">
        <f aca="false">SUMPRODUCT($E$26:Z$26,((Z$5-$E$5:Z$5)&gt;=(PISLag+($E$5:Z$5&gt;LastHist)*MAX(0,DCLead-2)))*((Z$5-$E$5:Z$5)&lt;LQ_Shell+(PISLag+($E$5:Z$5&gt;LastHist)*MAX(0,DCLead-2))))/LQ_Shell</f>
        <v>57.1039</v>
      </c>
      <c r="AA54" s="120" t="n">
        <f aca="false">SUMPRODUCT($E$26:AA$26,((AA$5-$E$5:AA$5)&gt;=(PISLag+($E$5:AA$5&gt;LastHist)*MAX(0,DCLead-2)))*((AA$5-$E$5:AA$5)&lt;LQ_Shell+(PISLag+($E$5:AA$5&gt;LastHist)*MAX(0,DCLead-2))))/LQ_Shell</f>
        <v>76.0039</v>
      </c>
      <c r="AB54" s="120" t="n">
        <f aca="false">SUMPRODUCT($E$26:AB$26,((AB$5-$E$5:AB$5)&gt;=(PISLag+($E$5:AB$5&gt;LastHist)*MAX(0,DCLead-2)))*((AB$5-$E$5:AB$5)&lt;LQ_Shell+(PISLag+($E$5:AB$5&gt;LastHist)*MAX(0,DCLead-2))))/LQ_Shell</f>
        <v>76.0039</v>
      </c>
      <c r="AC54" s="120" t="n">
        <f aca="false">SUMPRODUCT($E$26:AC$26,((AC$5-$E$5:AC$5)&gt;=(PISLag+($E$5:AC$5&gt;LastHist)*MAX(0,DCLead-2)))*((AC$5-$E$5:AC$5)&lt;LQ_Shell+(PISLag+($E$5:AC$5&gt;LastHist)*MAX(0,DCLead-2))))/LQ_Shell</f>
        <v>102.3289</v>
      </c>
      <c r="AD54" s="120" t="n">
        <f aca="false">SUMPRODUCT($E$26:AD$26,((AD$5-$E$5:AD$5)&gt;=(PISLag+($E$5:AD$5&gt;LastHist)*MAX(0,DCLead-2)))*((AD$5-$E$5:AD$5)&lt;LQ_Shell+(PISLag+($E$5:AD$5&gt;LastHist)*MAX(0,DCLead-2))))/LQ_Shell</f>
        <v>102.3289</v>
      </c>
      <c r="AE54" s="120" t="n">
        <f aca="false">SUMPRODUCT($E$26:AE$26,((AE$5-$E$5:AE$5)&gt;=(PISLag+($E$5:AE$5&gt;LastHist)*MAX(0,DCLead-2)))*((AE$5-$E$5:AE$5)&lt;LQ_Shell+(PISLag+($E$5:AE$5&gt;LastHist)*MAX(0,DCLead-2))))/LQ_Shell</f>
        <v>102.3289</v>
      </c>
      <c r="AF54" s="120" t="n">
        <f aca="false">SUMPRODUCT($E$26:AF$26,((AF$5-$E$5:AF$5)&gt;=(PISLag+($E$5:AF$5&gt;LastHist)*MAX(0,DCLead-2)))*((AF$5-$E$5:AF$5)&lt;LQ_Shell+(PISLag+($E$5:AF$5&gt;LastHist)*MAX(0,DCLead-2))))/LQ_Shell</f>
        <v>102.3289</v>
      </c>
      <c r="AG54" s="120" t="n">
        <f aca="false">SUMPRODUCT($E$26:AG$26,((AG$5-$E$5:AG$5)&gt;=(PISLag+($E$5:AG$5&gt;LastHist)*MAX(0,DCLead-2)))*((AG$5-$E$5:AG$5)&lt;LQ_Shell+(PISLag+($E$5:AG$5&gt;LastHist)*MAX(0,DCLead-2))))/LQ_Shell</f>
        <v>102.3289</v>
      </c>
      <c r="AI54" s="120" t="n">
        <f aca="false">SUMIF($F$7:$AG$7,AI$7,$F54:$AG54)</f>
        <v>0.7799</v>
      </c>
      <c r="AJ54" s="120" t="n">
        <f aca="false">SUMIF($F$7:$AG$7,AJ$7,$F54:$AG54)</f>
        <v>6.8387</v>
      </c>
      <c r="AK54" s="120" t="n">
        <f aca="false">SUMIF($F$7:$AG$7,AK$7,$F54:$AG54)</f>
        <v>38.2279</v>
      </c>
      <c r="AL54" s="120" t="n">
        <f aca="false">SUMIF($F$7:$AG$7,AL$7,$F54:$AG54)</f>
        <v>75.6406</v>
      </c>
      <c r="AM54" s="120" t="n">
        <f aca="false">SUMIF($F$7:$AG$7,AM$7,$F54:$AG54)</f>
        <v>172.3906</v>
      </c>
      <c r="AN54" s="120" t="n">
        <f aca="false">SUMIF($F$7:$AG$7,AN$7,$F54:$AG54)</f>
        <v>311.4406</v>
      </c>
      <c r="AO54" s="120" t="n">
        <f aca="false">SUMIF($F$7:$AG$7,AO$7,$F54:$AG54)</f>
        <v>409.3156</v>
      </c>
    </row>
    <row r="55" customFormat="false" ht="15" hidden="false" customHeight="false" outlineLevel="0" collapsed="false">
      <c r="A55" s="101" t="s">
        <v>1672</v>
      </c>
      <c r="B55" s="18" t="s">
        <v>400</v>
      </c>
      <c r="C55" s="18" t="s">
        <v>336</v>
      </c>
      <c r="D55" s="18"/>
      <c r="F55" s="119" t="n">
        <f aca="false">SUMPRODUCT($E$27:F$27,((F$5-$E$5:F$5)&gt;=(PISLag+($E$5:F$5&gt;LastHist)*MAX(0,DCLead-2)))*((F$5-$E$5:F$5)&lt;LQ_Pow+(PISLag+($E$5:F$5&gt;LastHist)*MAX(0,DCLead-2))))/LQ_Pow</f>
        <v>0</v>
      </c>
      <c r="G55" s="119" t="n">
        <f aca="false">SUMPRODUCT($E$27:G$27,((G$5-$E$5:G$5)&gt;=(PISLag+($E$5:G$5&gt;LastHist)*MAX(0,DCLead-2)))*((G$5-$E$5:G$5)&lt;LQ_Pow+(PISLag+($E$5:G$5&gt;LastHist)*MAX(0,DCLead-2))))/LQ_Pow</f>
        <v>0.39</v>
      </c>
      <c r="H55" s="119" t="n">
        <f aca="false">SUMPRODUCT($E$27:H$27,((H$5-$E$5:H$5)&gt;=(PISLag+($E$5:H$5&gt;LastHist)*MAX(0,DCLead-2)))*((H$5-$E$5:H$5)&lt;LQ_Pow+(PISLag+($E$5:H$5&gt;LastHist)*MAX(0,DCLead-2))))/LQ_Pow</f>
        <v>0.78</v>
      </c>
      <c r="I55" s="119" t="n">
        <f aca="false">SUMPRODUCT($E$27:I$27,((I$5-$E$5:I$5)&gt;=(PISLag+($E$5:I$5&gt;LastHist)*MAX(0,DCLead-2)))*((I$5-$E$5:I$5)&lt;LQ_Pow+(PISLag+($E$5:I$5&gt;LastHist)*MAX(0,DCLead-2))))/LQ_Pow</f>
        <v>1.1697</v>
      </c>
      <c r="J55" s="119" t="n">
        <f aca="false">SUMPRODUCT($E$27:J$27,((J$5-$E$5:J$5)&gt;=(PISLag+($E$5:J$5&gt;LastHist)*MAX(0,DCLead-2)))*((J$5-$E$5:J$5)&lt;LQ_Pow+(PISLag+($E$5:J$5&gt;LastHist)*MAX(0,DCLead-2))))/LQ_Pow</f>
        <v>2.4225</v>
      </c>
      <c r="K55" s="119" t="n">
        <f aca="false">SUMPRODUCT($E$27:K$27,((K$5-$E$5:K$5)&gt;=(PISLag+($E$5:K$5&gt;LastHist)*MAX(0,DCLead-2)))*((K$5-$E$5:K$5)&lt;LQ_Pow+(PISLag+($E$5:K$5&gt;LastHist)*MAX(0,DCLead-2))))/LQ_Pow</f>
        <v>4.0545</v>
      </c>
      <c r="L55" s="119" t="n">
        <f aca="false">SUMPRODUCT($E$27:L$27,((L$5-$E$5:L$5)&gt;=(PISLag+($E$5:L$5&gt;LastHist)*MAX(0,DCLead-2)))*((L$5-$E$5:L$5)&lt;LQ_Pow+(PISLag+($E$5:L$5&gt;LastHist)*MAX(0,DCLead-2))))/LQ_Pow</f>
        <v>5.5863</v>
      </c>
      <c r="M55" s="119" t="n">
        <f aca="false">SUMPRODUCT($E$27:M$27,((M$5-$E$5:M$5)&gt;=(PISLag+($E$5:M$5&gt;LastHist)*MAX(0,DCLead-2)))*((M$5-$E$5:M$5)&lt;LQ_Pow+(PISLag+($E$5:M$5&gt;LastHist)*MAX(0,DCLead-2))))/LQ_Pow</f>
        <v>8.4528</v>
      </c>
      <c r="N55" s="119" t="n">
        <f aca="false">SUMPRODUCT($E$27:N$27,((N$5-$E$5:N$5)&gt;=(PISLag+($E$5:N$5&gt;LastHist)*MAX(0,DCLead-2)))*((N$5-$E$5:N$5)&lt;LQ_Pow+(PISLag+($E$5:N$5&gt;LastHist)*MAX(0,DCLead-2))))/LQ_Pow</f>
        <v>14.6208</v>
      </c>
      <c r="O55" s="119" t="n">
        <f aca="false">SUMPRODUCT($E$27:O$27,((O$5-$E$5:O$5)&gt;=(PISLag+($E$5:O$5&gt;LastHist)*MAX(0,DCLead-2)))*((O$5-$E$5:O$5)&lt;LQ_Pow+(PISLag+($E$5:O$5&gt;LastHist)*MAX(0,DCLead-2))))/LQ_Pow</f>
        <v>22.0395</v>
      </c>
      <c r="P55" s="120" t="n">
        <f aca="false">SUMPRODUCT($E$27:P$27,((P$5-$E$5:P$5)&gt;=(PISLag+($E$5:P$5&gt;LastHist)*MAX(0,DCLead-2)))*((P$5-$E$5:P$5)&lt;LQ_Pow+(PISLag+($E$5:P$5&gt;LastHist)*MAX(0,DCLead-2))))/LQ_Pow</f>
        <v>39.0117</v>
      </c>
      <c r="Q55" s="120" t="n">
        <f aca="false">SUMPRODUCT($E$27:Q$27,((Q$5-$E$5:Q$5)&gt;=(PISLag+($E$5:Q$5&gt;LastHist)*MAX(0,DCLead-2)))*((Q$5-$E$5:Q$5)&lt;LQ_Pow+(PISLag+($E$5:Q$5&gt;LastHist)*MAX(0,DCLead-2))))/LQ_Pow</f>
        <v>39.0117</v>
      </c>
      <c r="R55" s="120" t="n">
        <f aca="false">SUMPRODUCT($E$27:R$27,((R$5-$E$5:R$5)&gt;=(PISLag+($E$5:R$5&gt;LastHist)*MAX(0,DCLead-2)))*((R$5-$E$5:R$5)&lt;LQ_Pow+(PISLag+($E$5:R$5&gt;LastHist)*MAX(0,DCLead-2))))/LQ_Pow</f>
        <v>40.6992</v>
      </c>
      <c r="S55" s="120" t="n">
        <f aca="false">SUMPRODUCT($E$27:S$27,((S$5-$E$5:S$5)&gt;=(PISLag+($E$5:S$5&gt;LastHist)*MAX(0,DCLead-2)))*((S$5-$E$5:S$5)&lt;LQ_Pow+(PISLag+($E$5:S$5&gt;LastHist)*MAX(0,DCLead-2))))/LQ_Pow</f>
        <v>44.7492</v>
      </c>
      <c r="T55" s="120" t="n">
        <f aca="false">SUMPRODUCT($E$27:T$27,((T$5-$E$5:T$5)&gt;=(PISLag+($E$5:T$5&gt;LastHist)*MAX(0,DCLead-2)))*((T$5-$E$5:T$5)&lt;LQ_Pow+(PISLag+($E$5:T$5&gt;LastHist)*MAX(0,DCLead-2))))/LQ_Pow</f>
        <v>57.2367</v>
      </c>
      <c r="U55" s="120" t="n">
        <f aca="false">SUMPRODUCT($E$27:U$27,((U$5-$E$5:U$5)&gt;=(PISLag+($E$5:U$5&gt;LastHist)*MAX(0,DCLead-2)))*((U$5-$E$5:U$5)&lt;LQ_Pow+(PISLag+($E$5:U$5&gt;LastHist)*MAX(0,DCLead-2))))/LQ_Pow</f>
        <v>84.2367</v>
      </c>
      <c r="V55" s="120" t="n">
        <f aca="false">SUMPRODUCT($E$27:V$27,((V$5-$E$5:V$5)&gt;=(PISLag+($E$5:V$5&gt;LastHist)*MAX(0,DCLead-2)))*((V$5-$E$5:V$5)&lt;LQ_Pow+(PISLag+($E$5:V$5&gt;LastHist)*MAX(0,DCLead-2))))/LQ_Pow</f>
        <v>97.7367</v>
      </c>
      <c r="W55" s="120" t="n">
        <f aca="false">SUMPRODUCT($E$27:W$27,((W$5-$E$5:W$5)&gt;=(PISLag+($E$5:W$5&gt;LastHist)*MAX(0,DCLead-2)))*((W$5-$E$5:W$5)&lt;LQ_Pow+(PISLag+($E$5:W$5&gt;LastHist)*MAX(0,DCLead-2))))/LQ_Pow</f>
        <v>124.0617</v>
      </c>
      <c r="X55" s="120" t="n">
        <f aca="false">SUMPRODUCT($E$27:X$27,((X$5-$E$5:X$5)&gt;=(PISLag+($E$5:X$5&gt;LastHist)*MAX(0,DCLead-2)))*((X$5-$E$5:X$5)&lt;LQ_Pow+(PISLag+($E$5:X$5&gt;LastHist)*MAX(0,DCLead-2))))/LQ_Pow</f>
        <v>124.0617</v>
      </c>
      <c r="Y55" s="120" t="n">
        <f aca="false">SUMPRODUCT($E$27:Y$27,((Y$5-$E$5:Y$5)&gt;=(PISLag+($E$5:Y$5&gt;LastHist)*MAX(0,DCLead-2)))*((Y$5-$E$5:Y$5)&lt;LQ_Pow+(PISLag+($E$5:Y$5&gt;LastHist)*MAX(0,DCLead-2))))/LQ_Pow</f>
        <v>171.3117</v>
      </c>
      <c r="Z55" s="120" t="n">
        <f aca="false">SUMPRODUCT($E$27:Z$27,((Z$5-$E$5:Z$5)&gt;=(PISLag+($E$5:Z$5&gt;LastHist)*MAX(0,DCLead-2)))*((Z$5-$E$5:Z$5)&lt;LQ_Pow+(PISLag+($E$5:Z$5&gt;LastHist)*MAX(0,DCLead-2))))/LQ_Pow</f>
        <v>171.3117</v>
      </c>
      <c r="AA55" s="120" t="n">
        <f aca="false">SUMPRODUCT($E$27:AA$27,((AA$5-$E$5:AA$5)&gt;=(PISLag+($E$5:AA$5&gt;LastHist)*MAX(0,DCLead-2)))*((AA$5-$E$5:AA$5)&lt;LQ_Pow+(PISLag+($E$5:AA$5&gt;LastHist)*MAX(0,DCLead-2))))/LQ_Pow</f>
        <v>228.0117</v>
      </c>
      <c r="AB55" s="120" t="n">
        <f aca="false">SUMPRODUCT($E$27:AB$27,((AB$5-$E$5:AB$5)&gt;=(PISLag+($E$5:AB$5&gt;LastHist)*MAX(0,DCLead-2)))*((AB$5-$E$5:AB$5)&lt;LQ_Pow+(PISLag+($E$5:AB$5&gt;LastHist)*MAX(0,DCLead-2))))/LQ_Pow</f>
        <v>228.0117</v>
      </c>
      <c r="AC55" s="120" t="n">
        <f aca="false">SUMPRODUCT($E$27:AC$27,((AC$5-$E$5:AC$5)&gt;=(PISLag+($E$5:AC$5&gt;LastHist)*MAX(0,DCLead-2)))*((AC$5-$E$5:AC$5)&lt;LQ_Pow+(PISLag+($E$5:AC$5&gt;LastHist)*MAX(0,DCLead-2))))/LQ_Pow</f>
        <v>306.9867</v>
      </c>
      <c r="AD55" s="120" t="n">
        <f aca="false">SUMPRODUCT($E$27:AD$27,((AD$5-$E$5:AD$5)&gt;=(PISLag+($E$5:AD$5&gt;LastHist)*MAX(0,DCLead-2)))*((AD$5-$E$5:AD$5)&lt;LQ_Pow+(PISLag+($E$5:AD$5&gt;LastHist)*MAX(0,DCLead-2))))/LQ_Pow</f>
        <v>306.9867</v>
      </c>
      <c r="AE55" s="120" t="n">
        <f aca="false">SUMPRODUCT($E$27:AE$27,((AE$5-$E$5:AE$5)&gt;=(PISLag+($E$5:AE$5&gt;LastHist)*MAX(0,DCLead-2)))*((AE$5-$E$5:AE$5)&lt;LQ_Pow+(PISLag+($E$5:AE$5&gt;LastHist)*MAX(0,DCLead-2))))/LQ_Pow</f>
        <v>306.9867</v>
      </c>
      <c r="AF55" s="120" t="n">
        <f aca="false">SUMPRODUCT($E$27:AF$27,((AF$5-$E$5:AF$5)&gt;=(PISLag+($E$5:AF$5&gt;LastHist)*MAX(0,DCLead-2)))*((AF$5-$E$5:AF$5)&lt;LQ_Pow+(PISLag+($E$5:AF$5&gt;LastHist)*MAX(0,DCLead-2))))/LQ_Pow</f>
        <v>306.9867</v>
      </c>
      <c r="AG55" s="120" t="n">
        <f aca="false">SUMPRODUCT($E$27:AG$27,((AG$5-$E$5:AG$5)&gt;=(PISLag+($E$5:AG$5&gt;LastHist)*MAX(0,DCLead-2)))*((AG$5-$E$5:AG$5)&lt;LQ_Pow+(PISLag+($E$5:AG$5&gt;LastHist)*MAX(0,DCLead-2))))/LQ_Pow</f>
        <v>306.9867</v>
      </c>
      <c r="AI55" s="120" t="n">
        <f aca="false">SUMIF($F$7:$AG$7,AI$7,$F55:$AG55)</f>
        <v>2.3397</v>
      </c>
      <c r="AJ55" s="120" t="n">
        <f aca="false">SUMIF($F$7:$AG$7,AJ$7,$F55:$AG55)</f>
        <v>20.5161</v>
      </c>
      <c r="AK55" s="120" t="n">
        <f aca="false">SUMIF($F$7:$AG$7,AK$7,$F55:$AG55)</f>
        <v>114.6837</v>
      </c>
      <c r="AL55" s="120" t="n">
        <f aca="false">SUMIF($F$7:$AG$7,AL$7,$F55:$AG55)</f>
        <v>226.9218</v>
      </c>
      <c r="AM55" s="120" t="n">
        <f aca="false">SUMIF($F$7:$AG$7,AM$7,$F55:$AG55)</f>
        <v>517.1718</v>
      </c>
      <c r="AN55" s="120" t="n">
        <f aca="false">SUMIF($F$7:$AG$7,AN$7,$F55:$AG55)</f>
        <v>934.3218</v>
      </c>
      <c r="AO55" s="120" t="n">
        <f aca="false">SUMIF($F$7:$AG$7,AO$7,$F55:$AG55)</f>
        <v>1227.9468</v>
      </c>
    </row>
    <row r="56" customFormat="false" ht="15" hidden="false" customHeight="false" outlineLevel="0" collapsed="false">
      <c r="A56" s="101" t="s">
        <v>1673</v>
      </c>
      <c r="B56" s="18" t="s">
        <v>400</v>
      </c>
      <c r="C56" s="18" t="s">
        <v>336</v>
      </c>
      <c r="D56" s="18"/>
      <c r="F56" s="119" t="n">
        <f aca="false">SUMPRODUCT($E$28:F$28,((F$5-$E$5:F$5)&gt;=PISLag)*((F$5-$E$5:F$5)&lt;LQ_Maint+PISLag))/LQ_Maint</f>
        <v>0</v>
      </c>
      <c r="G56" s="119" t="n">
        <f aca="false">SUMPRODUCT($E$28:G$28,((G$5-$E$5:G$5)&gt;=PISLag)*((G$5-$E$5:G$5)&lt;LQ_Maint+PISLag))/LQ_Maint</f>
        <v>0</v>
      </c>
      <c r="H56" s="119" t="n">
        <f aca="false">SUMPRODUCT($E$28:H$28,((H$5-$E$5:H$5)&gt;=PISLag)*((H$5-$E$5:H$5)&lt;LQ_Maint+PISLag))/LQ_Maint</f>
        <v>0</v>
      </c>
      <c r="I56" s="119" t="n">
        <f aca="false">SUMPRODUCT($E$28:I$28,((I$5-$E$5:I$5)&gt;=PISLag)*((I$5-$E$5:I$5)&lt;LQ_Maint+PISLag))/LQ_Maint</f>
        <v>0</v>
      </c>
      <c r="J56" s="119" t="n">
        <f aca="false">SUMPRODUCT($E$28:J$28,((J$5-$E$5:J$5)&gt;=PISLag)*((J$5-$E$5:J$5)&lt;LQ_Maint+PISLag))/LQ_Maint</f>
        <v>0</v>
      </c>
      <c r="K56" s="119" t="n">
        <f aca="false">SUMPRODUCT($E$28:K$28,((K$5-$E$5:K$5)&gt;=PISLag)*((K$5-$E$5:K$5)&lt;LQ_Maint+PISLag))/LQ_Maint</f>
        <v>0</v>
      </c>
      <c r="L56" s="119" t="n">
        <f aca="false">SUMPRODUCT($E$28:L$28,((L$5-$E$5:L$5)&gt;=PISLag)*((L$5-$E$5:L$5)&lt;LQ_Maint+PISLag))/LQ_Maint</f>
        <v>0</v>
      </c>
      <c r="M56" s="119" t="n">
        <f aca="false">SUMPRODUCT($E$28:M$28,((M$5-$E$5:M$5)&gt;=PISLag)*((M$5-$E$5:M$5)&lt;LQ_Maint+PISLag))/LQ_Maint</f>
        <v>0</v>
      </c>
      <c r="N56" s="119" t="n">
        <f aca="false">SUMPRODUCT($E$28:N$28,((N$5-$E$5:N$5)&gt;=PISLag)*((N$5-$E$5:N$5)&lt;LQ_Maint+PISLag))/LQ_Maint</f>
        <v>0</v>
      </c>
      <c r="O56" s="119" t="n">
        <f aca="false">SUMPRODUCT($E$28:O$28,((O$5-$E$5:O$5)&gt;=PISLag)*((O$5-$E$5:O$5)&lt;LQ_Maint+PISLag))/LQ_Maint</f>
        <v>0</v>
      </c>
      <c r="P56" s="120" t="n">
        <f aca="false">SUMPRODUCT($E$28:P$28,((P$5-$E$5:P$5)&gt;=PISLag)*((P$5-$E$5:P$5)&lt;LQ_Maint+PISLag))/LQ_Maint</f>
        <v>0</v>
      </c>
      <c r="Q56" s="120" t="n">
        <f aca="false">SUMPRODUCT($E$28:Q$28,((Q$5-$E$5:Q$5)&gt;=PISLag)*((Q$5-$E$5:Q$5)&lt;LQ_Maint+PISLag))/LQ_Maint</f>
        <v>0.653683373262198</v>
      </c>
      <c r="R56" s="120" t="n">
        <f aca="false">SUMPRODUCT($E$28:R$28,((R$5-$E$5:R$5)&gt;=PISLag)*((R$5-$E$5:R$5)&lt;LQ_Maint+PISLag))/LQ_Maint</f>
        <v>1.44210833661368</v>
      </c>
      <c r="S56" s="120" t="n">
        <f aca="false">SUMPRODUCT($E$28:S$28,((S$5-$E$5:S$5)&gt;=PISLag)*((S$5-$E$5:S$5)&lt;LQ_Maint+PISLag))/LQ_Maint</f>
        <v>2.47393858430275</v>
      </c>
      <c r="T56" s="120" t="n">
        <f aca="false">SUMPRODUCT($E$28:T$28,((T$5-$E$5:T$5)&gt;=PISLag)*((T$5-$E$5:T$5)&lt;LQ_Maint+PISLag))/LQ_Maint</f>
        <v>3.98281483085539</v>
      </c>
      <c r="U56" s="120" t="n">
        <f aca="false">SUMPRODUCT($E$28:U$28,((U$5-$E$5:U$5)&gt;=PISLag)*((U$5-$E$5:U$5)&lt;LQ_Maint+PISLag))/LQ_Maint</f>
        <v>6.06097557155499</v>
      </c>
      <c r="V56" s="120" t="n">
        <f aca="false">SUMPRODUCT($E$28:V$28,((V$5-$E$5:V$5)&gt;=PISLag)*((V$5-$E$5:V$5)&lt;LQ_Maint+PISLag))/LQ_Maint</f>
        <v>8.76240144833744</v>
      </c>
      <c r="W56" s="120" t="n">
        <f aca="false">SUMPRODUCT($E$28:W$28,((W$5-$E$5:W$5)&gt;=PISLag)*((W$5-$E$5:W$5)&lt;LQ_Maint+PISLag))/LQ_Maint</f>
        <v>12.4486654777759</v>
      </c>
      <c r="X56" s="120" t="n">
        <f aca="false">SUMPRODUCT($E$28:X$28,((X$5-$E$5:X$5)&gt;=PISLag)*((X$5-$E$5:X$5)&lt;LQ_Maint+PISLag))/LQ_Maint</f>
        <v>17.0158093457644</v>
      </c>
      <c r="Y56" s="120" t="n">
        <f aca="false">SUMPRODUCT($E$28:Y$28,((Y$5-$E$5:Y$5)&gt;=PISLag)*((Y$5-$E$5:Y$5)&lt;LQ_Maint+PISLag))/LQ_Maint</f>
        <v>22.1959354438934</v>
      </c>
      <c r="Z56" s="120" t="n">
        <f aca="false">SUMPRODUCT($E$28:Z$28,((Z$5-$E$5:Z$5)&gt;=PISLag)*((Z$5-$E$5:Z$5)&lt;LQ_Maint+PISLag))/LQ_Maint</f>
        <v>27.7872857584309</v>
      </c>
      <c r="AA56" s="120" t="n">
        <f aca="false">SUMPRODUCT($E$28:AA$28,((AA$5-$E$5:AA$5)&gt;=PISLag)*((AA$5-$E$5:AA$5)&lt;LQ_Maint+PISLag))/LQ_Maint</f>
        <v>34.170919501565</v>
      </c>
      <c r="AB56" s="120" t="n">
        <f aca="false">SUMPRODUCT($E$28:AB$28,((AB$5-$E$5:AB$5)&gt;=PISLag)*((AB$5-$E$5:AB$5)&lt;LQ_Maint+PISLag))/LQ_Maint</f>
        <v>41.3424980533773</v>
      </c>
      <c r="AC56" s="120" t="n">
        <f aca="false">SUMPRODUCT($E$28:AC$28,((AC$5-$E$5:AC$5)&gt;=PISLag)*((AC$5-$E$5:AC$5)&lt;LQ_Maint+PISLag))/LQ_Maint</f>
        <v>49.2731690543305</v>
      </c>
      <c r="AD56" s="120" t="n">
        <f aca="false">SUMPRODUCT($E$28:AD$28,((AD$5-$E$5:AD$5)&gt;=PISLag)*((AD$5-$E$5:AD$5)&lt;LQ_Maint+PISLag))/LQ_Maint</f>
        <v>57.9858279148561</v>
      </c>
      <c r="AE56" s="120" t="n">
        <f aca="false">SUMPRODUCT($E$28:AE$28,((AE$5-$E$5:AE$5)&gt;=PISLag)*((AE$5-$E$5:AE$5)&lt;LQ_Maint+PISLag))/LQ_Maint</f>
        <v>67.7192365991828</v>
      </c>
      <c r="AF56" s="120" t="n">
        <f aca="false">SUMPRODUCT($E$28:AF$28,((AF$5-$E$5:AF$5)&gt;=PISLag)*((AF$5-$E$5:AF$5)&lt;LQ_Maint+PISLag))/LQ_Maint</f>
        <v>78.5147562231878</v>
      </c>
      <c r="AG56" s="120" t="n">
        <f aca="false">SUMPRODUCT($E$28:AG$28,((AG$5-$E$5:AG$5)&gt;=PISLag)*((AG$5-$E$5:AG$5)&lt;LQ_Maint+PISLag))/LQ_Maint</f>
        <v>89.2473809134879</v>
      </c>
      <c r="AI56" s="120" t="n">
        <f aca="false">SUMIF($F$7:$AG$7,AI$7,$F56:$AG56)</f>
        <v>0</v>
      </c>
      <c r="AJ56" s="120" t="n">
        <f aca="false">SUMIF($F$7:$AG$7,AJ$7,$F56:$AG56)</f>
        <v>0</v>
      </c>
      <c r="AK56" s="120" t="n">
        <f aca="false">SUMIF($F$7:$AG$7,AK$7,$F56:$AG56)</f>
        <v>0.653683373262198</v>
      </c>
      <c r="AL56" s="120" t="n">
        <f aca="false">SUMIF($F$7:$AG$7,AL$7,$F56:$AG56)</f>
        <v>13.9598373233268</v>
      </c>
      <c r="AM56" s="120" t="n">
        <f aca="false">SUMIF($F$7:$AG$7,AM$7,$F56:$AG56)</f>
        <v>60.4228117157711</v>
      </c>
      <c r="AN56" s="120" t="n">
        <f aca="false">SUMIF($F$7:$AG$7,AN$7,$F56:$AG56)</f>
        <v>152.573872367704</v>
      </c>
      <c r="AO56" s="120" t="n">
        <f aca="false">SUMIF($F$7:$AG$7,AO$7,$F56:$AG56)</f>
        <v>293.467201650715</v>
      </c>
    </row>
    <row r="57" customFormat="false" ht="15" hidden="false" customHeight="false" outlineLevel="0" collapsed="false">
      <c r="A57" s="101" t="s">
        <v>1674</v>
      </c>
      <c r="B57" s="18" t="s">
        <v>400</v>
      </c>
      <c r="C57" s="18" t="s">
        <v>336</v>
      </c>
      <c r="D57" s="18"/>
      <c r="F57" s="119" t="n">
        <f aca="false">SUMPRODUCT($E$29:F$29,((F$5-$E$5:F$5)&gt;=PISLag)*((F$5-$E$5:F$5)&lt;LQ_N+PISLag))/LQ_N</f>
        <v>0</v>
      </c>
      <c r="G57" s="119" t="n">
        <f aca="false">SUMPRODUCT($E$29:G$29,((G$5-$E$5:G$5)&gt;=PISLag)*((G$5-$E$5:G$5)&lt;LQ_N+PISLag))/LQ_N</f>
        <v>0</v>
      </c>
      <c r="H57" s="119" t="n">
        <f aca="false">SUMPRODUCT($E$29:H$29,((H$5-$E$5:H$5)&gt;=PISLag)*((H$5-$E$5:H$5)&lt;LQ_N+PISLag))/LQ_N</f>
        <v>0</v>
      </c>
      <c r="I57" s="119" t="n">
        <f aca="false">SUMPRODUCT($E$29:I$29,((I$5-$E$5:I$5)&gt;=PISLag)*((I$5-$E$5:I$5)&lt;LQ_N+PISLag))/LQ_N</f>
        <v>0</v>
      </c>
      <c r="J57" s="119" t="n">
        <f aca="false">SUMPRODUCT($E$29:J$29,((J$5-$E$5:J$5)&gt;=PISLag)*((J$5-$E$5:J$5)&lt;LQ_N+PISLag))/LQ_N</f>
        <v>0</v>
      </c>
      <c r="K57" s="119" t="n">
        <f aca="false">SUMPRODUCT($E$29:K$29,((K$5-$E$5:K$5)&gt;=PISLag)*((K$5-$E$5:K$5)&lt;LQ_N+PISLag))/LQ_N</f>
        <v>0</v>
      </c>
      <c r="L57" s="119" t="n">
        <f aca="false">SUMPRODUCT($E$29:L$29,((L$5-$E$5:L$5)&gt;=PISLag)*((L$5-$E$5:L$5)&lt;LQ_N+PISLag))/LQ_N</f>
        <v>0</v>
      </c>
      <c r="M57" s="119" t="n">
        <f aca="false">SUMPRODUCT($E$29:M$29,((M$5-$E$5:M$5)&gt;=PISLag)*((M$5-$E$5:M$5)&lt;LQ_N+PISLag))/LQ_N</f>
        <v>0</v>
      </c>
      <c r="N57" s="119" t="n">
        <f aca="false">SUMPRODUCT($E$29:N$29,((N$5-$E$5:N$5)&gt;=PISLag)*((N$5-$E$5:N$5)&lt;LQ_N+PISLag))/LQ_N</f>
        <v>0</v>
      </c>
      <c r="O57" s="119" t="n">
        <f aca="false">SUMPRODUCT($E$29:O$29,((O$5-$E$5:O$5)&gt;=PISLag)*((O$5-$E$5:O$5)&lt;LQ_N+PISLag))/LQ_N</f>
        <v>0</v>
      </c>
      <c r="P57" s="120" t="n">
        <f aca="false">SUMPRODUCT($E$29:P$29,((P$5-$E$5:P$5)&gt;=PISLag)*((P$5-$E$5:P$5)&lt;LQ_N+PISLag))/LQ_N</f>
        <v>0</v>
      </c>
      <c r="Q57" s="120" t="n">
        <f aca="false">SUMPRODUCT($E$29:Q$29,((Q$5-$E$5:Q$5)&gt;=PISLag)*((Q$5-$E$5:Q$5)&lt;LQ_N+PISLag))/LQ_N</f>
        <v>0</v>
      </c>
      <c r="R57" s="120" t="n">
        <f aca="false">SUMPRODUCT($E$29:R$29,((R$5-$E$5:R$5)&gt;=PISLag)*((R$5-$E$5:R$5)&lt;LQ_N+PISLag))/LQ_N</f>
        <v>0</v>
      </c>
      <c r="S57" s="120" t="n">
        <f aca="false">SUMPRODUCT($E$29:S$29,((S$5-$E$5:S$5)&gt;=PISLag)*((S$5-$E$5:S$5)&lt;LQ_N+PISLag))/LQ_N</f>
        <v>0</v>
      </c>
      <c r="T57" s="120" t="n">
        <f aca="false">SUMPRODUCT($E$29:T$29,((T$5-$E$5:T$5)&gt;=PISLag)*((T$5-$E$5:T$5)&lt;LQ_N+PISLag))/LQ_N</f>
        <v>0</v>
      </c>
      <c r="U57" s="120" t="n">
        <f aca="false">SUMPRODUCT($E$29:U$29,((U$5-$E$5:U$5)&gt;=PISLag)*((U$5-$E$5:U$5)&lt;LQ_N+PISLag))/LQ_N</f>
        <v>0</v>
      </c>
      <c r="V57" s="120" t="n">
        <f aca="false">SUMPRODUCT($E$29:V$29,((V$5-$E$5:V$5)&gt;=PISLag)*((V$5-$E$5:V$5)&lt;LQ_N+PISLag))/LQ_N</f>
        <v>0</v>
      </c>
      <c r="W57" s="120" t="n">
        <f aca="false">SUMPRODUCT($E$29:W$29,((W$5-$E$5:W$5)&gt;=PISLag)*((W$5-$E$5:W$5)&lt;LQ_N+PISLag))/LQ_N</f>
        <v>0</v>
      </c>
      <c r="X57" s="120" t="n">
        <f aca="false">SUMPRODUCT($E$29:X$29,((X$5-$E$5:X$5)&gt;=PISLag)*((X$5-$E$5:X$5)&lt;LQ_N+PISLag))/LQ_N</f>
        <v>0</v>
      </c>
      <c r="Y57" s="120" t="n">
        <f aca="false">SUMPRODUCT($E$29:Y$29,((Y$5-$E$5:Y$5)&gt;=PISLag)*((Y$5-$E$5:Y$5)&lt;LQ_N+PISLag))/LQ_N</f>
        <v>0</v>
      </c>
      <c r="Z57" s="120" t="n">
        <f aca="false">SUMPRODUCT($E$29:Z$29,((Z$5-$E$5:Z$5)&gt;=PISLag)*((Z$5-$E$5:Z$5)&lt;LQ_N+PISLag))/LQ_N</f>
        <v>7.12</v>
      </c>
      <c r="AA57" s="120" t="n">
        <f aca="false">SUMPRODUCT($E$29:AA$29,((AA$5-$E$5:AA$5)&gt;=PISLag)*((AA$5-$E$5:AA$5)&lt;LQ_N+PISLag))/LQ_N</f>
        <v>12.32</v>
      </c>
      <c r="AB57" s="120" t="n">
        <f aca="false">SUMPRODUCT($E$29:AB$29,((AB$5-$E$5:AB$5)&gt;=PISLag)*((AB$5-$E$5:AB$5)&lt;LQ_N+PISLag))/LQ_N</f>
        <v>17.52</v>
      </c>
      <c r="AC57" s="120" t="n">
        <f aca="false">SUMPRODUCT($E$29:AC$29,((AC$5-$E$5:AC$5)&gt;=PISLag)*((AC$5-$E$5:AC$5)&lt;LQ_N+PISLag))/LQ_N</f>
        <v>22.716</v>
      </c>
      <c r="AD57" s="120" t="n">
        <f aca="false">SUMPRODUCT($E$29:AD$29,((AD$5-$E$5:AD$5)&gt;=PISLag)*((AD$5-$E$5:AD$5)&lt;LQ_N+PISLag))/LQ_N</f>
        <v>39.42</v>
      </c>
      <c r="AE57" s="120" t="n">
        <f aca="false">SUMPRODUCT($E$29:AE$29,((AE$5-$E$5:AE$5)&gt;=PISLag)*((AE$5-$E$5:AE$5)&lt;LQ_N+PISLag))/LQ_N</f>
        <v>61.18</v>
      </c>
      <c r="AF57" s="120" t="n">
        <f aca="false">SUMPRODUCT($E$29:AF$29,((AF$5-$E$5:AF$5)&gt;=PISLag)*((AF$5-$E$5:AF$5)&lt;LQ_N+PISLag))/LQ_N</f>
        <v>81.604</v>
      </c>
      <c r="AG57" s="120" t="n">
        <f aca="false">SUMPRODUCT($E$29:AG$29,((AG$5-$E$5:AG$5)&gt;=PISLag)*((AG$5-$E$5:AG$5)&lt;LQ_N+PISLag))/LQ_N</f>
        <v>119.824</v>
      </c>
      <c r="AI57" s="120" t="n">
        <f aca="false">SUMIF($F$7:$AG$7,AI$7,$F57:$AG57)</f>
        <v>0</v>
      </c>
      <c r="AJ57" s="120" t="n">
        <f aca="false">SUMIF($F$7:$AG$7,AJ$7,$F57:$AG57)</f>
        <v>0</v>
      </c>
      <c r="AK57" s="120" t="n">
        <f aca="false">SUMIF($F$7:$AG$7,AK$7,$F57:$AG57)</f>
        <v>0</v>
      </c>
      <c r="AL57" s="120" t="n">
        <f aca="false">SUMIF($F$7:$AG$7,AL$7,$F57:$AG57)</f>
        <v>0</v>
      </c>
      <c r="AM57" s="120" t="n">
        <f aca="false">SUMIF($F$7:$AG$7,AM$7,$F57:$AG57)</f>
        <v>0</v>
      </c>
      <c r="AN57" s="120" t="n">
        <f aca="false">SUMIF($F$7:$AG$7,AN$7,$F57:$AG57)</f>
        <v>59.676</v>
      </c>
      <c r="AO57" s="120" t="n">
        <f aca="false">SUMIF($F$7:$AG$7,AO$7,$F57:$AG57)</f>
        <v>302.028</v>
      </c>
    </row>
    <row r="58" customFormat="false" ht="15" hidden="false" customHeight="false" outlineLevel="0" collapsed="false">
      <c r="A58" s="101" t="s">
        <v>1675</v>
      </c>
      <c r="B58" s="18" t="s">
        <v>400</v>
      </c>
      <c r="C58" s="18" t="s">
        <v>389</v>
      </c>
      <c r="D58" s="18"/>
      <c r="F58" s="119" t="n">
        <f aca="false">OtherDA</f>
        <v>5</v>
      </c>
      <c r="G58" s="119" t="n">
        <f aca="false">OtherDA</f>
        <v>5</v>
      </c>
      <c r="H58" s="119" t="n">
        <f aca="false">OtherDA</f>
        <v>5</v>
      </c>
      <c r="I58" s="119" t="n">
        <f aca="false">OtherDA</f>
        <v>5</v>
      </c>
      <c r="J58" s="119" t="n">
        <f aca="false">OtherDA</f>
        <v>5</v>
      </c>
      <c r="K58" s="119" t="n">
        <f aca="false">OtherDA</f>
        <v>5</v>
      </c>
      <c r="L58" s="119" t="n">
        <f aca="false">OtherDA</f>
        <v>5</v>
      </c>
      <c r="M58" s="119" t="n">
        <f aca="false">OtherDA</f>
        <v>5</v>
      </c>
      <c r="N58" s="119" t="n">
        <f aca="false">OtherDA</f>
        <v>5</v>
      </c>
      <c r="O58" s="119" t="n">
        <f aca="false">OtherDA</f>
        <v>5</v>
      </c>
      <c r="P58" s="120" t="n">
        <f aca="false">OtherDA</f>
        <v>5</v>
      </c>
      <c r="Q58" s="120" t="n">
        <f aca="false">OtherDA</f>
        <v>5</v>
      </c>
      <c r="R58" s="120" t="n">
        <f aca="false">OtherDA</f>
        <v>5</v>
      </c>
      <c r="S58" s="120" t="n">
        <f aca="false">OtherDA</f>
        <v>5</v>
      </c>
      <c r="T58" s="120" t="n">
        <f aca="false">OtherDA</f>
        <v>5</v>
      </c>
      <c r="U58" s="120" t="n">
        <f aca="false">OtherDA</f>
        <v>5</v>
      </c>
      <c r="V58" s="120" t="n">
        <f aca="false">OtherDA</f>
        <v>5</v>
      </c>
      <c r="W58" s="120" t="n">
        <f aca="false">OtherDA</f>
        <v>5</v>
      </c>
      <c r="X58" s="120" t="n">
        <f aca="false">OtherDA</f>
        <v>5</v>
      </c>
      <c r="Y58" s="120" t="n">
        <f aca="false">OtherDA</f>
        <v>5</v>
      </c>
      <c r="Z58" s="120" t="n">
        <f aca="false">OtherDA</f>
        <v>5</v>
      </c>
      <c r="AA58" s="120" t="n">
        <f aca="false">OtherDA</f>
        <v>5</v>
      </c>
      <c r="AB58" s="120" t="n">
        <f aca="false">OtherDA</f>
        <v>5</v>
      </c>
      <c r="AC58" s="120" t="n">
        <f aca="false">OtherDA</f>
        <v>5</v>
      </c>
      <c r="AD58" s="120" t="n">
        <f aca="false">OtherDA</f>
        <v>5</v>
      </c>
      <c r="AE58" s="120" t="n">
        <f aca="false">OtherDA</f>
        <v>5</v>
      </c>
      <c r="AF58" s="120" t="n">
        <f aca="false">OtherDA</f>
        <v>5</v>
      </c>
      <c r="AG58" s="120" t="n">
        <f aca="false">OtherDA</f>
        <v>5</v>
      </c>
      <c r="AI58" s="120" t="n">
        <f aca="false">SUMIF($F$7:$AG$7,AI$7,$F58:$AG58)</f>
        <v>20</v>
      </c>
      <c r="AJ58" s="120" t="n">
        <f aca="false">SUMIF($F$7:$AG$7,AJ$7,$F58:$AG58)</f>
        <v>20</v>
      </c>
      <c r="AK58" s="120" t="n">
        <f aca="false">SUMIF($F$7:$AG$7,AK$7,$F58:$AG58)</f>
        <v>20</v>
      </c>
      <c r="AL58" s="120" t="n">
        <f aca="false">SUMIF($F$7:$AG$7,AL$7,$F58:$AG58)</f>
        <v>20</v>
      </c>
      <c r="AM58" s="120" t="n">
        <f aca="false">SUMIF($F$7:$AG$7,AM$7,$F58:$AG58)</f>
        <v>20</v>
      </c>
      <c r="AN58" s="120" t="n">
        <f aca="false">SUMIF($F$7:$AG$7,AN$7,$F58:$AG58)</f>
        <v>20</v>
      </c>
      <c r="AO58" s="120" t="n">
        <f aca="false">SUMIF($F$7:$AG$7,AO$7,$F58:$AG58)</f>
        <v>20</v>
      </c>
    </row>
    <row r="59" customFormat="false" ht="15" hidden="false" customHeight="false" outlineLevel="0" collapsed="false">
      <c r="A59" s="101" t="s">
        <v>1676</v>
      </c>
      <c r="B59" s="18" t="s">
        <v>400</v>
      </c>
      <c r="C59" s="18" t="s">
        <v>389</v>
      </c>
      <c r="D59" s="18" t="s">
        <v>1677</v>
      </c>
      <c r="F59" s="119" t="n">
        <f aca="false">IF(F$5&lt;=LastHist,INDEX(H_CapInt,1,F$5),CapIntPct*(INDEX(CV_cpn,1,1)+INDEX(CV_acc,1,1)+INDEX(Sec_Int,1,1)))</f>
        <v>0</v>
      </c>
      <c r="G59" s="119" t="n">
        <f aca="false">IF(G$5&lt;=LastHist,INDEX(H_CapInt,1,G$5),CapIntPct*(INDEX(CV_cpn,1,2)+INDEX(CV_acc,1,2)+INDEX(Sec_Int,1,2)))</f>
        <v>0</v>
      </c>
      <c r="H59" s="119" t="n">
        <f aca="false">IF(H$5&lt;=LastHist,INDEX(H_CapInt,1,H$5),CapIntPct*(INDEX(CV_cpn,1,3)+INDEX(CV_acc,1,3)+INDEX(Sec_Int,1,3)))</f>
        <v>0</v>
      </c>
      <c r="I59" s="119" t="n">
        <f aca="false">IF(I$5&lt;=LastHist,INDEX(H_CapInt,1,I$5),CapIntPct*(INDEX(CV_cpn,1,4)+INDEX(CV_acc,1,4)+INDEX(Sec_Int,1,4)))</f>
        <v>0</v>
      </c>
      <c r="J59" s="119" t="n">
        <f aca="false">IF(J$5&lt;=LastHist,INDEX(H_CapInt,1,J$5),CapIntPct*(INDEX(CV_cpn,1,5)+INDEX(CV_acc,1,5)+INDEX(Sec_Int,1,5)))</f>
        <v>0</v>
      </c>
      <c r="K59" s="119" t="n">
        <f aca="false">IF(K$5&lt;=LastHist,INDEX(H_CapInt,1,K$5),CapIntPct*(INDEX(CV_cpn,1,6)+INDEX(CV_acc,1,6)+INDEX(Sec_Int,1,6)))</f>
        <v>0</v>
      </c>
      <c r="L59" s="119" t="n">
        <f aca="false">IF(L$5&lt;=LastHist,INDEX(H_CapInt,1,L$5),CapIntPct*(INDEX(CV_cpn,1,7)+INDEX(CV_acc,1,7)+INDEX(Sec_Int,1,7)))</f>
        <v>0</v>
      </c>
      <c r="M59" s="119" t="n">
        <f aca="false">IF(M$5&lt;=LastHist,INDEX(H_CapInt,1,M$5),CapIntPct*(INDEX(CV_cpn,1,8)+INDEX(CV_acc,1,8)+INDEX(Sec_Int,1,8)))</f>
        <v>0</v>
      </c>
      <c r="N59" s="119" t="n">
        <f aca="false">IF(N$5&lt;=LastHist,INDEX(H_CapInt,1,N$5),CapIntPct*(INDEX(CV_cpn,1,9)+INDEX(CV_acc,1,9)+INDEX(Sec_Int,1,9)))</f>
        <v>15.7</v>
      </c>
      <c r="O59" s="119" t="n">
        <f aca="false">IF(O$5&lt;=LastHist,INDEX(H_CapInt,1,O$5),CapIntPct*(INDEX(CV_cpn,1,10)+INDEX(CV_acc,1,10)+INDEX(Sec_Int,1,10)))</f>
        <v>40.2</v>
      </c>
      <c r="P59" s="120" t="n">
        <f aca="false">IF(P$5&lt;=LastHist,INDEX(H_CapInt,1,P$5),CapIntPct*(INDEX(CV_cpn,1,11)+INDEX(CV_acc,1,11)+INDEX(Sec_Int,1,11)))</f>
        <v>68.4941468762675</v>
      </c>
      <c r="Q59" s="120" t="n">
        <f aca="false">IF(Q$5&lt;=LastHist,INDEX(H_CapInt,1,Q$5),CapIntPct*(INDEX(CV_cpn,1,12)+INDEX(CV_acc,1,12)+INDEX(Sec_Int,1,12)))</f>
        <v>68.4941468762675</v>
      </c>
      <c r="R59" s="120" t="n">
        <f aca="false">IF(R$5&lt;=LastHist,INDEX(H_CapInt,1,R$5),CapIntPct*(INDEX(CV_cpn,1,13)+INDEX(CV_acc,1,13)+INDEX(Sec_Int,1,13)))</f>
        <v>68.4941468762675</v>
      </c>
      <c r="S59" s="120" t="n">
        <f aca="false">IF(S$5&lt;=LastHist,INDEX(H_CapInt,1,S$5),CapIntPct*(INDEX(CV_cpn,1,14)+INDEX(CV_acc,1,14)+INDEX(Sec_Int,1,14)))</f>
        <v>68.4941468762675</v>
      </c>
      <c r="T59" s="120" t="n">
        <f aca="false">IF(T$5&lt;=LastHist,INDEX(H_CapInt,1,T$5),CapIntPct*(INDEX(CV_cpn,1,15)+INDEX(CV_acc,1,15)+INDEX(Sec_Int,1,15)))</f>
        <v>68.4941468762675</v>
      </c>
      <c r="U59" s="120" t="n">
        <f aca="false">IF(U$5&lt;=LastHist,INDEX(H_CapInt,1,U$5),CapIntPct*(INDEX(CV_cpn,1,16)+INDEX(CV_acc,1,16)+INDEX(Sec_Int,1,16)))</f>
        <v>68.4941468762675</v>
      </c>
      <c r="V59" s="120" t="n">
        <f aca="false">IF(V$5&lt;=LastHist,INDEX(H_CapInt,1,V$5),CapIntPct*(INDEX(CV_cpn,1,17)+INDEX(CV_acc,1,17)+INDEX(Sec_Int,1,17)))</f>
        <v>68.4941468762675</v>
      </c>
      <c r="W59" s="120" t="n">
        <f aca="false">IF(W$5&lt;=LastHist,INDEX(H_CapInt,1,W$5),CapIntPct*(INDEX(CV_cpn,1,18)+INDEX(CV_acc,1,18)+INDEX(Sec_Int,1,18)))</f>
        <v>68.4941468762675</v>
      </c>
      <c r="X59" s="120" t="n">
        <f aca="false">IF(X$5&lt;=LastHist,INDEX(H_CapInt,1,X$5),CapIntPct*(INDEX(CV_cpn,1,19)+INDEX(CV_acc,1,19)+INDEX(Sec_Int,1,19)))</f>
        <v>68.4941468762675</v>
      </c>
      <c r="Y59" s="120" t="n">
        <f aca="false">IF(Y$5&lt;=LastHist,INDEX(H_CapInt,1,Y$5),CapIntPct*(INDEX(CV_cpn,1,20)+INDEX(CV_acc,1,20)+INDEX(Sec_Int,1,20)))</f>
        <v>68.4941468762675</v>
      </c>
      <c r="Z59" s="120" t="n">
        <f aca="false">IF(Z$5&lt;=LastHist,INDEX(H_CapInt,1,Z$5),CapIntPct*(INDEX(CV_cpn,1,21)+INDEX(CV_acc,1,21)+INDEX(Sec_Int,1,21)))</f>
        <v>68.4941468762675</v>
      </c>
      <c r="AA59" s="120" t="n">
        <f aca="false">IF(AA$5&lt;=LastHist,INDEX(H_CapInt,1,AA$5),CapIntPct*(INDEX(CV_cpn,1,22)+INDEX(CV_acc,1,22)+INDEX(Sec_Int,1,22)))</f>
        <v>67.9098187718908</v>
      </c>
      <c r="AB59" s="120" t="n">
        <f aca="false">IF(AB$5&lt;=LastHist,INDEX(H_CapInt,1,AB$5),CapIntPct*(INDEX(CV_cpn,1,23)+INDEX(CV_acc,1,23)+INDEX(Sec_Int,1,23)))</f>
        <v>67.9098187718908</v>
      </c>
      <c r="AC59" s="120" t="n">
        <f aca="false">IF(AC$5&lt;=LastHist,INDEX(H_CapInt,1,AC$5),CapIntPct*(INDEX(CV_cpn,1,24)+INDEX(CV_acc,1,24)+INDEX(Sec_Int,1,24)))</f>
        <v>67.9098187718908</v>
      </c>
      <c r="AD59" s="120" t="n">
        <f aca="false">IF(AD$5&lt;=LastHist,INDEX(H_CapInt,1,AD$5),CapIntPct*(INDEX(CV_cpn,1,25)+INDEX(CV_acc,1,25)+INDEX(Sec_Int,1,25)))</f>
        <v>57.0270367105218</v>
      </c>
      <c r="AE59" s="120" t="n">
        <f aca="false">IF(AE$5&lt;=LastHist,INDEX(H_CapInt,1,AE$5),CapIntPct*(INDEX(CV_cpn,1,26)+INDEX(CV_acc,1,26)+INDEX(Sec_Int,1,26)))</f>
        <v>57.0270367105218</v>
      </c>
      <c r="AF59" s="120" t="n">
        <f aca="false">IF(AF$5&lt;=LastHist,INDEX(H_CapInt,1,AF$5),CapIntPct*(INDEX(CV_cpn,1,27)+INDEX(CV_acc,1,27)+INDEX(Sec_Int,1,27)))</f>
        <v>51.1125544533682</v>
      </c>
      <c r="AG59" s="120" t="n">
        <f aca="false">IF(AG$5&lt;=LastHist,INDEX(H_CapInt,1,AG$5),CapIntPct*(INDEX(CV_cpn,1,28)+INDEX(CV_acc,1,28)+INDEX(Sec_Int,1,28)))</f>
        <v>46.4024919533682</v>
      </c>
      <c r="AI59" s="120" t="n">
        <f aca="false">SUMIF($F$7:$AG$7,AI$7,$F59:$AG59)</f>
        <v>0</v>
      </c>
      <c r="AJ59" s="120" t="n">
        <f aca="false">SUMIF($F$7:$AG$7,AJ$7,$F59:$AG59)</f>
        <v>0</v>
      </c>
      <c r="AK59" s="120" t="n">
        <f aca="false">SUMIF($F$7:$AG$7,AK$7,$F59:$AG59)</f>
        <v>192.888293752535</v>
      </c>
      <c r="AL59" s="120" t="n">
        <f aca="false">SUMIF($F$7:$AG$7,AL$7,$F59:$AG59)</f>
        <v>273.97658750507</v>
      </c>
      <c r="AM59" s="120" t="n">
        <f aca="false">SUMIF($F$7:$AG$7,AM$7,$F59:$AG59)</f>
        <v>273.97658750507</v>
      </c>
      <c r="AN59" s="120" t="n">
        <f aca="false">SUMIF($F$7:$AG$7,AN$7,$F59:$AG59)</f>
        <v>272.22360319194</v>
      </c>
      <c r="AO59" s="120" t="n">
        <f aca="false">SUMIF($F$7:$AG$7,AO$7,$F59:$AG59)</f>
        <v>211.56911982778</v>
      </c>
    </row>
    <row r="60" customFormat="false" ht="15" hidden="false" customHeight="false" outlineLevel="0" collapsed="false">
      <c r="A60" s="101" t="s">
        <v>1678</v>
      </c>
      <c r="B60" s="18" t="s">
        <v>400</v>
      </c>
      <c r="C60" s="18" t="s">
        <v>336</v>
      </c>
      <c r="D60" s="18"/>
      <c r="F60" s="119" t="n">
        <f aca="false">SUMPRODUCT($E$59:F$59,((F$5-$E$5:F$5)&gt;=PISLag)*((F$5-$E$5:F$5)&lt;LQ_CapInt+PISLag))/LQ_CapInt</f>
        <v>0</v>
      </c>
      <c r="G60" s="119" t="n">
        <f aca="false">SUMPRODUCT($E$59:G$59,((G$5-$E$5:G$5)&gt;=PISLag)*((G$5-$E$5:G$5)&lt;LQ_CapInt+PISLag))/LQ_CapInt</f>
        <v>0</v>
      </c>
      <c r="H60" s="119" t="n">
        <f aca="false">SUMPRODUCT($E$59:H$59,((H$5-$E$5:H$5)&gt;=PISLag)*((H$5-$E$5:H$5)&lt;LQ_CapInt+PISLag))/LQ_CapInt</f>
        <v>0</v>
      </c>
      <c r="I60" s="119" t="n">
        <f aca="false">SUMPRODUCT($E$59:I$59,((I$5-$E$5:I$5)&gt;=PISLag)*((I$5-$E$5:I$5)&lt;LQ_CapInt+PISLag))/LQ_CapInt</f>
        <v>0</v>
      </c>
      <c r="J60" s="119" t="n">
        <f aca="false">SUMPRODUCT($E$59:J$59,((J$5-$E$5:J$5)&gt;=PISLag)*((J$5-$E$5:J$5)&lt;LQ_CapInt+PISLag))/LQ_CapInt</f>
        <v>0</v>
      </c>
      <c r="K60" s="119" t="n">
        <f aca="false">SUMPRODUCT($E$59:K$59,((K$5-$E$5:K$5)&gt;=PISLag)*((K$5-$E$5:K$5)&lt;LQ_CapInt+PISLag))/LQ_CapInt</f>
        <v>0</v>
      </c>
      <c r="L60" s="119" t="n">
        <f aca="false">SUMPRODUCT($E$59:L$59,((L$5-$E$5:L$5)&gt;=PISLag)*((L$5-$E$5:L$5)&lt;LQ_CapInt+PISLag))/LQ_CapInt</f>
        <v>0</v>
      </c>
      <c r="M60" s="119" t="n">
        <f aca="false">SUMPRODUCT($E$59:M$59,((M$5-$E$5:M$5)&gt;=PISLag)*((M$5-$E$5:M$5)&lt;LQ_CapInt+PISLag))/LQ_CapInt</f>
        <v>0</v>
      </c>
      <c r="N60" s="119" t="n">
        <f aca="false">SUMPRODUCT($E$59:N$59,((N$5-$E$5:N$5)&gt;=PISLag)*((N$5-$E$5:N$5)&lt;LQ_CapInt+PISLag))/LQ_CapInt</f>
        <v>0</v>
      </c>
      <c r="O60" s="119" t="n">
        <f aca="false">SUMPRODUCT($E$59:O$59,((O$5-$E$5:O$5)&gt;=PISLag)*((O$5-$E$5:O$5)&lt;LQ_CapInt+PISLag))/LQ_CapInt</f>
        <v>0.785</v>
      </c>
      <c r="P60" s="120" t="n">
        <f aca="false">SUMPRODUCT($E$59:P$59,((P$5-$E$5:P$5)&gt;=PISLag)*((P$5-$E$5:P$5)&lt;LQ_CapInt+PISLag))/LQ_CapInt</f>
        <v>2.795</v>
      </c>
      <c r="Q60" s="120" t="n">
        <f aca="false">SUMPRODUCT($E$59:Q$59,((Q$5-$E$5:Q$5)&gt;=PISLag)*((Q$5-$E$5:Q$5)&lt;LQ_CapInt+PISLag))/LQ_CapInt</f>
        <v>6.21970734381338</v>
      </c>
      <c r="R60" s="120" t="n">
        <f aca="false">SUMPRODUCT($E$59:R$59,((R$5-$E$5:R$5)&gt;=PISLag)*((R$5-$E$5:R$5)&lt;LQ_CapInt+PISLag))/LQ_CapInt</f>
        <v>9.64441468762675</v>
      </c>
      <c r="S60" s="120" t="n">
        <f aca="false">SUMPRODUCT($E$59:S$59,((S$5-$E$5:S$5)&gt;=PISLag)*((S$5-$E$5:S$5)&lt;LQ_CapInt+PISLag))/LQ_CapInt</f>
        <v>13.0691220314401</v>
      </c>
      <c r="T60" s="120" t="n">
        <f aca="false">SUMPRODUCT($E$59:T$59,((T$5-$E$5:T$5)&gt;=PISLag)*((T$5-$E$5:T$5)&lt;LQ_CapInt+PISLag))/LQ_CapInt</f>
        <v>16.4938293752535</v>
      </c>
      <c r="U60" s="120" t="n">
        <f aca="false">SUMPRODUCT($E$59:U$59,((U$5-$E$5:U$5)&gt;=PISLag)*((U$5-$E$5:U$5)&lt;LQ_CapInt+PISLag))/LQ_CapInt</f>
        <v>19.9185367190669</v>
      </c>
      <c r="V60" s="120" t="n">
        <f aca="false">SUMPRODUCT($E$59:V$59,((V$5-$E$5:V$5)&gt;=PISLag)*((V$5-$E$5:V$5)&lt;LQ_CapInt+PISLag))/LQ_CapInt</f>
        <v>23.3432440628803</v>
      </c>
      <c r="W60" s="120" t="n">
        <f aca="false">SUMPRODUCT($E$59:W$59,((W$5-$E$5:W$5)&gt;=PISLag)*((W$5-$E$5:W$5)&lt;LQ_CapInt+PISLag))/LQ_CapInt</f>
        <v>26.7679514066936</v>
      </c>
      <c r="X60" s="120" t="n">
        <f aca="false">SUMPRODUCT($E$59:X$59,((X$5-$E$5:X$5)&gt;=PISLag)*((X$5-$E$5:X$5)&lt;LQ_CapInt+PISLag))/LQ_CapInt</f>
        <v>30.192658750507</v>
      </c>
      <c r="Y60" s="120" t="n">
        <f aca="false">SUMPRODUCT($E$59:Y$59,((Y$5-$E$5:Y$5)&gt;=PISLag)*((Y$5-$E$5:Y$5)&lt;LQ_CapInt+PISLag))/LQ_CapInt</f>
        <v>33.6173660943204</v>
      </c>
      <c r="Z60" s="120" t="n">
        <f aca="false">SUMPRODUCT($E$59:Z$59,((Z$5-$E$5:Z$5)&gt;=PISLag)*((Z$5-$E$5:Z$5)&lt;LQ_CapInt+PISLag))/LQ_CapInt</f>
        <v>37.0420734381338</v>
      </c>
      <c r="AA60" s="120" t="n">
        <f aca="false">SUMPRODUCT($E$59:AA$59,((AA$5-$E$5:AA$5)&gt;=PISLag)*((AA$5-$E$5:AA$5)&lt;LQ_CapInt+PISLag))/LQ_CapInt</f>
        <v>40.4667807819471</v>
      </c>
      <c r="AB60" s="120" t="n">
        <f aca="false">SUMPRODUCT($E$59:AB$59,((AB$5-$E$5:AB$5)&gt;=PISLag)*((AB$5-$E$5:AB$5)&lt;LQ_CapInt+PISLag))/LQ_CapInt</f>
        <v>43.8622717205417</v>
      </c>
      <c r="AC60" s="120" t="n">
        <f aca="false">SUMPRODUCT($E$59:AC$59,((AC$5-$E$5:AC$5)&gt;=PISLag)*((AC$5-$E$5:AC$5)&lt;LQ_CapInt+PISLag))/LQ_CapInt</f>
        <v>47.2577626591362</v>
      </c>
      <c r="AD60" s="120" t="n">
        <f aca="false">SUMPRODUCT($E$59:AD$59,((AD$5-$E$5:AD$5)&gt;=PISLag)*((AD$5-$E$5:AD$5)&lt;LQ_CapInt+PISLag))/LQ_CapInt</f>
        <v>50.6532535977308</v>
      </c>
      <c r="AE60" s="120" t="n">
        <f aca="false">SUMPRODUCT($E$59:AE$59,((AE$5-$E$5:AE$5)&gt;=PISLag)*((AE$5-$E$5:AE$5)&lt;LQ_CapInt+PISLag))/LQ_CapInt</f>
        <v>53.5046054332569</v>
      </c>
      <c r="AF60" s="120" t="n">
        <f aca="false">SUMPRODUCT($E$59:AF$59,((AF$5-$E$5:AF$5)&gt;=PISLag)*((AF$5-$E$5:AF$5)&lt;LQ_CapInt+PISLag))/LQ_CapInt</f>
        <v>56.3559572687829</v>
      </c>
      <c r="AG60" s="120" t="n">
        <f aca="false">SUMPRODUCT($E$59:AG$59,((AG$5-$E$5:AG$5)&gt;=PISLag)*((AG$5-$E$5:AG$5)&lt;LQ_CapInt+PISLag))/LQ_CapInt</f>
        <v>58.9115849914513</v>
      </c>
      <c r="AI60" s="120" t="n">
        <f aca="false">SUMIF($F$7:$AG$7,AI$7,$F60:$AG60)</f>
        <v>0</v>
      </c>
      <c r="AJ60" s="120" t="n">
        <f aca="false">SUMIF($F$7:$AG$7,AJ$7,$F60:$AG60)</f>
        <v>0</v>
      </c>
      <c r="AK60" s="120" t="n">
        <f aca="false">SUMIF($F$7:$AG$7,AK$7,$F60:$AG60)</f>
        <v>9.79970734381338</v>
      </c>
      <c r="AL60" s="120" t="n">
        <f aca="false">SUMIF($F$7:$AG$7,AL$7,$F60:$AG60)</f>
        <v>59.1259028133873</v>
      </c>
      <c r="AM60" s="120" t="n">
        <f aca="false">SUMIF($F$7:$AG$7,AM$7,$F60:$AG60)</f>
        <v>113.921220314401</v>
      </c>
      <c r="AN60" s="120" t="n">
        <f aca="false">SUMIF($F$7:$AG$7,AN$7,$F60:$AG60)</f>
        <v>168.628888599759</v>
      </c>
      <c r="AO60" s="120" t="n">
        <f aca="false">SUMIF($F$7:$AG$7,AO$7,$F60:$AG60)</f>
        <v>219.425401291222</v>
      </c>
    </row>
    <row r="61" customFormat="false" ht="15" hidden="false" customHeight="false" outlineLevel="0" collapsed="false">
      <c r="A61" s="101" t="s">
        <v>1679</v>
      </c>
      <c r="B61" s="18" t="s">
        <v>400</v>
      </c>
      <c r="C61" s="18" t="s">
        <v>336</v>
      </c>
      <c r="D61" s="18"/>
      <c r="F61" s="119" t="n">
        <f aca="false">SUMPRODUCT($E$31:F$31,((F$5-$E$5:F$5)&gt;=PISLag)*((F$5-$E$5:F$5)&lt;LQ_B+PISLag))/LQ_B</f>
        <v>0</v>
      </c>
      <c r="G61" s="119" t="n">
        <f aca="false">SUMPRODUCT($E$31:G$31,((G$5-$E$5:G$5)&gt;=PISLag)*((G$5-$E$5:G$5)&lt;LQ_B+PISLag))/LQ_B</f>
        <v>0</v>
      </c>
      <c r="H61" s="119" t="n">
        <f aca="false">SUMPRODUCT($E$31:H$31,((H$5-$E$5:H$5)&gt;=PISLag)*((H$5-$E$5:H$5)&lt;LQ_B+PISLag))/LQ_B</f>
        <v>0</v>
      </c>
      <c r="I61" s="119" t="n">
        <f aca="false">SUMPRODUCT($E$31:I$31,((I$5-$E$5:I$5)&gt;=PISLag)*((I$5-$E$5:I$5)&lt;LQ_B+PISLag))/LQ_B</f>
        <v>0</v>
      </c>
      <c r="J61" s="119" t="n">
        <f aca="false">SUMPRODUCT($E$31:J$31,((J$5-$E$5:J$5)&gt;=PISLag)*((J$5-$E$5:J$5)&lt;LQ_B+PISLag))/LQ_B</f>
        <v>0</v>
      </c>
      <c r="K61" s="119" t="n">
        <f aca="false">SUMPRODUCT($E$31:K$31,((K$5-$E$5:K$5)&gt;=PISLag)*((K$5-$E$5:K$5)&lt;LQ_B+PISLag))/LQ_B</f>
        <v>0</v>
      </c>
      <c r="L61" s="119" t="n">
        <f aca="false">SUMPRODUCT($E$31:L$31,((L$5-$E$5:L$5)&gt;=PISLag)*((L$5-$E$5:L$5)&lt;LQ_B+PISLag))/LQ_B</f>
        <v>0</v>
      </c>
      <c r="M61" s="119" t="n">
        <f aca="false">SUMPRODUCT($E$31:M$31,((M$5-$E$5:M$5)&gt;=PISLag)*((M$5-$E$5:M$5)&lt;LQ_B+PISLag))/LQ_B</f>
        <v>0</v>
      </c>
      <c r="N61" s="119" t="n">
        <f aca="false">SUMPRODUCT($E$31:N$31,((N$5-$E$5:N$5)&gt;=PISLag)*((N$5-$E$5:N$5)&lt;LQ_B+PISLag))/LQ_B</f>
        <v>0</v>
      </c>
      <c r="O61" s="119" t="n">
        <f aca="false">SUMPRODUCT($E$31:O$31,((O$5-$E$5:O$5)&gt;=PISLag)*((O$5-$E$5:O$5)&lt;LQ_B+PISLag))/LQ_B</f>
        <v>0</v>
      </c>
      <c r="P61" s="120" t="n">
        <f aca="false">SUMPRODUCT($E$31:P$31,((P$5-$E$5:P$5)&gt;=PISLag)*((P$5-$E$5:P$5)&lt;LQ_B+PISLag))/LQ_B</f>
        <v>0</v>
      </c>
      <c r="Q61" s="120" t="n">
        <f aca="false">SUMPRODUCT($E$31:Q$31,((Q$5-$E$5:Q$5)&gt;=PISLag)*((Q$5-$E$5:Q$5)&lt;LQ_B+PISLag))/LQ_B</f>
        <v>0</v>
      </c>
      <c r="R61" s="120" t="n">
        <f aca="false">SUMPRODUCT($E$31:R$31,((R$5-$E$5:R$5)&gt;=PISLag)*((R$5-$E$5:R$5)&lt;LQ_B+PISLag))/LQ_B</f>
        <v>0</v>
      </c>
      <c r="S61" s="120" t="n">
        <f aca="false">SUMPRODUCT($E$31:S$31,((S$5-$E$5:S$5)&gt;=PISLag)*((S$5-$E$5:S$5)&lt;LQ_B+PISLag))/LQ_B</f>
        <v>0</v>
      </c>
      <c r="T61" s="120" t="n">
        <f aca="false">SUMPRODUCT($E$31:T$31,((T$5-$E$5:T$5)&gt;=PISLag)*((T$5-$E$5:T$5)&lt;LQ_B+PISLag))/LQ_B</f>
        <v>0</v>
      </c>
      <c r="U61" s="120" t="n">
        <f aca="false">SUMPRODUCT($E$31:U$31,((U$5-$E$5:U$5)&gt;=PISLag)*((U$5-$E$5:U$5)&lt;LQ_B+PISLag))/LQ_B</f>
        <v>0</v>
      </c>
      <c r="V61" s="120" t="n">
        <f aca="false">SUMPRODUCT($E$31:V$31,((V$5-$E$5:V$5)&gt;=PISLag)*((V$5-$E$5:V$5)&lt;LQ_B+PISLag))/LQ_B</f>
        <v>0</v>
      </c>
      <c r="W61" s="120" t="n">
        <f aca="false">SUMPRODUCT($E$31:W$31,((W$5-$E$5:W$5)&gt;=PISLag)*((W$5-$E$5:W$5)&lt;LQ_B+PISLag))/LQ_B</f>
        <v>0</v>
      </c>
      <c r="X61" s="120" t="n">
        <f aca="false">SUMPRODUCT($E$31:X$31,((X$5-$E$5:X$5)&gt;=PISLag)*((X$5-$E$5:X$5)&lt;LQ_B+PISLag))/LQ_B</f>
        <v>0</v>
      </c>
      <c r="Y61" s="120" t="n">
        <f aca="false">SUMPRODUCT($E$31:Y$31,((Y$5-$E$5:Y$5)&gt;=PISLag)*((Y$5-$E$5:Y$5)&lt;LQ_B+PISLag))/LQ_B</f>
        <v>0</v>
      </c>
      <c r="Z61" s="120" t="n">
        <f aca="false">SUMPRODUCT($E$31:Z$31,((Z$5-$E$5:Z$5)&gt;=PISLag)*((Z$5-$E$5:Z$5)&lt;LQ_B+PISLag))/LQ_B</f>
        <v>0</v>
      </c>
      <c r="AA61" s="120" t="n">
        <f aca="false">SUMPRODUCT($E$31:AA$31,((AA$5-$E$5:AA$5)&gt;=PISLag)*((AA$5-$E$5:AA$5)&lt;LQ_B+PISLag))/LQ_B</f>
        <v>0</v>
      </c>
      <c r="AB61" s="120" t="n">
        <f aca="false">SUMPRODUCT($E$31:AB$31,((AB$5-$E$5:AB$5)&gt;=PISLag)*((AB$5-$E$5:AB$5)&lt;LQ_B+PISLag))/LQ_B</f>
        <v>0</v>
      </c>
      <c r="AC61" s="120" t="n">
        <f aca="false">SUMPRODUCT($E$31:AC$31,((AC$5-$E$5:AC$5)&gt;=PISLag)*((AC$5-$E$5:AC$5)&lt;LQ_B+PISLag))/LQ_B</f>
        <v>0</v>
      </c>
      <c r="AD61" s="120" t="n">
        <f aca="false">SUMPRODUCT($E$31:AD$31,((AD$5-$E$5:AD$5)&gt;=PISLag)*((AD$5-$E$5:AD$5)&lt;LQ_B+PISLag))/LQ_B</f>
        <v>0</v>
      </c>
      <c r="AE61" s="120" t="n">
        <f aca="false">SUMPRODUCT($E$31:AE$31,((AE$5-$E$5:AE$5)&gt;=PISLag)*((AE$5-$E$5:AE$5)&lt;LQ_B+PISLag))/LQ_B</f>
        <v>0</v>
      </c>
      <c r="AF61" s="120" t="n">
        <f aca="false">SUMPRODUCT($E$31:AF$31,((AF$5-$E$5:AF$5)&gt;=PISLag)*((AF$5-$E$5:AF$5)&lt;LQ_B+PISLag))/LQ_B</f>
        <v>0</v>
      </c>
      <c r="AG61" s="120" t="n">
        <f aca="false">SUMPRODUCT($E$31:AG$31,((AG$5-$E$5:AG$5)&gt;=PISLag)*((AG$5-$E$5:AG$5)&lt;LQ_B+PISLag))/LQ_B</f>
        <v>0</v>
      </c>
      <c r="AI61" s="120" t="n">
        <f aca="false">SUMIF($F$7:$AG$7,AI$7,$F61:$AG61)</f>
        <v>0</v>
      </c>
      <c r="AJ61" s="120" t="n">
        <f aca="false">SUMIF($F$7:$AG$7,AJ$7,$F61:$AG61)</f>
        <v>0</v>
      </c>
      <c r="AK61" s="120" t="n">
        <f aca="false">SUMIF($F$7:$AG$7,AK$7,$F61:$AG61)</f>
        <v>0</v>
      </c>
      <c r="AL61" s="120" t="n">
        <f aca="false">SUMIF($F$7:$AG$7,AL$7,$F61:$AG61)</f>
        <v>0</v>
      </c>
      <c r="AM61" s="120" t="n">
        <f aca="false">SUMIF($F$7:$AG$7,AM$7,$F61:$AG61)</f>
        <v>0</v>
      </c>
      <c r="AN61" s="120" t="n">
        <f aca="false">SUMIF($F$7:$AG$7,AN$7,$F61:$AG61)</f>
        <v>0</v>
      </c>
      <c r="AO61" s="120" t="n">
        <f aca="false">SUMIF($F$7:$AG$7,AO$7,$F61:$AG61)</f>
        <v>0</v>
      </c>
    </row>
    <row r="63" customFormat="false" ht="15" hidden="false" customHeight="false" outlineLevel="0" collapsed="false">
      <c r="A63" s="48" t="s">
        <v>1680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</row>
    <row r="64" customFormat="false" ht="15" hidden="false" customHeight="false" outlineLevel="0" collapsed="false">
      <c r="A64" s="101" t="s">
        <v>1681</v>
      </c>
      <c r="B64" s="18" t="s">
        <v>400</v>
      </c>
      <c r="C64" s="18" t="s">
        <v>336</v>
      </c>
      <c r="D64" s="18"/>
      <c r="F64" s="119" t="n">
        <f aca="false">F39+F44+F49</f>
        <v>7.12</v>
      </c>
      <c r="G64" s="119" t="n">
        <f aca="false">G39+G44+G49</f>
        <v>12.32</v>
      </c>
      <c r="H64" s="119" t="n">
        <f aca="false">H39+H44+H49</f>
        <v>17.52</v>
      </c>
      <c r="I64" s="119" t="n">
        <f aca="false">I39+I44+I49</f>
        <v>22.716</v>
      </c>
      <c r="J64" s="119" t="n">
        <f aca="false">J39+J44+J49</f>
        <v>39.42</v>
      </c>
      <c r="K64" s="119" t="n">
        <f aca="false">K39+K44+K49</f>
        <v>61.18</v>
      </c>
      <c r="L64" s="119" t="n">
        <f aca="false">L39+L44+L49</f>
        <v>81.604</v>
      </c>
      <c r="M64" s="119" t="n">
        <f aca="false">M39+M44+M49</f>
        <v>119.824</v>
      </c>
      <c r="N64" s="119" t="n">
        <f aca="false">N39+N44+N49</f>
        <v>202.064</v>
      </c>
      <c r="O64" s="119" t="n">
        <f aca="false">O39+O44+O49</f>
        <v>300.98</v>
      </c>
      <c r="P64" s="120" t="n">
        <f aca="false">P39+P44+P49</f>
        <v>527.276</v>
      </c>
      <c r="Q64" s="120" t="n">
        <f aca="false">Q39+Q44+Q49</f>
        <v>527.276</v>
      </c>
      <c r="R64" s="120" t="n">
        <f aca="false">R39+R44+R49</f>
        <v>695.986</v>
      </c>
      <c r="S64" s="120" t="n">
        <f aca="false">S39+S44+S49</f>
        <v>936.211</v>
      </c>
      <c r="T64" s="120" t="n">
        <f aca="false">T39+T44+T49</f>
        <v>1188.946</v>
      </c>
      <c r="U64" s="120" t="n">
        <f aca="false">U39+U44+U49</f>
        <v>1430.026</v>
      </c>
      <c r="V64" s="120" t="n">
        <f aca="false">V39+V44+V49</f>
        <v>1889.176</v>
      </c>
      <c r="W64" s="120" t="n">
        <f aca="false">W39+W44+W49</f>
        <v>2036.176</v>
      </c>
      <c r="X64" s="120" t="n">
        <f aca="false">X39+X44+X49</f>
        <v>2283.826</v>
      </c>
      <c r="Y64" s="120" t="n">
        <f aca="false">Y39+Y44+Y49</f>
        <v>2303.826</v>
      </c>
      <c r="Z64" s="120" t="n">
        <f aca="false">Z39+Z44+Z49</f>
        <v>2839.606</v>
      </c>
      <c r="AA64" s="120" t="n">
        <f aca="false">AA39+AA44+AA49</f>
        <v>2834.406</v>
      </c>
      <c r="AB64" s="120" t="n">
        <f aca="false">AB39+AB44+AB49</f>
        <v>3362.606</v>
      </c>
      <c r="AC64" s="120" t="n">
        <f aca="false">AC39+AC44+AC49</f>
        <v>3357.41</v>
      </c>
      <c r="AD64" s="120" t="n">
        <f aca="false">AD39+AD44+AD49</f>
        <v>4083.656</v>
      </c>
      <c r="AE64" s="120" t="n">
        <f aca="false">AE39+AE44+AE49</f>
        <v>4061.896</v>
      </c>
      <c r="AF64" s="120" t="n">
        <f aca="false">AF39+AF44+AF49</f>
        <v>4041.472</v>
      </c>
      <c r="AG64" s="120" t="n">
        <f aca="false">AG39+AG44+AG49</f>
        <v>4003.252</v>
      </c>
      <c r="AI64" s="120" t="n">
        <f aca="false">SUMIF($F$7:$AG$7,AI$7,$F64:$AG64)</f>
        <v>59.676</v>
      </c>
      <c r="AJ64" s="120" t="n">
        <f aca="false">SUMIF($F$7:$AG$7,AJ$7,$F64:$AG64)</f>
        <v>302.028</v>
      </c>
      <c r="AK64" s="120" t="n">
        <f aca="false">SUMIF($F$7:$AG$7,AK$7,$F64:$AG64)</f>
        <v>1557.596</v>
      </c>
      <c r="AL64" s="120" t="n">
        <f aca="false">SUMIF($F$7:$AG$7,AL$7,$F64:$AG64)</f>
        <v>4251.169</v>
      </c>
      <c r="AM64" s="120" t="n">
        <f aca="false">SUMIF($F$7:$AG$7,AM$7,$F64:$AG64)</f>
        <v>8513.004</v>
      </c>
      <c r="AN64" s="120" t="n">
        <f aca="false">SUMIF($F$7:$AG$7,AN$7,$F64:$AG64)</f>
        <v>12394.028</v>
      </c>
      <c r="AO64" s="120" t="n">
        <f aca="false">SUMIF($F$7:$AG$7,AO$7,$F64:$AG64)</f>
        <v>16190.276</v>
      </c>
    </row>
    <row r="65" customFormat="false" ht="15" hidden="false" customHeight="false" outlineLevel="0" collapsed="false">
      <c r="A65" s="3" t="s">
        <v>1682</v>
      </c>
      <c r="B65" s="18" t="s">
        <v>400</v>
      </c>
      <c r="C65" s="18" t="s">
        <v>336</v>
      </c>
      <c r="D65" s="18"/>
      <c r="F65" s="121" t="n">
        <f aca="false">F64+F54+F55+F56+F58+F60+F61+F57</f>
        <v>12.12</v>
      </c>
      <c r="G65" s="121" t="n">
        <f aca="false">G64+G54+G55+G56+G58+G60+G61+G57</f>
        <v>17.84</v>
      </c>
      <c r="H65" s="121" t="n">
        <f aca="false">H64+H54+H55+H56+H58+H60+H61+H57</f>
        <v>23.56</v>
      </c>
      <c r="I65" s="121" t="n">
        <f aca="false">I64+I54+I55+I56+I58+I60+I61+I57</f>
        <v>29.2756</v>
      </c>
      <c r="J65" s="121" t="n">
        <f aca="false">J64+J54+J55+J56+J58+J60+J61+J57</f>
        <v>47.65</v>
      </c>
      <c r="K65" s="121" t="n">
        <f aca="false">K64+K54+K55+K56+K58+K60+K61+K57</f>
        <v>71.586</v>
      </c>
      <c r="L65" s="121" t="n">
        <f aca="false">L64+L54+L55+L56+L58+L60+L61+L57</f>
        <v>94.0524</v>
      </c>
      <c r="M65" s="121" t="n">
        <f aca="false">M64+M54+M55+M56+M58+M60+M61+M57</f>
        <v>136.0944</v>
      </c>
      <c r="N65" s="121" t="n">
        <f aca="false">N64+N54+N55+N56+N58+N60+N61+N57</f>
        <v>226.5584</v>
      </c>
      <c r="O65" s="121" t="n">
        <f aca="false">O64+O54+O55+O56+O58+O60+O61+O57</f>
        <v>336.151</v>
      </c>
      <c r="P65" s="93" t="n">
        <f aca="false">P64+P54+P55+P56+P58+P60+P61+P57</f>
        <v>587.0866</v>
      </c>
      <c r="Q65" s="93" t="n">
        <f aca="false">Q64+Q54+Q55+Q56+Q58+Q60+Q61+Q57</f>
        <v>591.164990717076</v>
      </c>
      <c r="R65" s="93" t="n">
        <f aca="false">R64+R54+R55+R56+R58+R60+R61+R57</f>
        <v>766.338123024241</v>
      </c>
      <c r="S65" s="93" t="n">
        <f aca="false">S64+S54+S55+S56+S58+S60+S61+S57</f>
        <v>1016.41966061574</v>
      </c>
      <c r="T65" s="93" t="n">
        <f aca="false">T64+T54+T55+T56+T58+T60+T61+T57</f>
        <v>1290.73824420611</v>
      </c>
      <c r="U65" s="93" t="n">
        <f aca="false">U64+U54+U55+U56+U58+U60+U61+U57</f>
        <v>1573.32111229062</v>
      </c>
      <c r="V65" s="93" t="n">
        <f aca="false">V64+V54+V55+V56+V58+V60+V61+V57</f>
        <v>2056.59724551122</v>
      </c>
      <c r="W65" s="93" t="n">
        <f aca="false">W64+W54+W55+W56+W58+W60+W61+W57</f>
        <v>2245.80821688447</v>
      </c>
      <c r="X65" s="93" t="n">
        <f aca="false">X64+X54+X55+X56+X58+X60+X61+X57</f>
        <v>2501.45006809627</v>
      </c>
      <c r="Y65" s="93" t="n">
        <f aca="false">Y64+Y54+Y55+Y56+Y58+Y60+Y61+Y57</f>
        <v>2593.05490153821</v>
      </c>
      <c r="Z65" s="93" t="n">
        <f aca="false">Z64+Z54+Z55+Z56+Z58+Z60+Z61+Z57</f>
        <v>3144.97095919656</v>
      </c>
      <c r="AA65" s="93" t="n">
        <f aca="false">AA64+AA54+AA55+AA56+AA58+AA60+AA61+AA57</f>
        <v>3230.37930028351</v>
      </c>
      <c r="AB65" s="93" t="n">
        <f aca="false">AB64+AB54+AB55+AB56+AB58+AB60+AB61+AB57</f>
        <v>3774.34636977392</v>
      </c>
      <c r="AC65" s="93" t="n">
        <f aca="false">AC64+AC54+AC55+AC56+AC58+AC60+AC61+AC57</f>
        <v>3890.97253171347</v>
      </c>
      <c r="AD65" s="93" t="n">
        <f aca="false">AD64+AD54+AD55+AD56+AD58+AD60+AD61+AD57</f>
        <v>4646.03068151259</v>
      </c>
      <c r="AE65" s="93" t="n">
        <f aca="false">AE64+AE54+AE55+AE56+AE58+AE60+AE61+AE57</f>
        <v>4658.61544203244</v>
      </c>
      <c r="AF65" s="93" t="n">
        <f aca="false">AF64+AF54+AF55+AF56+AF58+AF60+AF61+AF57</f>
        <v>4672.26231349197</v>
      </c>
      <c r="AG65" s="93" t="n">
        <f aca="false">AG64+AG54+AG55+AG56+AG58+AG60+AG61+AG57</f>
        <v>4685.55056590494</v>
      </c>
      <c r="AI65" s="93" t="n">
        <f aca="false">SUMIF($F$7:$AG$7,AI$7,$F65:$AG65)</f>
        <v>82.7956</v>
      </c>
      <c r="AJ65" s="93" t="n">
        <f aca="false">SUMIF($F$7:$AG$7,AJ$7,$F65:$AG65)</f>
        <v>349.3828</v>
      </c>
      <c r="AK65" s="93" t="n">
        <f aca="false">SUMIF($F$7:$AG$7,AK$7,$F65:$AG65)</f>
        <v>1740.96099071708</v>
      </c>
      <c r="AL65" s="93" t="n">
        <f aca="false">SUMIF($F$7:$AG$7,AL$7,$F65:$AG65)</f>
        <v>4646.81714013671</v>
      </c>
      <c r="AM65" s="93" t="n">
        <f aca="false">SUMIF($F$7:$AG$7,AM$7,$F65:$AG65)</f>
        <v>9396.91043203017</v>
      </c>
      <c r="AN65" s="93" t="n">
        <f aca="false">SUMIF($F$7:$AG$7,AN$7,$F65:$AG65)</f>
        <v>14040.6691609675</v>
      </c>
      <c r="AO65" s="93" t="n">
        <f aca="false">SUMIF($F$7:$AG$7,AO$7,$F65:$AG65)</f>
        <v>18662.4590029419</v>
      </c>
    </row>
    <row r="66" customFormat="false" ht="15" hidden="false" customHeight="false" outlineLevel="0" collapsed="false">
      <c r="A66" s="3" t="s">
        <v>1683</v>
      </c>
      <c r="B66" s="18" t="s">
        <v>400</v>
      </c>
      <c r="C66" s="18" t="s">
        <v>336</v>
      </c>
      <c r="D66" s="18"/>
      <c r="F66" s="121" t="n">
        <f aca="false">IF(F$5&lt;=LastHist,INDEX(H_DA,1,F$5),F65)</f>
        <v>8.9</v>
      </c>
      <c r="G66" s="121" t="n">
        <f aca="false">IF(G$5&lt;=LastHist,INDEX(H_DA,1,G$5),G65)</f>
        <v>11.4</v>
      </c>
      <c r="H66" s="121" t="n">
        <f aca="false">IF(H$5&lt;=LastHist,INDEX(H_DA,1,H$5),H65)</f>
        <v>23.5</v>
      </c>
      <c r="I66" s="121" t="n">
        <f aca="false">IF(I$5&lt;=LastHist,INDEX(H_DA,1,I$5),I65)</f>
        <v>33.3</v>
      </c>
      <c r="J66" s="121" t="n">
        <f aca="false">IF(J$5&lt;=LastHist,INDEX(H_DA,1,J$5),J65)</f>
        <v>49.1</v>
      </c>
      <c r="K66" s="121" t="n">
        <f aca="false">IF(K$5&lt;=LastHist,INDEX(H_DA,1,K$5),K65)</f>
        <v>75.2</v>
      </c>
      <c r="L66" s="121" t="n">
        <f aca="false">IF(L$5&lt;=LastHist,INDEX(H_DA,1,L$5),L65)</f>
        <v>99</v>
      </c>
      <c r="M66" s="121" t="n">
        <f aca="false">IF(M$5&lt;=LastHist,INDEX(H_DA,1,M$5),M65)</f>
        <v>180.7</v>
      </c>
      <c r="N66" s="121" t="n">
        <f aca="false">IF(N$5&lt;=LastHist,INDEX(H_DA,1,N$5),N65)</f>
        <v>212</v>
      </c>
      <c r="O66" s="121" t="n">
        <f aca="false">IF(O$5&lt;=LastHist,INDEX(H_DA,1,O$5),O65)</f>
        <v>259.7</v>
      </c>
      <c r="P66" s="93" t="n">
        <f aca="false">IF(P$5&lt;=LastHist,INDEX(H_DA,1,P$5),P65)</f>
        <v>587.0866</v>
      </c>
      <c r="Q66" s="93" t="n">
        <f aca="false">IF(Q$5&lt;=LastHist,INDEX(H_DA,1,Q$5),Q65)</f>
        <v>591.164990717076</v>
      </c>
      <c r="R66" s="93" t="n">
        <f aca="false">IF(R$5&lt;=LastHist,INDEX(H_DA,1,R$5),R65)</f>
        <v>766.338123024241</v>
      </c>
      <c r="S66" s="93" t="n">
        <f aca="false">IF(S$5&lt;=LastHist,INDEX(H_DA,1,S$5),S65)</f>
        <v>1016.41966061574</v>
      </c>
      <c r="T66" s="93" t="n">
        <f aca="false">IF(T$5&lt;=LastHist,INDEX(H_DA,1,T$5),T65)</f>
        <v>1290.73824420611</v>
      </c>
      <c r="U66" s="93" t="n">
        <f aca="false">IF(U$5&lt;=LastHist,INDEX(H_DA,1,U$5),U65)</f>
        <v>1573.32111229062</v>
      </c>
      <c r="V66" s="93" t="n">
        <f aca="false">IF(V$5&lt;=LastHist,INDEX(H_DA,1,V$5),V65)</f>
        <v>2056.59724551122</v>
      </c>
      <c r="W66" s="93" t="n">
        <f aca="false">IF(W$5&lt;=LastHist,INDEX(H_DA,1,W$5),W65)</f>
        <v>2245.80821688447</v>
      </c>
      <c r="X66" s="93" t="n">
        <f aca="false">IF(X$5&lt;=LastHist,INDEX(H_DA,1,X$5),X65)</f>
        <v>2501.45006809627</v>
      </c>
      <c r="Y66" s="93" t="n">
        <f aca="false">IF(Y$5&lt;=LastHist,INDEX(H_DA,1,Y$5),Y65)</f>
        <v>2593.05490153821</v>
      </c>
      <c r="Z66" s="93" t="n">
        <f aca="false">IF(Z$5&lt;=LastHist,INDEX(H_DA,1,Z$5),Z65)</f>
        <v>3144.97095919656</v>
      </c>
      <c r="AA66" s="93" t="n">
        <f aca="false">IF(AA$5&lt;=LastHist,INDEX(H_DA,1,AA$5),AA65)</f>
        <v>3230.37930028351</v>
      </c>
      <c r="AB66" s="93" t="n">
        <f aca="false">IF(AB$5&lt;=LastHist,INDEX(H_DA,1,AB$5),AB65)</f>
        <v>3774.34636977392</v>
      </c>
      <c r="AC66" s="93" t="n">
        <f aca="false">IF(AC$5&lt;=LastHist,INDEX(H_DA,1,AC$5),AC65)</f>
        <v>3890.97253171347</v>
      </c>
      <c r="AD66" s="93" t="n">
        <f aca="false">IF(AD$5&lt;=LastHist,INDEX(H_DA,1,AD$5),AD65)</f>
        <v>4646.03068151259</v>
      </c>
      <c r="AE66" s="93" t="n">
        <f aca="false">IF(AE$5&lt;=LastHist,INDEX(H_DA,1,AE$5),AE65)</f>
        <v>4658.61544203244</v>
      </c>
      <c r="AF66" s="93" t="n">
        <f aca="false">IF(AF$5&lt;=LastHist,INDEX(H_DA,1,AF$5),AF65)</f>
        <v>4672.26231349197</v>
      </c>
      <c r="AG66" s="93" t="n">
        <f aca="false">IF(AG$5&lt;=LastHist,INDEX(H_DA,1,AG$5),AG65)</f>
        <v>4685.55056590494</v>
      </c>
      <c r="AI66" s="93" t="n">
        <f aca="false">SUMIF($F$7:$AG$7,AI$7,$F66:$AG66)</f>
        <v>77.1</v>
      </c>
      <c r="AJ66" s="93" t="n">
        <f aca="false">SUMIF($F$7:$AG$7,AJ$7,$F66:$AG66)</f>
        <v>404</v>
      </c>
      <c r="AK66" s="93" t="n">
        <f aca="false">SUMIF($F$7:$AG$7,AK$7,$F66:$AG66)</f>
        <v>1649.95159071708</v>
      </c>
      <c r="AL66" s="93" t="n">
        <f aca="false">SUMIF($F$7:$AG$7,AL$7,$F66:$AG66)</f>
        <v>4646.81714013671</v>
      </c>
      <c r="AM66" s="93" t="n">
        <f aca="false">SUMIF($F$7:$AG$7,AM$7,$F66:$AG66)</f>
        <v>9396.91043203017</v>
      </c>
      <c r="AN66" s="93" t="n">
        <f aca="false">SUMIF($F$7:$AG$7,AN$7,$F66:$AG66)</f>
        <v>14040.6691609675</v>
      </c>
      <c r="AO66" s="93" t="n">
        <f aca="false">SUMIF($F$7:$AG$7,AO$7,$F66:$AG66)</f>
        <v>18662.4590029419</v>
      </c>
    </row>
    <row r="67" customFormat="false" ht="15" hidden="false" customHeight="false" outlineLevel="0" collapsed="false">
      <c r="A67" s="101" t="s">
        <v>1684</v>
      </c>
      <c r="B67" s="18" t="s">
        <v>388</v>
      </c>
      <c r="C67" s="18" t="s">
        <v>336</v>
      </c>
      <c r="D67" s="18"/>
      <c r="F67" s="123" t="n">
        <f aca="false">IF(F$5&lt;=LastHist,F65/INDEX(H_DA,1,F$5)-1,"")</f>
        <v>0.361797752808989</v>
      </c>
      <c r="G67" s="123" t="n">
        <f aca="false">IF(G$5&lt;=LastHist,G65/INDEX(H_DA,1,G$5)-1,"")</f>
        <v>0.564912280701755</v>
      </c>
      <c r="H67" s="123" t="n">
        <f aca="false">IF(H$5&lt;=LastHist,H65/INDEX(H_DA,1,H$5)-1,"")</f>
        <v>0.00255319148936173</v>
      </c>
      <c r="I67" s="123" t="n">
        <f aca="false">IF(I$5&lt;=LastHist,I65/INDEX(H_DA,1,I$5)-1,"")</f>
        <v>-0.120852852852853</v>
      </c>
      <c r="J67" s="123" t="n">
        <f aca="false">IF(J$5&lt;=LastHist,J65/INDEX(H_DA,1,J$5)-1,"")</f>
        <v>-0.029531568228106</v>
      </c>
      <c r="K67" s="123" t="n">
        <f aca="false">IF(K$5&lt;=LastHist,K65/INDEX(H_DA,1,K$5)-1,"")</f>
        <v>-0.0480585106382979</v>
      </c>
      <c r="L67" s="123" t="n">
        <f aca="false">IF(L$5&lt;=LastHist,L65/INDEX(H_DA,1,L$5)-1,"")</f>
        <v>-0.0499757575757576</v>
      </c>
      <c r="M67" s="123" t="n">
        <f aca="false">IF(M$5&lt;=LastHist,M65/INDEX(H_DA,1,M$5)-1,"")</f>
        <v>-0.246848920863309</v>
      </c>
      <c r="N67" s="123" t="n">
        <f aca="false">IF(N$5&lt;=LastHist,N65/INDEX(H_DA,1,N$5)-1,"")</f>
        <v>0.0686716981132076</v>
      </c>
      <c r="O67" s="123" t="n">
        <f aca="false">IF(O$5&lt;=LastHist,O65/INDEX(H_DA,1,O$5)-1,"")</f>
        <v>0.294381979206777</v>
      </c>
      <c r="P67" s="124" t="str">
        <f aca="false">IF(P$5&lt;=LastHist,P65/INDEX(H_DA,1,P$5)-1,"")</f>
        <v/>
      </c>
      <c r="Q67" s="124" t="str">
        <f aca="false">IF(Q$5&lt;=LastHist,Q65/INDEX(H_DA,1,Q$5)-1,"")</f>
        <v/>
      </c>
      <c r="R67" s="124" t="str">
        <f aca="false">IF(R$5&lt;=LastHist,R65/INDEX(H_DA,1,R$5)-1,"")</f>
        <v/>
      </c>
      <c r="S67" s="124" t="str">
        <f aca="false">IF(S$5&lt;=LastHist,S65/INDEX(H_DA,1,S$5)-1,"")</f>
        <v/>
      </c>
      <c r="T67" s="124" t="str">
        <f aca="false">IF(T$5&lt;=LastHist,T65/INDEX(H_DA,1,T$5)-1,"")</f>
        <v/>
      </c>
      <c r="U67" s="124" t="str">
        <f aca="false">IF(U$5&lt;=LastHist,U65/INDEX(H_DA,1,U$5)-1,"")</f>
        <v/>
      </c>
      <c r="V67" s="124" t="str">
        <f aca="false">IF(V$5&lt;=LastHist,V65/INDEX(H_DA,1,V$5)-1,"")</f>
        <v/>
      </c>
      <c r="W67" s="124" t="str">
        <f aca="false">IF(W$5&lt;=LastHist,W65/INDEX(H_DA,1,W$5)-1,"")</f>
        <v/>
      </c>
      <c r="X67" s="124" t="str">
        <f aca="false">IF(X$5&lt;=LastHist,X65/INDEX(H_DA,1,X$5)-1,"")</f>
        <v/>
      </c>
      <c r="Y67" s="124" t="str">
        <f aca="false">IF(Y$5&lt;=LastHist,Y65/INDEX(H_DA,1,Y$5)-1,"")</f>
        <v/>
      </c>
      <c r="Z67" s="124" t="str">
        <f aca="false">IF(Z$5&lt;=LastHist,Z65/INDEX(H_DA,1,Z$5)-1,"")</f>
        <v/>
      </c>
      <c r="AA67" s="124" t="str">
        <f aca="false">IF(AA$5&lt;=LastHist,AA65/INDEX(H_DA,1,AA$5)-1,"")</f>
        <v/>
      </c>
      <c r="AB67" s="124" t="str">
        <f aca="false">IF(AB$5&lt;=LastHist,AB65/INDEX(H_DA,1,AB$5)-1,"")</f>
        <v/>
      </c>
      <c r="AC67" s="124" t="str">
        <f aca="false">IF(AC$5&lt;=LastHist,AC65/INDEX(H_DA,1,AC$5)-1,"")</f>
        <v/>
      </c>
      <c r="AD67" s="124" t="str">
        <f aca="false">IF(AD$5&lt;=LastHist,AD65/INDEX(H_DA,1,AD$5)-1,"")</f>
        <v/>
      </c>
      <c r="AE67" s="124" t="str">
        <f aca="false">IF(AE$5&lt;=LastHist,AE65/INDEX(H_DA,1,AE$5)-1,"")</f>
        <v/>
      </c>
      <c r="AF67" s="124" t="str">
        <f aca="false">IF(AF$5&lt;=LastHist,AF65/INDEX(H_DA,1,AF$5)-1,"")</f>
        <v/>
      </c>
      <c r="AG67" s="124" t="str">
        <f aca="false">IF(AG$5&lt;=LastHist,AG65/INDEX(H_DA,1,AG$5)-1,"")</f>
        <v/>
      </c>
    </row>
    <row r="68" customFormat="false" ht="15" hidden="false" customHeight="false" outlineLevel="0" collapsed="false">
      <c r="A68" s="101" t="s">
        <v>1685</v>
      </c>
      <c r="B68" s="18" t="s">
        <v>400</v>
      </c>
      <c r="C68" s="18" t="s">
        <v>347</v>
      </c>
      <c r="D68" s="18"/>
      <c r="F68" s="119" t="n">
        <f aca="false">IF(F$5&lt;=LastHist,0,F40+F45+F50)</f>
        <v>0</v>
      </c>
      <c r="G68" s="119" t="n">
        <f aca="false">IF(G$5&lt;=LastHist,0,G40+G45+G50)</f>
        <v>0</v>
      </c>
      <c r="H68" s="119" t="n">
        <f aca="false">IF(H$5&lt;=LastHist,0,H40+H45+H50)</f>
        <v>0</v>
      </c>
      <c r="I68" s="119" t="n">
        <f aca="false">IF(I$5&lt;=LastHist,0,I40+I45+I50)</f>
        <v>0</v>
      </c>
      <c r="J68" s="119" t="n">
        <f aca="false">IF(J$5&lt;=LastHist,0,J40+J45+J50)</f>
        <v>0</v>
      </c>
      <c r="K68" s="119" t="n">
        <f aca="false">IF(K$5&lt;=LastHist,0,K40+K45+K50)</f>
        <v>0</v>
      </c>
      <c r="L68" s="119" t="n">
        <f aca="false">IF(L$5&lt;=LastHist,0,L40+L45+L50)</f>
        <v>0</v>
      </c>
      <c r="M68" s="119" t="n">
        <f aca="false">IF(M$5&lt;=LastHist,0,M40+M45+M50)</f>
        <v>0</v>
      </c>
      <c r="N68" s="119" t="n">
        <f aca="false">IF(N$5&lt;=LastHist,0,N40+N45+N50)</f>
        <v>0</v>
      </c>
      <c r="O68" s="119" t="n">
        <f aca="false">IF(O$5&lt;=LastHist,0,O40+O45+O50)</f>
        <v>0</v>
      </c>
      <c r="P68" s="120" t="n">
        <f aca="false">IF(P$5&lt;=LastHist,0,P40+P45+P50)</f>
        <v>0</v>
      </c>
      <c r="Q68" s="120" t="n">
        <f aca="false">IF(Q$5&lt;=LastHist,0,Q40+Q45+Q50)</f>
        <v>0</v>
      </c>
      <c r="R68" s="120" t="n">
        <f aca="false">IF(R$5&lt;=LastHist,0,R40+R45+R50)</f>
        <v>0</v>
      </c>
      <c r="S68" s="120" t="n">
        <f aca="false">IF(S$5&lt;=LastHist,0,S40+S45+S50)</f>
        <v>0</v>
      </c>
      <c r="T68" s="120" t="n">
        <f aca="false">IF(T$5&lt;=LastHist,0,T40+T45+T50)</f>
        <v>0</v>
      </c>
      <c r="U68" s="120" t="n">
        <f aca="false">IF(U$5&lt;=LastHist,0,U40+U45+U50)</f>
        <v>0</v>
      </c>
      <c r="V68" s="120" t="n">
        <f aca="false">IF(V$5&lt;=LastHist,0,V40+V45+V50)</f>
        <v>0</v>
      </c>
      <c r="W68" s="120" t="n">
        <f aca="false">IF(W$5&lt;=LastHist,0,W40+W45+W50)</f>
        <v>0</v>
      </c>
      <c r="X68" s="120" t="n">
        <f aca="false">IF(X$5&lt;=LastHist,0,X40+X45+X50)</f>
        <v>0</v>
      </c>
      <c r="Y68" s="120" t="n">
        <f aca="false">IF(Y$5&lt;=LastHist,0,Y40+Y45+Y50)</f>
        <v>0</v>
      </c>
      <c r="Z68" s="120" t="n">
        <f aca="false">IF(Z$5&lt;=LastHist,0,Z40+Z45+Z50)</f>
        <v>0</v>
      </c>
      <c r="AA68" s="120" t="n">
        <f aca="false">IF(AA$5&lt;=LastHist,0,AA40+AA45+AA50)</f>
        <v>0</v>
      </c>
      <c r="AB68" s="120" t="n">
        <f aca="false">IF(AB$5&lt;=LastHist,0,AB40+AB45+AB50)</f>
        <v>0</v>
      </c>
      <c r="AC68" s="120" t="n">
        <f aca="false">IF(AC$5&lt;=LastHist,0,AC40+AC45+AC50)</f>
        <v>0</v>
      </c>
      <c r="AD68" s="120" t="n">
        <f aca="false">IF(AD$5&lt;=LastHist,0,AD40+AD45+AD50)</f>
        <v>0</v>
      </c>
      <c r="AE68" s="120" t="n">
        <f aca="false">IF(AE$5&lt;=LastHist,0,AE40+AE45+AE50)</f>
        <v>0</v>
      </c>
      <c r="AF68" s="120" t="n">
        <f aca="false">IF(AF$5&lt;=LastHist,0,AF40+AF45+AF50)</f>
        <v>0</v>
      </c>
      <c r="AG68" s="120" t="n">
        <f aca="false">IF(AG$5&lt;=LastHist,0,AG40+AG45+AG50)</f>
        <v>0</v>
      </c>
      <c r="AI68" s="120" t="n">
        <f aca="false">SUMIF($F$7:$AG$7,AI$7,$F68:$AG68)</f>
        <v>0</v>
      </c>
      <c r="AJ68" s="120" t="n">
        <f aca="false">SUMIF($F$7:$AG$7,AJ$7,$F68:$AG68)</f>
        <v>0</v>
      </c>
      <c r="AK68" s="120" t="n">
        <f aca="false">SUMIF($F$7:$AG$7,AK$7,$F68:$AG68)</f>
        <v>0</v>
      </c>
      <c r="AL68" s="120" t="n">
        <f aca="false">SUMIF($F$7:$AG$7,AL$7,$F68:$AG68)</f>
        <v>0</v>
      </c>
      <c r="AM68" s="120" t="n">
        <f aca="false">SUMIF($F$7:$AG$7,AM$7,$F68:$AG68)</f>
        <v>0</v>
      </c>
      <c r="AN68" s="120" t="n">
        <f aca="false">SUMIF($F$7:$AG$7,AN$7,$F68:$AG68)</f>
        <v>0</v>
      </c>
      <c r="AO68" s="120" t="n">
        <f aca="false">SUMIF($F$7:$AG$7,AO$7,$F68:$AG68)</f>
        <v>0</v>
      </c>
    </row>
    <row r="69" customFormat="false" ht="15" hidden="false" customHeight="false" outlineLevel="0" collapsed="false">
      <c r="A69" s="101" t="s">
        <v>1686</v>
      </c>
      <c r="B69" s="18" t="s">
        <v>400</v>
      </c>
      <c r="C69" s="18" t="s">
        <v>336</v>
      </c>
      <c r="D69" s="18"/>
      <c r="E69" s="120" t="n">
        <f aca="false">E41</f>
        <v>142.4</v>
      </c>
      <c r="F69" s="119" t="n">
        <f aca="false">F41+F46+F51+SUM($F26:F26)-SUM($F54:F54)+SUM($F27:F27)-SUM($F55:F55)+SUM($F28:F28)-SUM($F56:F56)+SUM($F29:F29)-SUM($F57:F57)</f>
        <v>265.28</v>
      </c>
      <c r="G69" s="119" t="n">
        <f aca="false">G41+G46+G51+SUM($F26:G26)-SUM($F54:G54)+SUM($F27:G27)-SUM($F55:G55)+SUM($F28:G28)-SUM($F56:G56)+SUM($F29:G29)-SUM($F57:G57)</f>
        <v>382.44</v>
      </c>
      <c r="H69" s="119" t="n">
        <f aca="false">H41+H46+H51+SUM($F26:H26)-SUM($F54:H54)+SUM($F27:H27)-SUM($F55:H55)+SUM($F28:H28)-SUM($F56:H56)+SUM($F29:H29)-SUM($F57:H57)</f>
        <v>493.78</v>
      </c>
      <c r="I69" s="119" t="n">
        <f aca="false">I41+I46+I51+SUM($F26:I26)-SUM($F54:I54)+SUM($F27:I27)-SUM($F55:I55)+SUM($F28:I28)-SUM($F56:I56)+SUM($F29:I29)-SUM($F57:I57)</f>
        <v>887.1044</v>
      </c>
      <c r="J69" s="119" t="n">
        <f aca="false">J41+J46+J51+SUM($F26:J26)-SUM($F54:J54)+SUM($F27:J27)-SUM($F55:J55)+SUM($F28:J28)-SUM($F56:J56)+SUM($F29:J29)-SUM($F57:J57)</f>
        <v>1388.4544</v>
      </c>
      <c r="K69" s="119" t="n">
        <f aca="false">K41+K46+K51+SUM($F26:K26)-SUM($F54:K54)+SUM($F27:K27)-SUM($F55:K55)+SUM($F28:K28)-SUM($F56:K56)+SUM($F29:K29)-SUM($F57:K57)</f>
        <v>1832.4684</v>
      </c>
      <c r="L69" s="119" t="n">
        <f aca="false">L41+L46+L51+SUM($F26:L26)-SUM($F54:L54)+SUM($F27:L27)-SUM($F55:L55)+SUM($F28:L28)-SUM($F56:L56)+SUM($F29:L29)-SUM($F57:L57)</f>
        <v>2698.916</v>
      </c>
      <c r="M69" s="119" t="n">
        <f aca="false">M41+M46+M51+SUM($F26:M26)-SUM($F54:M54)+SUM($F27:M27)-SUM($F55:M55)+SUM($F28:M28)-SUM($F56:M56)+SUM($F29:M29)-SUM($F57:M57)</f>
        <v>4623.8216</v>
      </c>
      <c r="N69" s="119" t="n">
        <f aca="false">N41+N46+N51+SUM($F26:N26)-SUM($F54:N54)+SUM($F27:N27)-SUM($F55:N55)+SUM($F28:N28)-SUM($F56:N56)+SUM($F29:N29)-SUM($F57:N57)</f>
        <v>6875.1632</v>
      </c>
      <c r="O69" s="119" t="n">
        <f aca="false">O41+O46+O51+SUM($F26:O26)-SUM($F54:O54)+SUM($F27:O27)-SUM($F55:O55)+SUM($F28:O28)-SUM($F56:O56)+SUM($F29:O29)-SUM($F57:O57)</f>
        <v>12202.1972</v>
      </c>
      <c r="P69" s="120" t="n">
        <f aca="false">P41+P46+P51+SUM($F26:P26)-SUM($F54:P54)+SUM($F27:P27)-SUM($F55:P55)+SUM($F28:P28)-SUM($F56:P56)+SUM($F29:P29)-SUM($F57:P57)</f>
        <v>15122.6792674652</v>
      </c>
      <c r="Q69" s="120" t="n">
        <f aca="false">Q41+Q46+Q51+SUM($F26:Q26)-SUM($F54:Q54)+SUM($F27:Q27)-SUM($F55:Q55)+SUM($F28:Q28)-SUM($F56:Q56)+SUM($F29:Q29)-SUM($F57:Q57)</f>
        <v>19633.002483359</v>
      </c>
      <c r="R69" s="120" t="n">
        <f aca="false">R41+R46+R51+SUM($F26:R26)-SUM($F54:R54)+SUM($F27:R27)-SUM($F55:R55)+SUM($F28:R28)-SUM($F56:R56)+SUM($F29:R29)-SUM($F57:R57)</f>
        <v>24789.1453799762</v>
      </c>
      <c r="S69" s="120" t="n">
        <f aca="false">S41+S46+S51+SUM($F26:S26)-SUM($F54:S54)+SUM($F27:S27)-SUM($F55:S55)+SUM($F28:S28)-SUM($F56:S56)+SUM($F29:S29)-SUM($F57:S57)</f>
        <v>30442.5723663229</v>
      </c>
      <c r="T69" s="120" t="n">
        <f aca="false">T41+T46+T51+SUM($F26:T26)-SUM($F54:T54)+SUM($F27:T27)-SUM($F55:T55)+SUM($F28:T28)-SUM($F56:T56)+SUM($F29:T29)-SUM($F57:T57)</f>
        <v>39297.8911663061</v>
      </c>
      <c r="U69" s="120" t="n">
        <f aca="false">U41+U46+U51+SUM($F26:U26)-SUM($F54:U54)+SUM($F27:U27)-SUM($F55:U55)+SUM($F28:U28)-SUM($F56:U56)+SUM($F29:U29)-SUM($F57:U57)</f>
        <v>42498.5171082702</v>
      </c>
      <c r="V69" s="120" t="n">
        <f aca="false">V41+V46+V51+SUM($F26:V26)-SUM($F54:V54)+SUM($F27:V27)-SUM($F55:V55)+SUM($F28:V28)-SUM($F56:V56)+SUM($F29:V29)-SUM($F57:V57)</f>
        <v>45496.9883874106</v>
      </c>
      <c r="W69" s="120" t="n">
        <f aca="false">W41+W46+W51+SUM($F26:W26)-SUM($F54:W54)+SUM($F27:W27)-SUM($F55:W55)+SUM($F28:W28)-SUM($F56:W56)+SUM($F29:W29)-SUM($F57:W57)</f>
        <v>46924.2909992926</v>
      </c>
      <c r="X69" s="120" t="n">
        <f aca="false">X41+X46+X51+SUM($F26:X26)-SUM($F54:X54)+SUM($F27:X27)-SUM($F55:X55)+SUM($F28:X28)-SUM($F56:X56)+SUM($F29:X29)-SUM($F57:X57)</f>
        <v>55419.6361119094</v>
      </c>
      <c r="Y69" s="120" t="n">
        <f aca="false">Y41+Y46+Y51+SUM($F26:Y26)-SUM($F54:Y54)+SUM($F27:Y27)-SUM($F55:Y55)+SUM($F28:Y28)-SUM($F56:Y56)+SUM($F29:Y29)-SUM($F57:Y57)</f>
        <v>56899.4255827563</v>
      </c>
      <c r="Z69" s="120" t="n">
        <f aca="false">Z41+Z46+Z51+SUM($F26:Z26)-SUM($F54:Z54)+SUM($F27:Z27)-SUM($F55:Z55)+SUM($F28:Z28)-SUM($F56:Z56)+SUM($F29:Z29)-SUM($F57:Z57)</f>
        <v>64696.1693718605</v>
      </c>
      <c r="AA69" s="120" t="n">
        <f aca="false">AA41+AA46+AA51+SUM($F26:AA26)-SUM($F54:AA54)+SUM($F27:AA27)-SUM($F55:AA55)+SUM($F28:AA28)-SUM($F56:AA56)+SUM($F29:AA29)-SUM($F57:AA57)</f>
        <v>67023.6884233952</v>
      </c>
      <c r="AB69" s="120" t="n">
        <f aca="false">AB41+AB46+AB51+SUM($F26:AB26)-SUM($F54:AB54)+SUM($F27:AB27)-SUM($F55:AB55)+SUM($F28:AB28)-SUM($F56:AB56)+SUM($F29:AB29)-SUM($F57:AB57)</f>
        <v>78419.7377453609</v>
      </c>
      <c r="AC69" s="120" t="n">
        <f aca="false">AC41+AC46+AC51+SUM($F26:AC26)-SUM($F54:AC54)+SUM($F27:AC27)-SUM($F55:AC55)+SUM($F28:AC28)-SUM($F56:AC56)+SUM($F29:AC29)-SUM($F57:AC57)</f>
        <v>75089.356153517</v>
      </c>
      <c r="AD69" s="120" t="n">
        <f aca="false">AD41+AD46+AD51+SUM($F26:AD26)-SUM($F54:AD54)+SUM($F27:AD27)-SUM($F55:AD55)+SUM($F28:AD28)-SUM($F56:AD56)+SUM($F29:AD29)-SUM($F57:AD57)</f>
        <v>71128.8468992887</v>
      </c>
      <c r="AE69" s="120" t="n">
        <f aca="false">AE41+AE46+AE51+SUM($F26:AE26)-SUM($F54:AE54)+SUM($F27:AE27)-SUM($F55:AE55)+SUM($F28:AE28)-SUM($F56:AE56)+SUM($F29:AE29)-SUM($F57:AE57)</f>
        <v>67153.1264551696</v>
      </c>
      <c r="AF69" s="120" t="n">
        <f aca="false">AF41+AF46+AF51+SUM($F26:AF26)-SUM($F54:AF54)+SUM($F27:AF27)-SUM($F55:AF55)+SUM($F28:AF28)-SUM($F56:AF56)+SUM($F29:AF29)-SUM($F57:AF57)</f>
        <v>63521.2725927525</v>
      </c>
      <c r="AG69" s="120" t="n">
        <f aca="false">AG41+AG46+AG51+SUM($F26:AG26)-SUM($F54:AG54)+SUM($F27:AG27)-SUM($F55:AG55)+SUM($F28:AG28)-SUM($F56:AG56)+SUM($F29:AG29)-SUM($F57:AG57)</f>
        <v>60761.3862698917</v>
      </c>
      <c r="AI69" s="120" t="n">
        <f aca="false">INDEX($F69:$AG69,1,MATCH(AI$7,$F$7:$AG$7,1))</f>
        <v>887.1044</v>
      </c>
      <c r="AJ69" s="120" t="n">
        <f aca="false">INDEX($F69:$AG69,1,MATCH(AJ$7,$F$7:$AG$7,1))</f>
        <v>4623.8216</v>
      </c>
      <c r="AK69" s="120" t="n">
        <f aca="false">INDEX($F69:$AG69,1,MATCH(AK$7,$F$7:$AG$7,1))</f>
        <v>19633.002483359</v>
      </c>
      <c r="AL69" s="120" t="n">
        <f aca="false">INDEX($F69:$AG69,1,MATCH(AL$7,$F$7:$AG$7,1))</f>
        <v>42498.5171082702</v>
      </c>
      <c r="AM69" s="120" t="n">
        <f aca="false">INDEX($F69:$AG69,1,MATCH(AM$7,$F$7:$AG$7,1))</f>
        <v>56899.4255827563</v>
      </c>
      <c r="AN69" s="120" t="n">
        <f aca="false">INDEX($F69:$AG69,1,MATCH(AN$7,$F$7:$AG$7,1))</f>
        <v>75089.356153517</v>
      </c>
      <c r="AO69" s="120" t="n">
        <f aca="false">INDEX($F69:$AG69,1,MATCH(AO$7,$F$7:$AG$7,1))</f>
        <v>60761.3862698917</v>
      </c>
    </row>
    <row r="71" customFormat="false" ht="15" hidden="false" customHeight="false" outlineLevel="0" collapsed="false">
      <c r="A71" s="48" t="s">
        <v>1687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customFormat="false" ht="15" hidden="false" customHeight="false" outlineLevel="0" collapsed="false">
      <c r="A72" s="101" t="s">
        <v>1688</v>
      </c>
      <c r="B72" s="18" t="s">
        <v>400</v>
      </c>
      <c r="C72" s="18" t="s">
        <v>336</v>
      </c>
      <c r="D72" s="18"/>
      <c r="F72" s="119" t="n">
        <f aca="false">INDEX(Capex,1,1)+INDEX(CapInt,1,1)</f>
        <v>130</v>
      </c>
      <c r="G72" s="119" t="n">
        <f aca="false">INDEX(Capex,1,2)+INDEX(CapInt,1,2)</f>
        <v>130</v>
      </c>
      <c r="H72" s="119" t="n">
        <f aca="false">INDEX(Capex,1,3)+INDEX(CapInt,1,3)</f>
        <v>129.9</v>
      </c>
      <c r="I72" s="119" t="n">
        <f aca="false">INDEX(Capex,1,4)+INDEX(CapInt,1,4)</f>
        <v>417.6</v>
      </c>
      <c r="J72" s="119" t="n">
        <f aca="false">INDEX(Capex,1,5)+INDEX(CapInt,1,5)</f>
        <v>544</v>
      </c>
      <c r="K72" s="119" t="n">
        <f aca="false">INDEX(Capex,1,6)+INDEX(CapInt,1,6)</f>
        <v>510.6</v>
      </c>
      <c r="L72" s="119" t="n">
        <f aca="false">INDEX(Capex,1,7)+INDEX(CapInt,1,7)</f>
        <v>955.5</v>
      </c>
      <c r="M72" s="119" t="n">
        <f aca="false">INDEX(Capex,1,8)+INDEX(CapInt,1,8)</f>
        <v>2056</v>
      </c>
      <c r="N72" s="119" t="n">
        <f aca="false">INDEX(Capex,1,9)+INDEX(CapInt,1,9)</f>
        <v>2488.6</v>
      </c>
      <c r="O72" s="119" t="n">
        <f aca="false">INDEX(Capex,1,10)+INDEX(CapInt,1,10)</f>
        <v>5697.6</v>
      </c>
      <c r="P72" s="120" t="n">
        <f aca="false">INDEX(Capex,1,11)+INDEX(CapInt,1,11)</f>
        <v>3568.26781434151</v>
      </c>
      <c r="Q72" s="120" t="n">
        <f aca="false">INDEX(Capex,1,12)+INDEX(CapInt,1,12)</f>
        <v>5158.7626461433</v>
      </c>
      <c r="R72" s="120" t="n">
        <f aca="false">INDEX(Capex,1,13)+INDEX(CapInt,1,13)</f>
        <v>5976.33075183005</v>
      </c>
      <c r="S72" s="120" t="n">
        <f aca="false">INDEX(Capex,1,14)+INDEX(CapInt,1,14)</f>
        <v>6720.27167180732</v>
      </c>
      <c r="T72" s="120" t="n">
        <f aca="false">INDEX(Capex,1,15)+INDEX(CapInt,1,15)</f>
        <v>10193.0573616903</v>
      </c>
      <c r="U72" s="120" t="n">
        <f aca="false">INDEX(Capex,1,16)+INDEX(CapInt,1,16)</f>
        <v>4817.52266441192</v>
      </c>
      <c r="V72" s="120" t="n">
        <f aca="false">INDEX(Capex,1,17)+INDEX(CapInt,1,17)</f>
        <v>5095.21942746504</v>
      </c>
      <c r="W72" s="120" t="n">
        <f aca="false">INDEX(Capex,1,18)+INDEX(CapInt,1,18)</f>
        <v>3709.83702423604</v>
      </c>
      <c r="X72" s="120" t="n">
        <f aca="false">INDEX(Capex,1,19)+INDEX(CapInt,1,19)</f>
        <v>11030.0966688388</v>
      </c>
      <c r="Y72" s="120" t="n">
        <f aca="false">INDEX(Capex,1,20)+INDEX(CapInt,1,20)</f>
        <v>4102.72115316702</v>
      </c>
      <c r="Z72" s="120" t="n">
        <f aca="false">INDEX(Capex,1,21)+INDEX(CapInt,1,21)</f>
        <v>10968.1668217389</v>
      </c>
      <c r="AA72" s="120" t="n">
        <f aca="false">INDEX(Capex,1,22)+INDEX(CapInt,1,22)</f>
        <v>5580.34138980814</v>
      </c>
      <c r="AB72" s="120" t="n">
        <f aca="false">INDEX(Capex,1,23)+INDEX(CapInt,1,23)</f>
        <v>15189.443238791</v>
      </c>
      <c r="AC72" s="120" t="n">
        <f aca="false">INDEX(Capex,1,24)+INDEX(CapInt,1,24)</f>
        <v>576.242995982404</v>
      </c>
      <c r="AD72" s="120" t="n">
        <f aca="false">INDEX(Capex,1,25)+INDEX(CapInt,1,25)</f>
        <v>686.895210397057</v>
      </c>
      <c r="AE72" s="120" t="n">
        <f aca="false">INDEX(Capex,1,26)+INDEX(CapInt,1,26)</f>
        <v>681.41742919062</v>
      </c>
      <c r="AF72" s="120" t="n">
        <f aca="false">INDEX(Capex,1,27)+INDEX(CapInt,1,27)</f>
        <v>1030.16504825937</v>
      </c>
      <c r="AG72" s="120" t="n">
        <f aca="false">INDEX(Capex,1,28)+INDEX(CapInt,1,28)</f>
        <v>1908.15515000604</v>
      </c>
      <c r="AI72" s="120" t="n">
        <f aca="false">SUMIF($F$7:$AG$7,AI$7,$F72:$AG72)</f>
        <v>807.5</v>
      </c>
      <c r="AJ72" s="120" t="n">
        <f aca="false">SUMIF($F$7:$AG$7,AJ$7,$F72:$AG72)</f>
        <v>4066.1</v>
      </c>
      <c r="AK72" s="120" t="n">
        <f aca="false">SUMIF($F$7:$AG$7,AK$7,$F72:$AG72)</f>
        <v>16913.2304604848</v>
      </c>
      <c r="AL72" s="120" t="n">
        <f aca="false">SUMIF($F$7:$AG$7,AL$7,$F72:$AG72)</f>
        <v>27707.1824497395</v>
      </c>
      <c r="AM72" s="120" t="n">
        <f aca="false">SUMIF($F$7:$AG$7,AM$7,$F72:$AG72)</f>
        <v>23937.8742737069</v>
      </c>
      <c r="AN72" s="120" t="n">
        <f aca="false">SUMIF($F$7:$AG$7,AN$7,$F72:$AG72)</f>
        <v>32314.1944463204</v>
      </c>
      <c r="AO72" s="120" t="n">
        <f aca="false">SUMIF($F$7:$AG$7,AO$7,$F72:$AG72)</f>
        <v>4306.63283785309</v>
      </c>
    </row>
    <row r="73" customFormat="false" ht="15" hidden="false" customHeight="false" outlineLevel="0" collapsed="false">
      <c r="A73" s="101" t="s">
        <v>1689</v>
      </c>
      <c r="B73" s="18" t="s">
        <v>400</v>
      </c>
      <c r="C73" s="18" t="s">
        <v>1690</v>
      </c>
      <c r="D73" s="18" t="s">
        <v>1691</v>
      </c>
      <c r="F73" s="119" t="n">
        <f aca="false">IF(F$5&lt;=LastHist,IF(F$5&gt;=9,INDEX(H_ISG,1,F$5)-INDEX(H_ISG,1,F$5-1),0),IF(F$5=LastHist+1,CIPRel1,IF(F$5=LastHist+2,CIPRel2,0))*INDEX(H_CIP,1,LastHist)+IF(F$5-(PISLag+GPULead-1)&gt;LastHist,INDEX($E$72:$AG$72,1,MAX(1,F$5-(PISLag+GPULead-1))),0))</f>
        <v>0</v>
      </c>
      <c r="G73" s="119" t="n">
        <f aca="false">IF(G$5&lt;=LastHist,IF(G$5&gt;=9,INDEX(H_ISG,1,G$5)-INDEX(H_ISG,1,G$5-1),0),IF(G$5=LastHist+1,CIPRel1,IF(G$5=LastHist+2,CIPRel2,0))*INDEX(H_CIP,1,LastHist)+IF(G$5-(PISLag+GPULead-1)&gt;LastHist,INDEX($E$72:$AG$72,1,MAX(1,G$5-(PISLag+GPULead-1))),0))</f>
        <v>0</v>
      </c>
      <c r="H73" s="119" t="n">
        <f aca="false">IF(H$5&lt;=LastHist,IF(H$5&gt;=9,INDEX(H_ISG,1,H$5)-INDEX(H_ISG,1,H$5-1),0),IF(H$5=LastHist+1,CIPRel1,IF(H$5=LastHist+2,CIPRel2,0))*INDEX(H_CIP,1,LastHist)+IF(H$5-(PISLag+GPULead-1)&gt;LastHist,INDEX($E$72:$AG$72,1,MAX(1,H$5-(PISLag+GPULead-1))),0))</f>
        <v>0</v>
      </c>
      <c r="I73" s="119" t="n">
        <f aca="false">IF(I$5&lt;=LastHist,IF(I$5&gt;=9,INDEX(H_ISG,1,I$5)-INDEX(H_ISG,1,I$5-1),0),IF(I$5=LastHist+1,CIPRel1,IF(I$5=LastHist+2,CIPRel2,0))*INDEX(H_CIP,1,LastHist)+IF(I$5-(PISLag+GPULead-1)&gt;LastHist,INDEX($E$72:$AG$72,1,MAX(1,I$5-(PISLag+GPULead-1))),0))</f>
        <v>0</v>
      </c>
      <c r="J73" s="119" t="n">
        <f aca="false">IF(J$5&lt;=LastHist,IF(J$5&gt;=9,INDEX(H_ISG,1,J$5)-INDEX(H_ISG,1,J$5-1),0),IF(J$5=LastHist+1,CIPRel1,IF(J$5=LastHist+2,CIPRel2,0))*INDEX(H_CIP,1,LastHist)+IF(J$5-(PISLag+GPULead-1)&gt;LastHist,INDEX($E$72:$AG$72,1,MAX(1,J$5-(PISLag+GPULead-1))),0))</f>
        <v>0</v>
      </c>
      <c r="K73" s="119" t="n">
        <f aca="false">IF(K$5&lt;=LastHist,IF(K$5&gt;=9,INDEX(H_ISG,1,K$5)-INDEX(H_ISG,1,K$5-1),0),IF(K$5=LastHist+1,CIPRel1,IF(K$5=LastHist+2,CIPRel2,0))*INDEX(H_CIP,1,LastHist)+IF(K$5-(PISLag+GPULead-1)&gt;LastHist,INDEX($E$72:$AG$72,1,MAX(1,K$5-(PISLag+GPULead-1))),0))</f>
        <v>0</v>
      </c>
      <c r="L73" s="119" t="n">
        <f aca="false">IF(L$5&lt;=LastHist,IF(L$5&gt;=9,INDEX(H_ISG,1,L$5)-INDEX(H_ISG,1,L$5-1),0),IF(L$5=LastHist+1,CIPRel1,IF(L$5=LastHist+2,CIPRel2,0))*INDEX(H_CIP,1,LastHist)+IF(L$5-(PISLag+GPULead-1)&gt;LastHist,INDEX($E$72:$AG$72,1,MAX(1,L$5-(PISLag+GPULead-1))),0))</f>
        <v>0</v>
      </c>
      <c r="M73" s="119" t="n">
        <f aca="false">IF(M$5&lt;=LastHist,IF(M$5&gt;=9,INDEX(H_ISG,1,M$5)-INDEX(H_ISG,1,M$5-1),0),IF(M$5=LastHist+1,CIPRel1,IF(M$5=LastHist+2,CIPRel2,0))*INDEX(H_CIP,1,LastHist)+IF(M$5-(PISLag+GPULead-1)&gt;LastHist,INDEX($E$72:$AG$72,1,MAX(1,M$5-(PISLag+GPULead-1))),0))</f>
        <v>0</v>
      </c>
      <c r="N73" s="119" t="n">
        <f aca="false">IF(N$5&lt;=LastHist,IF(N$5&gt;=9,INDEX(H_ISG,1,N$5)-INDEX(H_ISG,1,N$5-1),0),IF(N$5=LastHist+1,CIPRel1,IF(N$5=LastHist+2,CIPRel2,0))*INDEX(H_CIP,1,LastHist)+IF(N$5-(PISLag+GPULead-1)&gt;LastHist,INDEX($E$72:$AG$72,1,MAX(1,N$5-(PISLag+GPULead-1))),0))</f>
        <v>1775.8</v>
      </c>
      <c r="O73" s="119" t="n">
        <f aca="false">IF(O$5&lt;=LastHist,IF(O$5&gt;=9,INDEX(H_ISG,1,O$5)-INDEX(H_ISG,1,O$5-1),0),IF(O$5=LastHist+1,CIPRel1,IF(O$5=LastHist+2,CIPRel2,0))*INDEX(H_CIP,1,LastHist)+IF(O$5-(PISLag+GPULead-1)&gt;LastHist,INDEX($E$72:$AG$72,1,MAX(1,O$5-(PISLag+GPULead-1))),0))</f>
        <v>764.400000000001</v>
      </c>
      <c r="P73" s="120" t="n">
        <f aca="false">IF(P$5&lt;=LastHist,IF(P$5&gt;=9,INDEX(H_ISG,1,P$5)-INDEX(H_ISG,1,P$5-1),0),IF(P$5=LastHist+1,CIPRel1,IF(P$5=LastHist+2,CIPRel2,0))*INDEX(H_CIP,1,LastHist)+IF(P$5-(PISLag+GPULead-1)&gt;LastHist,INDEX($E$72:$AG$72,1,MAX(1,P$5-(PISLag+GPULead-1))),0))</f>
        <v>4701.84</v>
      </c>
      <c r="Q73" s="120" t="n">
        <f aca="false">IF(Q$5&lt;=LastHist,IF(Q$5&gt;=9,INDEX(H_ISG,1,Q$5)-INDEX(H_ISG,1,Q$5-1),0),IF(Q$5=LastHist+1,CIPRel1,IF(Q$5=LastHist+2,CIPRel2,0))*INDEX(H_CIP,1,LastHist)+IF(Q$5-(PISLag+GPULead-1)&gt;LastHist,INDEX($E$72:$AG$72,1,MAX(1,Q$5-(PISLag+GPULead-1))),0))</f>
        <v>3134.56</v>
      </c>
      <c r="R73" s="120" t="n">
        <f aca="false">IF(R$5&lt;=LastHist,IF(R$5&gt;=9,INDEX(H_ISG,1,R$5)-INDEX(H_ISG,1,R$5-1),0),IF(R$5=LastHist+1,CIPRel1,IF(R$5=LastHist+2,CIPRel2,0))*INDEX(H_CIP,1,LastHist)+IF(R$5-(PISLag+GPULead-1)&gt;LastHist,INDEX($E$72:$AG$72,1,MAX(1,R$5-(PISLag+GPULead-1))),0))</f>
        <v>5697.6</v>
      </c>
      <c r="S73" s="120" t="n">
        <f aca="false">IF(S$5&lt;=LastHist,IF(S$5&gt;=9,INDEX(H_ISG,1,S$5)-INDEX(H_ISG,1,S$5-1),0),IF(S$5=LastHist+1,CIPRel1,IF(S$5=LastHist+2,CIPRel2,0))*INDEX(H_CIP,1,LastHist)+IF(S$5-(PISLag+GPULead-1)&gt;LastHist,INDEX($E$72:$AG$72,1,MAX(1,S$5-(PISLag+GPULead-1))),0))</f>
        <v>3568.26781434151</v>
      </c>
      <c r="T73" s="120" t="n">
        <f aca="false">IF(T$5&lt;=LastHist,IF(T$5&gt;=9,INDEX(H_ISG,1,T$5)-INDEX(H_ISG,1,T$5-1),0),IF(T$5=LastHist+1,CIPRel1,IF(T$5=LastHist+2,CIPRel2,0))*INDEX(H_CIP,1,LastHist)+IF(T$5-(PISLag+GPULead-1)&gt;LastHist,INDEX($E$72:$AG$72,1,MAX(1,T$5-(PISLag+GPULead-1))),0))</f>
        <v>5158.7626461433</v>
      </c>
      <c r="U73" s="120" t="n">
        <f aca="false">IF(U$5&lt;=LastHist,IF(U$5&gt;=9,INDEX(H_ISG,1,U$5)-INDEX(H_ISG,1,U$5-1),0),IF(U$5=LastHist+1,CIPRel1,IF(U$5=LastHist+2,CIPRel2,0))*INDEX(H_CIP,1,LastHist)+IF(U$5-(PISLag+GPULead-1)&gt;LastHist,INDEX($E$72:$AG$72,1,MAX(1,U$5-(PISLag+GPULead-1))),0))</f>
        <v>5976.33075183005</v>
      </c>
      <c r="V73" s="120" t="n">
        <f aca="false">IF(V$5&lt;=LastHist,IF(V$5&gt;=9,INDEX(H_ISG,1,V$5)-INDEX(H_ISG,1,V$5-1),0),IF(V$5=LastHist+1,CIPRel1,IF(V$5=LastHist+2,CIPRel2,0))*INDEX(H_CIP,1,LastHist)+IF(V$5-(PISLag+GPULead-1)&gt;LastHist,INDEX($E$72:$AG$72,1,MAX(1,V$5-(PISLag+GPULead-1))),0))</f>
        <v>6720.27167180732</v>
      </c>
      <c r="W73" s="120" t="n">
        <f aca="false">IF(W$5&lt;=LastHist,IF(W$5&gt;=9,INDEX(H_ISG,1,W$5)-INDEX(H_ISG,1,W$5-1),0),IF(W$5=LastHist+1,CIPRel1,IF(W$5=LastHist+2,CIPRel2,0))*INDEX(H_CIP,1,LastHist)+IF(W$5-(PISLag+GPULead-1)&gt;LastHist,INDEX($E$72:$AG$72,1,MAX(1,W$5-(PISLag+GPULead-1))),0))</f>
        <v>10193.0573616903</v>
      </c>
      <c r="X73" s="120" t="n">
        <f aca="false">IF(X$5&lt;=LastHist,IF(X$5&gt;=9,INDEX(H_ISG,1,X$5)-INDEX(H_ISG,1,X$5-1),0),IF(X$5=LastHist+1,CIPRel1,IF(X$5=LastHist+2,CIPRel2,0))*INDEX(H_CIP,1,LastHist)+IF(X$5-(PISLag+GPULead-1)&gt;LastHist,INDEX($E$72:$AG$72,1,MAX(1,X$5-(PISLag+GPULead-1))),0))</f>
        <v>4817.52266441192</v>
      </c>
      <c r="Y73" s="120" t="n">
        <f aca="false">IF(Y$5&lt;=LastHist,IF(Y$5&gt;=9,INDEX(H_ISG,1,Y$5)-INDEX(H_ISG,1,Y$5-1),0),IF(Y$5=LastHist+1,CIPRel1,IF(Y$5=LastHist+2,CIPRel2,0))*INDEX(H_CIP,1,LastHist)+IF(Y$5-(PISLag+GPULead-1)&gt;LastHist,INDEX($E$72:$AG$72,1,MAX(1,Y$5-(PISLag+GPULead-1))),0))</f>
        <v>5095.21942746504</v>
      </c>
      <c r="Z73" s="120" t="n">
        <f aca="false">IF(Z$5&lt;=LastHist,IF(Z$5&gt;=9,INDEX(H_ISG,1,Z$5)-INDEX(H_ISG,1,Z$5-1),0),IF(Z$5=LastHist+1,CIPRel1,IF(Z$5=LastHist+2,CIPRel2,0))*INDEX(H_CIP,1,LastHist)+IF(Z$5-(PISLag+GPULead-1)&gt;LastHist,INDEX($E$72:$AG$72,1,MAX(1,Z$5-(PISLag+GPULead-1))),0))</f>
        <v>3709.83702423604</v>
      </c>
      <c r="AA73" s="120" t="n">
        <f aca="false">IF(AA$5&lt;=LastHist,IF(AA$5&gt;=9,INDEX(H_ISG,1,AA$5)-INDEX(H_ISG,1,AA$5-1),0),IF(AA$5=LastHist+1,CIPRel1,IF(AA$5=LastHist+2,CIPRel2,0))*INDEX(H_CIP,1,LastHist)+IF(AA$5-(PISLag+GPULead-1)&gt;LastHist,INDEX($E$72:$AG$72,1,MAX(1,AA$5-(PISLag+GPULead-1))),0))</f>
        <v>11030.0966688388</v>
      </c>
      <c r="AB73" s="120" t="n">
        <f aca="false">IF(AB$5&lt;=LastHist,IF(AB$5&gt;=9,INDEX(H_ISG,1,AB$5)-INDEX(H_ISG,1,AB$5-1),0),IF(AB$5=LastHist+1,CIPRel1,IF(AB$5=LastHist+2,CIPRel2,0))*INDEX(H_CIP,1,LastHist)+IF(AB$5-(PISLag+GPULead-1)&gt;LastHist,INDEX($E$72:$AG$72,1,MAX(1,AB$5-(PISLag+GPULead-1))),0))</f>
        <v>4102.72115316702</v>
      </c>
      <c r="AC73" s="120" t="n">
        <f aca="false">IF(AC$5&lt;=LastHist,IF(AC$5&gt;=9,INDEX(H_ISG,1,AC$5)-INDEX(H_ISG,1,AC$5-1),0),IF(AC$5=LastHist+1,CIPRel1,IF(AC$5=LastHist+2,CIPRel2,0))*INDEX(H_CIP,1,LastHist)+IF(AC$5-(PISLag+GPULead-1)&gt;LastHist,INDEX($E$72:$AG$72,1,MAX(1,AC$5-(PISLag+GPULead-1))),0))</f>
        <v>10968.1668217389</v>
      </c>
      <c r="AD73" s="120" t="n">
        <f aca="false">IF(AD$5&lt;=LastHist,IF(AD$5&gt;=9,INDEX(H_ISG,1,AD$5)-INDEX(H_ISG,1,AD$5-1),0),IF(AD$5=LastHist+1,CIPRel1,IF(AD$5=LastHist+2,CIPRel2,0))*INDEX(H_CIP,1,LastHist)+IF(AD$5-(PISLag+GPULead-1)&gt;LastHist,INDEX($E$72:$AG$72,1,MAX(1,AD$5-(PISLag+GPULead-1))),0))</f>
        <v>5580.34138980814</v>
      </c>
      <c r="AE73" s="120" t="n">
        <f aca="false">IF(AE$5&lt;=LastHist,IF(AE$5&gt;=9,INDEX(H_ISG,1,AE$5)-INDEX(H_ISG,1,AE$5-1),0),IF(AE$5=LastHist+1,CIPRel1,IF(AE$5=LastHist+2,CIPRel2,0))*INDEX(H_CIP,1,LastHist)+IF(AE$5-(PISLag+GPULead-1)&gt;LastHist,INDEX($E$72:$AG$72,1,MAX(1,AE$5-(PISLag+GPULead-1))),0))</f>
        <v>15189.443238791</v>
      </c>
      <c r="AF73" s="120" t="n">
        <f aca="false">IF(AF$5&lt;=LastHist,IF(AF$5&gt;=9,INDEX(H_ISG,1,AF$5)-INDEX(H_ISG,1,AF$5-1),0),IF(AF$5=LastHist+1,CIPRel1,IF(AF$5=LastHist+2,CIPRel2,0))*INDEX(H_CIP,1,LastHist)+IF(AF$5-(PISLag+GPULead-1)&gt;LastHist,INDEX($E$72:$AG$72,1,MAX(1,AF$5-(PISLag+GPULead-1))),0))</f>
        <v>576.242995982404</v>
      </c>
      <c r="AG73" s="120" t="n">
        <f aca="false">IF(AG$5&lt;=LastHist,IF(AG$5&gt;=9,INDEX(H_ISG,1,AG$5)-INDEX(H_ISG,1,AG$5-1),0),IF(AG$5=LastHist+1,CIPRel1,IF(AG$5=LastHist+2,CIPRel2,0))*INDEX(H_CIP,1,LastHist)+IF(AG$5-(PISLag+GPULead-1)&gt;LastHist,INDEX($E$72:$AG$72,1,MAX(1,AG$5-(PISLag+GPULead-1))),0))</f>
        <v>686.895210397057</v>
      </c>
      <c r="AI73" s="120" t="n">
        <f aca="false">SUMIF($F$7:$AG$7,AI$7,$F73:$AG73)</f>
        <v>0</v>
      </c>
      <c r="AJ73" s="120" t="n">
        <f aca="false">SUMIF($F$7:$AG$7,AJ$7,$F73:$AG73)</f>
        <v>0</v>
      </c>
      <c r="AK73" s="120" t="n">
        <f aca="false">SUMIF($F$7:$AG$7,AK$7,$F73:$AG73)</f>
        <v>10376.6</v>
      </c>
      <c r="AL73" s="120" t="n">
        <f aca="false">SUMIF($F$7:$AG$7,AL$7,$F73:$AG73)</f>
        <v>20400.9612123149</v>
      </c>
      <c r="AM73" s="120" t="n">
        <f aca="false">SUMIF($F$7:$AG$7,AM$7,$F73:$AG73)</f>
        <v>26826.0711253745</v>
      </c>
      <c r="AN73" s="120" t="n">
        <f aca="false">SUMIF($F$7:$AG$7,AN$7,$F73:$AG73)</f>
        <v>29810.8216679809</v>
      </c>
      <c r="AO73" s="120" t="n">
        <f aca="false">SUMIF($F$7:$AG$7,AO$7,$F73:$AG73)</f>
        <v>22032.9228349786</v>
      </c>
    </row>
    <row r="74" customFormat="false" ht="15" hidden="false" customHeight="false" outlineLevel="0" collapsed="false">
      <c r="A74" s="101" t="s">
        <v>1692</v>
      </c>
      <c r="B74" s="18" t="s">
        <v>400</v>
      </c>
      <c r="C74" s="18" t="s">
        <v>1690</v>
      </c>
      <c r="D74" s="18" t="s">
        <v>1693</v>
      </c>
      <c r="F74" s="119" t="n">
        <f aca="false">IF(F$5&lt;=LastHist,INDEX(H_CIP,1,F$5),E74+F72-F73)</f>
        <v>0</v>
      </c>
      <c r="G74" s="119" t="n">
        <f aca="false">IF(G$5&lt;=LastHist,INDEX(H_CIP,1,G$5),F74+G72-G73)</f>
        <v>0</v>
      </c>
      <c r="H74" s="119" t="n">
        <f aca="false">IF(H$5&lt;=LastHist,INDEX(H_CIP,1,H$5),G74+H72-H73)</f>
        <v>0</v>
      </c>
      <c r="I74" s="119" t="n">
        <f aca="false">IF(I$5&lt;=LastHist,INDEX(H_CIP,1,I$5),H74+I72-I73)</f>
        <v>0</v>
      </c>
      <c r="J74" s="119" t="n">
        <f aca="false">IF(J$5&lt;=LastHist,INDEX(H_CIP,1,J$5),I74+J72-J73)</f>
        <v>0</v>
      </c>
      <c r="K74" s="119" t="n">
        <f aca="false">IF(K$5&lt;=LastHist,INDEX(H_CIP,1,K$5),J74+K72-K73)</f>
        <v>0</v>
      </c>
      <c r="L74" s="119" t="n">
        <f aca="false">IF(L$5&lt;=LastHist,INDEX(H_CIP,1,L$5),K74+L72-L73)</f>
        <v>0</v>
      </c>
      <c r="M74" s="119" t="n">
        <f aca="false">IF(M$5&lt;=LastHist,INDEX(H_CIP,1,M$5),L74+M72-M73)</f>
        <v>2417.4</v>
      </c>
      <c r="N74" s="119" t="n">
        <f aca="false">IF(N$5&lt;=LastHist,INDEX(H_CIP,1,N$5),M74+N72-N73)</f>
        <v>2427.9</v>
      </c>
      <c r="O74" s="119" t="n">
        <f aca="false">IF(O$5&lt;=LastHist,INDEX(H_CIP,1,O$5),N74+O72-O73)</f>
        <v>7836.4</v>
      </c>
      <c r="P74" s="120" t="n">
        <f aca="false">IF(P$5&lt;=LastHist,INDEX(H_CIP,1,P$5),O74+P72-P73)</f>
        <v>6702.82781434151</v>
      </c>
      <c r="Q74" s="120" t="n">
        <f aca="false">IF(Q$5&lt;=LastHist,INDEX(H_CIP,1,Q$5),P74+Q72-Q73)</f>
        <v>8727.03046048481</v>
      </c>
      <c r="R74" s="120" t="n">
        <f aca="false">IF(R$5&lt;=LastHist,INDEX(H_CIP,1,R$5),Q74+R72-R73)</f>
        <v>9005.76121231486</v>
      </c>
      <c r="S74" s="120" t="n">
        <f aca="false">IF(S$5&lt;=LastHist,INDEX(H_CIP,1,S$5),R74+S72-S73)</f>
        <v>12157.7650697807</v>
      </c>
      <c r="T74" s="120" t="n">
        <f aca="false">IF(T$5&lt;=LastHist,INDEX(H_CIP,1,T$5),S74+T72-T73)</f>
        <v>17192.0597853276</v>
      </c>
      <c r="U74" s="120" t="n">
        <f aca="false">IF(U$5&lt;=LastHist,INDEX(H_CIP,1,U$5),T74+U72-U73)</f>
        <v>16033.2516979095</v>
      </c>
      <c r="V74" s="120" t="n">
        <f aca="false">IF(V$5&lt;=LastHist,INDEX(H_CIP,1,V$5),U74+V72-V73)</f>
        <v>14408.1994535672</v>
      </c>
      <c r="W74" s="120" t="n">
        <f aca="false">IF(W$5&lt;=LastHist,INDEX(H_CIP,1,W$5),V74+W72-W73)</f>
        <v>7924.97911611299</v>
      </c>
      <c r="X74" s="120" t="n">
        <f aca="false">IF(X$5&lt;=LastHist,INDEX(H_CIP,1,X$5),W74+X72-X73)</f>
        <v>14137.5531205399</v>
      </c>
      <c r="Y74" s="120" t="n">
        <f aca="false">IF(Y$5&lt;=LastHist,INDEX(H_CIP,1,Y$5),X74+Y72-Y73)</f>
        <v>13145.0548462419</v>
      </c>
      <c r="Z74" s="120" t="n">
        <f aca="false">IF(Z$5&lt;=LastHist,INDEX(H_CIP,1,Z$5),Y74+Z72-Z73)</f>
        <v>20403.3846437448</v>
      </c>
      <c r="AA74" s="120" t="n">
        <f aca="false">IF(AA$5&lt;=LastHist,INDEX(H_CIP,1,AA$5),Z74+AA72-AA73)</f>
        <v>14953.6293647141</v>
      </c>
      <c r="AB74" s="120" t="n">
        <f aca="false">IF(AB$5&lt;=LastHist,INDEX(H_CIP,1,AB$5),AA74+AB72-AB73)</f>
        <v>26040.351450338</v>
      </c>
      <c r="AC74" s="120" t="n">
        <f aca="false">IF(AC$5&lt;=LastHist,INDEX(H_CIP,1,AC$5),AB74+AC72-AC73)</f>
        <v>15648.4276245815</v>
      </c>
      <c r="AD74" s="120" t="n">
        <f aca="false">IF(AD$5&lt;=LastHist,INDEX(H_CIP,1,AD$5),AC74+AD72-AD73)</f>
        <v>10754.9814451704</v>
      </c>
      <c r="AE74" s="120" t="n">
        <f aca="false">IF(AE$5&lt;=LastHist,INDEX(H_CIP,1,AE$5),AD74+AE72-AE73)</f>
        <v>-3753.04436442992</v>
      </c>
      <c r="AF74" s="120" t="n">
        <f aca="false">IF(AF$5&lt;=LastHist,INDEX(H_CIP,1,AF$5),AE74+AF72-AF73)</f>
        <v>-3299.12231215295</v>
      </c>
      <c r="AG74" s="120" t="n">
        <f aca="false">IF(AG$5&lt;=LastHist,INDEX(H_CIP,1,AG$5),AF74+AG72-AG73)</f>
        <v>-2077.86237254396</v>
      </c>
      <c r="AI74" s="120" t="n">
        <f aca="false">INDEX($F74:$AG74,1,MATCH(AI$7,$F$7:$AG$7,1))</f>
        <v>0</v>
      </c>
      <c r="AJ74" s="120" t="n">
        <f aca="false">INDEX($F74:$AG74,1,MATCH(AJ$7,$F$7:$AG$7,1))</f>
        <v>2417.4</v>
      </c>
      <c r="AK74" s="120" t="n">
        <f aca="false">INDEX($F74:$AG74,1,MATCH(AK$7,$F$7:$AG$7,1))</f>
        <v>8727.03046048481</v>
      </c>
      <c r="AL74" s="120" t="n">
        <f aca="false">INDEX($F74:$AG74,1,MATCH(AL$7,$F$7:$AG$7,1))</f>
        <v>16033.2516979095</v>
      </c>
      <c r="AM74" s="120" t="n">
        <f aca="false">INDEX($F74:$AG74,1,MATCH(AM$7,$F$7:$AG$7,1))</f>
        <v>13145.0548462419</v>
      </c>
      <c r="AN74" s="120" t="n">
        <f aca="false">INDEX($F74:$AG74,1,MATCH(AN$7,$F$7:$AG$7,1))</f>
        <v>15648.4276245815</v>
      </c>
      <c r="AO74" s="120" t="n">
        <f aca="false">INDEX($F74:$AG74,1,MATCH(AO$7,$F$7:$AG$7,1))</f>
        <v>-2077.86237254396</v>
      </c>
    </row>
    <row r="75" customFormat="false" ht="15" hidden="false" customHeight="false" outlineLevel="0" collapsed="false">
      <c r="A75" s="101" t="s">
        <v>1694</v>
      </c>
      <c r="B75" s="18" t="s">
        <v>400</v>
      </c>
      <c r="C75" s="18" t="s">
        <v>1690</v>
      </c>
      <c r="D75" s="18" t="s">
        <v>1695</v>
      </c>
      <c r="F75" s="119" t="n">
        <f aca="false">IF(F$5&lt;=LastHist,INDEX(H_ISG,1,F$5),E75+F73)</f>
        <v>0</v>
      </c>
      <c r="G75" s="119" t="n">
        <f aca="false">IF(G$5&lt;=LastHist,INDEX(H_ISG,1,G$5),F75+G73)</f>
        <v>0</v>
      </c>
      <c r="H75" s="119" t="n">
        <f aca="false">IF(H$5&lt;=LastHist,INDEX(H_ISG,1,H$5),G75+H73)</f>
        <v>0</v>
      </c>
      <c r="I75" s="119" t="n">
        <f aca="false">IF(I$5&lt;=LastHist,INDEX(H_ISG,1,I$5),H75+I73)</f>
        <v>0</v>
      </c>
      <c r="J75" s="119" t="n">
        <f aca="false">IF(J$5&lt;=LastHist,INDEX(H_ISG,1,J$5),I75+J73)</f>
        <v>0</v>
      </c>
      <c r="K75" s="119" t="n">
        <f aca="false">IF(K$5&lt;=LastHist,INDEX(H_ISG,1,K$5),J75+K73)</f>
        <v>0</v>
      </c>
      <c r="L75" s="119" t="n">
        <f aca="false">IF(L$5&lt;=LastHist,INDEX(H_ISG,1,L$5),K75+L73)</f>
        <v>0</v>
      </c>
      <c r="M75" s="119" t="n">
        <f aca="false">IF(M$5&lt;=LastHist,INDEX(H_ISG,1,M$5),L75+M73)</f>
        <v>3772.9</v>
      </c>
      <c r="N75" s="119" t="n">
        <f aca="false">IF(N$5&lt;=LastHist,INDEX(H_ISG,1,N$5),M75+N73)</f>
        <v>5548.7</v>
      </c>
      <c r="O75" s="119" t="n">
        <f aca="false">IF(O$5&lt;=LastHist,INDEX(H_ISG,1,O$5),N75+O73)</f>
        <v>6313.1</v>
      </c>
      <c r="P75" s="120" t="n">
        <f aca="false">IF(P$5&lt;=LastHist,INDEX(H_ISG,1,P$5),O75+P73)</f>
        <v>11014.94</v>
      </c>
      <c r="Q75" s="120" t="n">
        <f aca="false">IF(Q$5&lt;=LastHist,INDEX(H_ISG,1,Q$5),P75+Q73)</f>
        <v>14149.5</v>
      </c>
      <c r="R75" s="120" t="n">
        <f aca="false">IF(R$5&lt;=LastHist,INDEX(H_ISG,1,R$5),Q75+R73)</f>
        <v>19847.1</v>
      </c>
      <c r="S75" s="120" t="n">
        <f aca="false">IF(S$5&lt;=LastHist,INDEX(H_ISG,1,S$5),R75+S73)</f>
        <v>23415.3678143415</v>
      </c>
      <c r="T75" s="120" t="n">
        <f aca="false">IF(T$5&lt;=LastHist,INDEX(H_ISG,1,T$5),S75+T73)</f>
        <v>28574.1304604848</v>
      </c>
      <c r="U75" s="120" t="n">
        <f aca="false">IF(U$5&lt;=LastHist,INDEX(H_ISG,1,U$5),T75+U73)</f>
        <v>34550.4612123149</v>
      </c>
      <c r="V75" s="120" t="n">
        <f aca="false">IF(V$5&lt;=LastHist,INDEX(H_ISG,1,V$5),U75+V73)</f>
        <v>41270.7328841222</v>
      </c>
      <c r="W75" s="120" t="n">
        <f aca="false">IF(W$5&lt;=LastHist,INDEX(H_ISG,1,W$5),V75+W73)</f>
        <v>51463.7902458124</v>
      </c>
      <c r="X75" s="120" t="n">
        <f aca="false">IF(X$5&lt;=LastHist,INDEX(H_ISG,1,X$5),W75+X73)</f>
        <v>56281.3129102244</v>
      </c>
      <c r="Y75" s="120" t="n">
        <f aca="false">IF(Y$5&lt;=LastHist,INDEX(H_ISG,1,Y$5),X75+Y73)</f>
        <v>61376.5323376894</v>
      </c>
      <c r="Z75" s="120" t="n">
        <f aca="false">IF(Z$5&lt;=LastHist,INDEX(H_ISG,1,Z$5),Y75+Z73)</f>
        <v>65086.3693619254</v>
      </c>
      <c r="AA75" s="120" t="n">
        <f aca="false">IF(AA$5&lt;=LastHist,INDEX(H_ISG,1,AA$5),Z75+AA73)</f>
        <v>76116.4660307643</v>
      </c>
      <c r="AB75" s="120" t="n">
        <f aca="false">IF(AB$5&lt;=LastHist,INDEX(H_ISG,1,AB$5),AA75+AB73)</f>
        <v>80219.1871839313</v>
      </c>
      <c r="AC75" s="120" t="n">
        <f aca="false">IF(AC$5&lt;=LastHist,INDEX(H_ISG,1,AC$5),AB75+AC73)</f>
        <v>91187.3540056703</v>
      </c>
      <c r="AD75" s="120" t="n">
        <f aca="false">IF(AD$5&lt;=LastHist,INDEX(H_ISG,1,AD$5),AC75+AD73)</f>
        <v>96767.6953954784</v>
      </c>
      <c r="AE75" s="120" t="n">
        <f aca="false">IF(AE$5&lt;=LastHist,INDEX(H_ISG,1,AE$5),AD75+AE73)</f>
        <v>111957.138634269</v>
      </c>
      <c r="AF75" s="120" t="n">
        <f aca="false">IF(AF$5&lt;=LastHist,INDEX(H_ISG,1,AF$5),AE75+AF73)</f>
        <v>112533.381630252</v>
      </c>
      <c r="AG75" s="120" t="n">
        <f aca="false">IF(AG$5&lt;=LastHist,INDEX(H_ISG,1,AG$5),AF75+AG73)</f>
        <v>113220.276840649</v>
      </c>
      <c r="AI75" s="120" t="n">
        <f aca="false">INDEX($F75:$AG75,1,MATCH(AI$7,$F$7:$AG$7,1))</f>
        <v>0</v>
      </c>
      <c r="AJ75" s="120" t="n">
        <f aca="false">INDEX($F75:$AG75,1,MATCH(AJ$7,$F$7:$AG$7,1))</f>
        <v>3772.9</v>
      </c>
      <c r="AK75" s="120" t="n">
        <f aca="false">INDEX($F75:$AG75,1,MATCH(AK$7,$F$7:$AG$7,1))</f>
        <v>14149.5</v>
      </c>
      <c r="AL75" s="120" t="n">
        <f aca="false">INDEX($F75:$AG75,1,MATCH(AL$7,$F$7:$AG$7,1))</f>
        <v>34550.4612123149</v>
      </c>
      <c r="AM75" s="120" t="n">
        <f aca="false">INDEX($F75:$AG75,1,MATCH(AM$7,$F$7:$AG$7,1))</f>
        <v>61376.5323376894</v>
      </c>
      <c r="AN75" s="120" t="n">
        <f aca="false">INDEX($F75:$AG75,1,MATCH(AN$7,$F$7:$AG$7,1))</f>
        <v>91187.3540056703</v>
      </c>
      <c r="AO75" s="120" t="n">
        <f aca="false">INDEX($F75:$AG75,1,MATCH(AO$7,$F$7:$AG$7,1))</f>
        <v>113220.276840649</v>
      </c>
    </row>
    <row r="76" customFormat="false" ht="15" hidden="false" customHeight="false" outlineLevel="0" collapsed="false">
      <c r="A76" s="101" t="s">
        <v>1696</v>
      </c>
      <c r="B76" s="18" t="s">
        <v>400</v>
      </c>
      <c r="C76" s="18" t="s">
        <v>1690</v>
      </c>
      <c r="D76" s="18" t="s">
        <v>1697</v>
      </c>
      <c r="F76" s="119" t="n">
        <f aca="false">IF(F$5&lt;=LastHist,INDEX(H_PPDep,1,F$5),F65-OtherDA)</f>
        <v>8.9</v>
      </c>
      <c r="G76" s="119" t="n">
        <f aca="false">IF(G$5&lt;=LastHist,INDEX(H_PPDep,1,G$5),G65-OtherDA)</f>
        <v>11.4</v>
      </c>
      <c r="H76" s="119" t="n">
        <f aca="false">IF(H$5&lt;=LastHist,INDEX(H_PPDep,1,H$5),H65-OtherDA)</f>
        <v>23.5</v>
      </c>
      <c r="I76" s="119" t="n">
        <f aca="false">IF(I$5&lt;=LastHist,INDEX(H_PPDep,1,I$5),I65-OtherDA)</f>
        <v>33.3</v>
      </c>
      <c r="J76" s="119" t="n">
        <f aca="false">IF(J$5&lt;=LastHist,INDEX(H_PPDep,1,J$5),J65-OtherDA)</f>
        <v>49.1</v>
      </c>
      <c r="K76" s="119" t="n">
        <f aca="false">IF(K$5&lt;=LastHist,INDEX(H_PPDep,1,K$5),K65-OtherDA)</f>
        <v>75.2</v>
      </c>
      <c r="L76" s="119" t="n">
        <f aca="false">IF(L$5&lt;=LastHist,INDEX(H_PPDep,1,L$5),L65-OtherDA)</f>
        <v>99</v>
      </c>
      <c r="M76" s="119" t="n">
        <f aca="false">IF(M$5&lt;=LastHist,INDEX(H_PPDep,1,M$5),M65-OtherDA)</f>
        <v>180.7</v>
      </c>
      <c r="N76" s="119" t="n">
        <f aca="false">IF(N$5&lt;=LastHist,INDEX(H_PPDep,1,N$5),N65-OtherDA)</f>
        <v>208.8</v>
      </c>
      <c r="O76" s="119" t="n">
        <f aca="false">IF(O$5&lt;=LastHist,INDEX(H_PPDep,1,O$5),O65-OtherDA)</f>
        <v>253.8</v>
      </c>
      <c r="P76" s="120" t="n">
        <f aca="false">IF(P$5&lt;=LastHist,INDEX(H_PPDep,1,P$5),P65-OtherDA)</f>
        <v>582.0866</v>
      </c>
      <c r="Q76" s="120" t="n">
        <f aca="false">IF(Q$5&lt;=LastHist,INDEX(H_PPDep,1,Q$5),Q65-OtherDA)</f>
        <v>586.164990717076</v>
      </c>
      <c r="R76" s="120" t="n">
        <f aca="false">IF(R$5&lt;=LastHist,INDEX(H_PPDep,1,R$5),R65-OtherDA)</f>
        <v>761.338123024241</v>
      </c>
      <c r="S76" s="120" t="n">
        <f aca="false">IF(S$5&lt;=LastHist,INDEX(H_PPDep,1,S$5),S65-OtherDA)</f>
        <v>1011.41966061574</v>
      </c>
      <c r="T76" s="120" t="n">
        <f aca="false">IF(T$5&lt;=LastHist,INDEX(H_PPDep,1,T$5),T65-OtherDA)</f>
        <v>1285.73824420611</v>
      </c>
      <c r="U76" s="120" t="n">
        <f aca="false">IF(U$5&lt;=LastHist,INDEX(H_PPDep,1,U$5),U65-OtherDA)</f>
        <v>1568.32111229062</v>
      </c>
      <c r="V76" s="120" t="n">
        <f aca="false">IF(V$5&lt;=LastHist,INDEX(H_PPDep,1,V$5),V65-OtherDA)</f>
        <v>2051.59724551122</v>
      </c>
      <c r="W76" s="120" t="n">
        <f aca="false">IF(W$5&lt;=LastHist,INDEX(H_PPDep,1,W$5),W65-OtherDA)</f>
        <v>2240.80821688447</v>
      </c>
      <c r="X76" s="120" t="n">
        <f aca="false">IF(X$5&lt;=LastHist,INDEX(H_PPDep,1,X$5),X65-OtherDA)</f>
        <v>2496.45006809627</v>
      </c>
      <c r="Y76" s="120" t="n">
        <f aca="false">IF(Y$5&lt;=LastHist,INDEX(H_PPDep,1,Y$5),Y65-OtherDA)</f>
        <v>2588.05490153821</v>
      </c>
      <c r="Z76" s="120" t="n">
        <f aca="false">IF(Z$5&lt;=LastHist,INDEX(H_PPDep,1,Z$5),Z65-OtherDA)</f>
        <v>3139.97095919656</v>
      </c>
      <c r="AA76" s="120" t="n">
        <f aca="false">IF(AA$5&lt;=LastHist,INDEX(H_PPDep,1,AA$5),AA65-OtherDA)</f>
        <v>3225.37930028351</v>
      </c>
      <c r="AB76" s="120" t="n">
        <f aca="false">IF(AB$5&lt;=LastHist,INDEX(H_PPDep,1,AB$5),AB65-OtherDA)</f>
        <v>3769.34636977392</v>
      </c>
      <c r="AC76" s="120" t="n">
        <f aca="false">IF(AC$5&lt;=LastHist,INDEX(H_PPDep,1,AC$5),AC65-OtherDA)</f>
        <v>3885.97253171347</v>
      </c>
      <c r="AD76" s="120" t="n">
        <f aca="false">IF(AD$5&lt;=LastHist,INDEX(H_PPDep,1,AD$5),AD65-OtherDA)</f>
        <v>4641.03068151259</v>
      </c>
      <c r="AE76" s="120" t="n">
        <f aca="false">IF(AE$5&lt;=LastHist,INDEX(H_PPDep,1,AE$5),AE65-OtherDA)</f>
        <v>4653.61544203244</v>
      </c>
      <c r="AF76" s="120" t="n">
        <f aca="false">IF(AF$5&lt;=LastHist,INDEX(H_PPDep,1,AF$5),AF65-OtherDA)</f>
        <v>4667.26231349197</v>
      </c>
      <c r="AG76" s="120" t="n">
        <f aca="false">IF(AG$5&lt;=LastHist,INDEX(H_PPDep,1,AG$5),AG65-OtherDA)</f>
        <v>4680.55056590494</v>
      </c>
      <c r="AI76" s="120" t="n">
        <f aca="false">SUMIF($F$7:$AG$7,AI$7,$F76:$AG76)</f>
        <v>77.1</v>
      </c>
      <c r="AJ76" s="120" t="n">
        <f aca="false">SUMIF($F$7:$AG$7,AJ$7,$F76:$AG76)</f>
        <v>404</v>
      </c>
      <c r="AK76" s="120" t="n">
        <f aca="false">SUMIF($F$7:$AG$7,AK$7,$F76:$AG76)</f>
        <v>1630.85159071708</v>
      </c>
      <c r="AL76" s="120" t="n">
        <f aca="false">SUMIF($F$7:$AG$7,AL$7,$F76:$AG76)</f>
        <v>4626.81714013671</v>
      </c>
      <c r="AM76" s="120" t="n">
        <f aca="false">SUMIF($F$7:$AG$7,AM$7,$F76:$AG76)</f>
        <v>9376.91043203017</v>
      </c>
      <c r="AN76" s="120" t="n">
        <f aca="false">SUMIF($F$7:$AG$7,AN$7,$F76:$AG76)</f>
        <v>14020.6691609675</v>
      </c>
      <c r="AO76" s="120" t="n">
        <f aca="false">SUMIF($F$7:$AG$7,AO$7,$F76:$AG76)</f>
        <v>18642.4590029419</v>
      </c>
    </row>
    <row r="77" customFormat="false" ht="15" hidden="false" customHeight="false" outlineLevel="0" collapsed="false">
      <c r="A77" s="101" t="s">
        <v>1698</v>
      </c>
      <c r="B77" s="18" t="s">
        <v>400</v>
      </c>
      <c r="C77" s="18" t="s">
        <v>1690</v>
      </c>
      <c r="D77" s="18" t="s">
        <v>1699</v>
      </c>
      <c r="F77" s="119" t="n">
        <f aca="false">IF(F$5&lt;=LastHist,F76+INDEX(H_DAex,1,F$5)-INDEX(H_DA,1,F$5),F76+F39*(LQ_H/16-1)+F44*(LQ_B/16-1)+F49*(LQ_N/16-1))</f>
        <v>8.9</v>
      </c>
      <c r="G77" s="119" t="n">
        <f aca="false">IF(G$5&lt;=LastHist,G76+INDEX(H_DAex,1,G$5)-INDEX(H_DA,1,G$5),G76+G39*(LQ_H/16-1)+G44*(LQ_B/16-1)+G49*(LQ_N/16-1))</f>
        <v>11.4</v>
      </c>
      <c r="H77" s="119" t="n">
        <f aca="false">IF(H$5&lt;=LastHist,H76+INDEX(H_DAex,1,H$5)-INDEX(H_DA,1,H$5),H76+H39*(LQ_H/16-1)+H44*(LQ_B/16-1)+H49*(LQ_N/16-1))</f>
        <v>23.5</v>
      </c>
      <c r="I77" s="119" t="n">
        <f aca="false">IF(I$5&lt;=LastHist,I76+INDEX(H_DAex,1,I$5)-INDEX(H_DA,1,I$5),I76+I39*(LQ_H/16-1)+I44*(LQ_B/16-1)+I49*(LQ_N/16-1))</f>
        <v>33.3</v>
      </c>
      <c r="J77" s="119" t="n">
        <f aca="false">IF(J$5&lt;=LastHist,J76+INDEX(H_DAex,1,J$5)-INDEX(H_DA,1,J$5),J76+J39*(LQ_H/16-1)+J44*(LQ_B/16-1)+J49*(LQ_N/16-1))</f>
        <v>49.1</v>
      </c>
      <c r="K77" s="119" t="n">
        <f aca="false">IF(K$5&lt;=LastHist,K76+INDEX(H_DAex,1,K$5)-INDEX(H_DA,1,K$5),K76+K39*(LQ_H/16-1)+K44*(LQ_B/16-1)+K49*(LQ_N/16-1))</f>
        <v>75.2</v>
      </c>
      <c r="L77" s="119" t="n">
        <f aca="false">IF(L$5&lt;=LastHist,L76+INDEX(H_DAex,1,L$5)-INDEX(H_DA,1,L$5),L76+L39*(LQ_H/16-1)+L44*(LQ_B/16-1)+L49*(LQ_N/16-1))</f>
        <v>99</v>
      </c>
      <c r="M77" s="119" t="n">
        <f aca="false">IF(M$5&lt;=LastHist,M76+INDEX(H_DAex,1,M$5)-INDEX(H_DA,1,M$5),M76+M39*(LQ_H/16-1)+M44*(LQ_B/16-1)+M49*(LQ_N/16-1))</f>
        <v>180.7</v>
      </c>
      <c r="N77" s="119" t="n">
        <f aca="false">IF(N$5&lt;=LastHist,N76+INDEX(H_DAex,1,N$5)-INDEX(H_DA,1,N$5),N76+N39*(LQ_H/16-1)+N44*(LQ_B/16-1)+N49*(LQ_N/16-1))</f>
        <v>251.9</v>
      </c>
      <c r="O77" s="119" t="n">
        <f aca="false">IF(O$5&lt;=LastHist,O76+INDEX(H_DAex,1,O$5)-INDEX(H_DA,1,O$5),O76+O39*(LQ_H/16-1)+O44*(LQ_B/16-1)+O49*(LQ_N/16-1))</f>
        <v>296.8</v>
      </c>
      <c r="P77" s="120" t="n">
        <f aca="false">IF(P$5&lt;=LastHist,P76+INDEX(H_DAex,1,P$5)-INDEX(H_DA,1,P$5),P76+P39*(LQ_H/16-1)+P44*(LQ_B/16-1)+P49*(LQ_N/16-1))</f>
        <v>713.9056</v>
      </c>
      <c r="Q77" s="120" t="n">
        <f aca="false">IF(Q$5&lt;=LastHist,Q76+INDEX(H_DAex,1,Q$5)-INDEX(H_DA,1,Q$5),Q76+Q39*(LQ_H/16-1)+Q44*(LQ_B/16-1)+Q49*(LQ_N/16-1))</f>
        <v>717.983990717076</v>
      </c>
      <c r="R77" s="120" t="n">
        <f aca="false">IF(R$5&lt;=LastHist,R76+INDEX(H_DAex,1,R$5)-INDEX(H_DA,1,R$5),R76+R39*(LQ_H/16-1)+R44*(LQ_B/16-1)+R49*(LQ_N/16-1))</f>
        <v>935.334623024241</v>
      </c>
      <c r="S77" s="120" t="n">
        <f aca="false">IF(S$5&lt;=LastHist,S76+INDEX(H_DAex,1,S$5)-INDEX(H_DA,1,S$5),S76+S39*(LQ_H/16-1)+S44*(LQ_B/16-1)+S49*(LQ_N/16-1))</f>
        <v>1245.47241061574</v>
      </c>
      <c r="T77" s="120" t="n">
        <f aca="false">IF(T$5&lt;=LastHist,T76+INDEX(H_DAex,1,T$5)-INDEX(H_DA,1,T$5),T76+T39*(LQ_H/16-1)+T44*(LQ_B/16-1)+T49*(LQ_N/16-1))</f>
        <v>1582.97474420611</v>
      </c>
      <c r="U77" s="120" t="n">
        <f aca="false">IF(U$5&lt;=LastHist,U76+INDEX(H_DAex,1,U$5)-INDEX(H_DA,1,U$5),U76+U39*(LQ_H/16-1)+U44*(LQ_B/16-1)+U49*(LQ_N/16-1))</f>
        <v>1925.82761229062</v>
      </c>
      <c r="V77" s="120" t="n">
        <f aca="false">IF(V$5&lt;=LastHist,V76+INDEX(H_DAex,1,V$5)-INDEX(H_DA,1,V$5),V76+V39*(LQ_H/16-1)+V44*(LQ_B/16-1)+V49*(LQ_N/16-1))</f>
        <v>2523.89124551122</v>
      </c>
      <c r="W77" s="120" t="n">
        <f aca="false">IF(W$5&lt;=LastHist,W76+INDEX(H_DAex,1,W$5)-INDEX(H_DA,1,W$5),W76+W39*(LQ_H/16-1)+W44*(LQ_B/16-1)+W49*(LQ_N/16-1))</f>
        <v>2749.85221688447</v>
      </c>
      <c r="X77" s="120" t="n">
        <f aca="false">IF(X$5&lt;=LastHist,X76+INDEX(H_DAex,1,X$5)-INDEX(H_DA,1,X$5),X76+X39*(LQ_H/16-1)+X44*(LQ_B/16-1)+X49*(LQ_N/16-1))</f>
        <v>3067.40656809627</v>
      </c>
      <c r="Y77" s="120" t="n">
        <f aca="false">IF(Y$5&lt;=LastHist,Y76+INDEX(H_DAex,1,Y$5)-INDEX(H_DA,1,Y$5),Y76+Y39*(LQ_H/16-1)+Y44*(LQ_B/16-1)+Y49*(LQ_N/16-1))</f>
        <v>3164.01140153821</v>
      </c>
      <c r="Z77" s="120" t="n">
        <f aca="false">IF(Z$5&lt;=LastHist,Z76+INDEX(H_DAex,1,Z$5)-INDEX(H_DA,1,Z$5),Z76+Z39*(LQ_H/16-1)+Z44*(LQ_B/16-1)+Z49*(LQ_N/16-1))</f>
        <v>3849.87245919657</v>
      </c>
      <c r="AA77" s="120" t="n">
        <f aca="false">IF(AA$5&lt;=LastHist,AA76+INDEX(H_DAex,1,AA$5)-INDEX(H_DA,1,AA$5),AA76+AA39*(LQ_H/16-1)+AA44*(LQ_B/16-1)+AA49*(LQ_N/16-1))</f>
        <v>3933.98080028351</v>
      </c>
      <c r="AB77" s="120" t="n">
        <f aca="false">IF(AB$5&lt;=LastHist,AB76+INDEX(H_DAex,1,AB$5)-INDEX(H_DA,1,AB$5),AB76+AB39*(LQ_H/16-1)+AB44*(LQ_B/16-1)+AB49*(LQ_N/16-1))</f>
        <v>4609.99786977392</v>
      </c>
      <c r="AC77" s="120" t="n">
        <f aca="false">IF(AC$5&lt;=LastHist,AC76+INDEX(H_DAex,1,AC$5)-INDEX(H_DA,1,AC$5),AC76+AC39*(LQ_H/16-1)+AC44*(LQ_B/16-1)+AC49*(LQ_N/16-1))</f>
        <v>4725.32503171347</v>
      </c>
      <c r="AD77" s="120" t="n">
        <f aca="false">IF(AD$5&lt;=LastHist,AD76+INDEX(H_DAex,1,AD$5)-INDEX(H_DA,1,AD$5),AD76+AD39*(LQ_H/16-1)+AD44*(LQ_B/16-1)+AD49*(LQ_N/16-1))</f>
        <v>5661.94468151259</v>
      </c>
      <c r="AE77" s="120" t="n">
        <f aca="false">IF(AE$5&lt;=LastHist,AE76+INDEX(H_DAex,1,AE$5)-INDEX(H_DA,1,AE$5),AE76+AE39*(LQ_H/16-1)+AE44*(LQ_B/16-1)+AE49*(LQ_N/16-1))</f>
        <v>5669.08944203244</v>
      </c>
      <c r="AF77" s="120" t="n">
        <f aca="false">IF(AF$5&lt;=LastHist,AF76+INDEX(H_DAex,1,AF$5)-INDEX(H_DA,1,AF$5),AF76+AF39*(LQ_H/16-1)+AF44*(LQ_B/16-1)+AF49*(LQ_N/16-1))</f>
        <v>5677.63031349197</v>
      </c>
      <c r="AG77" s="120" t="n">
        <f aca="false">IF(AG$5&lt;=LastHist,AG76+INDEX(H_DAex,1,AG$5)-INDEX(H_DA,1,AG$5),AG76+AG39*(LQ_H/16-1)+AG44*(LQ_B/16-1)+AG49*(LQ_N/16-1))</f>
        <v>5681.36356590494</v>
      </c>
      <c r="AI77" s="120" t="n">
        <f aca="false">SUMIF($F$7:$AG$7,AI$7,$F77:$AG77)</f>
        <v>77.1</v>
      </c>
      <c r="AJ77" s="120" t="n">
        <f aca="false">SUMIF($F$7:$AG$7,AJ$7,$F77:$AG77)</f>
        <v>404</v>
      </c>
      <c r="AK77" s="120" t="n">
        <f aca="false">SUMIF($F$7:$AG$7,AK$7,$F77:$AG77)</f>
        <v>1980.58959071708</v>
      </c>
      <c r="AL77" s="120" t="n">
        <f aca="false">SUMIF($F$7:$AG$7,AL$7,$F77:$AG77)</f>
        <v>5689.60939013671</v>
      </c>
      <c r="AM77" s="120" t="n">
        <f aca="false">SUMIF($F$7:$AG$7,AM$7,$F77:$AG77)</f>
        <v>11505.1614320302</v>
      </c>
      <c r="AN77" s="120" t="n">
        <f aca="false">SUMIF($F$7:$AG$7,AN$7,$F77:$AG77)</f>
        <v>17119.1761609675</v>
      </c>
      <c r="AO77" s="120" t="n">
        <f aca="false">SUMIF($F$7:$AG$7,AO$7,$F77:$AG77)</f>
        <v>22690.0280029419</v>
      </c>
    </row>
    <row r="78" customFormat="false" ht="15" hidden="false" customHeight="false" outlineLevel="0" collapsed="false">
      <c r="A78" s="101" t="s">
        <v>1700</v>
      </c>
      <c r="B78" s="18" t="s">
        <v>388</v>
      </c>
      <c r="C78" s="18" t="s">
        <v>336</v>
      </c>
      <c r="D78" s="18" t="s">
        <v>1701</v>
      </c>
      <c r="G78" s="125" t="str">
        <f aca="false">IF(AND(F75&gt;0,G75&gt;0),G76*4/AVERAGE(F75,G75),"")</f>
        <v/>
      </c>
      <c r="H78" s="125" t="str">
        <f aca="false">IF(AND(G75&gt;0,H75&gt;0),H76*4/AVERAGE(G75,H75),"")</f>
        <v/>
      </c>
      <c r="I78" s="125" t="str">
        <f aca="false">IF(AND(H75&gt;0,I75&gt;0),I76*4/AVERAGE(H75,I75),"")</f>
        <v/>
      </c>
      <c r="J78" s="125" t="str">
        <f aca="false">IF(AND(I75&gt;0,J75&gt;0),J76*4/AVERAGE(I75,J75),"")</f>
        <v/>
      </c>
      <c r="K78" s="125" t="str">
        <f aca="false">IF(AND(J75&gt;0,K75&gt;0),K76*4/AVERAGE(J75,K75),"")</f>
        <v/>
      </c>
      <c r="L78" s="125" t="str">
        <f aca="false">IF(AND(K75&gt;0,L75&gt;0),L76*4/AVERAGE(K75,L75),"")</f>
        <v/>
      </c>
      <c r="M78" s="125" t="str">
        <f aca="false">IF(AND(L75&gt;0,M75&gt;0),M76*4/AVERAGE(L75,M75),"")</f>
        <v/>
      </c>
      <c r="N78" s="125" t="n">
        <f aca="false">IF(AND(M75&gt;0,N75&gt;0),N76*4/AVERAGE(M75,N75),"")</f>
        <v>0.179196704428424</v>
      </c>
      <c r="O78" s="125" t="n">
        <f aca="false">IF(AND(N75&gt;0,O75&gt;0),O76*4/AVERAGE(N75,O75),"")</f>
        <v>0.171171323070698</v>
      </c>
      <c r="P78" s="27" t="n">
        <f aca="false">IF(AND(O75&gt;0,P75&gt;0),P76*4/AVERAGE(O75,P75),"")</f>
        <v>0.268737422120448</v>
      </c>
      <c r="Q78" s="27" t="n">
        <f aca="false">IF(AND(P75&gt;0,Q75&gt;0),Q76*4/AVERAGE(P75,Q75),"")</f>
        <v>0.186347080472945</v>
      </c>
      <c r="R78" s="27" t="n">
        <f aca="false">IF(AND(Q75&gt;0,R75&gt;0),R76*4/AVERAGE(Q75,R75),"")</f>
        <v>0.179156297517808</v>
      </c>
      <c r="S78" s="27" t="n">
        <f aca="false">IF(AND(R75&gt;0,S75&gt;0),S76*4/AVERAGE(R75,S75),"")</f>
        <v>0.18702948984902</v>
      </c>
      <c r="T78" s="27" t="n">
        <f aca="false">IF(AND(S75&gt;0,T75&gt;0),T76*4/AVERAGE(S75,T75),"")</f>
        <v>0.197845839928588</v>
      </c>
      <c r="U78" s="27" t="n">
        <f aca="false">IF(AND(T75&gt;0,U75&gt;0),U76*4/AVERAGE(T75,U75),"")</f>
        <v>0.198758812783438</v>
      </c>
      <c r="V78" s="27" t="n">
        <f aca="false">IF(AND(U75&gt;0,V75&gt;0),V76*4/AVERAGE(U75,V75),"")</f>
        <v>0.216466888443017</v>
      </c>
      <c r="W78" s="27" t="n">
        <f aca="false">IF(AND(V75&gt;0,W75&gt;0),W76*4/AVERAGE(V75,W75),"")</f>
        <v>0.193309515486031</v>
      </c>
      <c r="X78" s="27" t="n">
        <f aca="false">IF(AND(W75&gt;0,X75&gt;0),X76*4/AVERAGE(W75,X75),"")</f>
        <v>0.185359705079564</v>
      </c>
      <c r="Y78" s="27" t="n">
        <f aca="false">IF(AND(X75&gt;0,Y75&gt;0),Y76*4/AVERAGE(X75,Y75),"")</f>
        <v>0.175971599417616</v>
      </c>
      <c r="Z78" s="27" t="n">
        <f aca="false">IF(AND(Y75&gt;0,Z75&gt;0),Z76*4/AVERAGE(Y75,Z75),"")</f>
        <v>0.198633491213408</v>
      </c>
      <c r="AA78" s="27" t="n">
        <f aca="false">IF(AND(Z75&gt;0,AA75&gt;0),AA76*4/AVERAGE(Z75,AA75),"")</f>
        <v>0.182737367351789</v>
      </c>
      <c r="AB78" s="27" t="n">
        <f aca="false">IF(AND(AA75&gt;0,AB75&gt;0),AB76*4/AVERAGE(AA75,AB75),"")</f>
        <v>0.192884798432894</v>
      </c>
      <c r="AC78" s="27" t="n">
        <f aca="false">IF(AND(AB75&gt;0,AC75&gt;0),AC76*4/AVERAGE(AB75,AC75),"")</f>
        <v>0.181368692454508</v>
      </c>
      <c r="AD78" s="27" t="n">
        <f aca="false">IF(AND(AC75&gt;0,AD75&gt;0),AD76*4/AVERAGE(AC75,AD75),"")</f>
        <v>0.197537898398561</v>
      </c>
      <c r="AE78" s="27" t="n">
        <f aca="false">IF(AND(AD75&gt;0,AE75&gt;0),AE76*4/AVERAGE(AD75,AE75),"")</f>
        <v>0.178363651404095</v>
      </c>
      <c r="AF78" s="27" t="n">
        <f aca="false">IF(AND(AE75&gt;0,AF75&gt;0),AF76*4/AVERAGE(AE75,AF75),"")</f>
        <v>0.166323720324313</v>
      </c>
      <c r="AG78" s="27" t="n">
        <f aca="false">IF(AND(AF75&gt;0,AG75&gt;0),AG76*4/AVERAGE(AF75,AG75),"")</f>
        <v>0.165863998753606</v>
      </c>
    </row>
    <row r="79" customFormat="false" ht="15" hidden="false" customHeight="false" outlineLevel="0" collapsed="false">
      <c r="A79" s="3" t="s">
        <v>1702</v>
      </c>
      <c r="B79" s="18" t="s">
        <v>388</v>
      </c>
      <c r="C79" s="18" t="s">
        <v>336</v>
      </c>
      <c r="D79" s="18" t="s">
        <v>1703</v>
      </c>
      <c r="G79" s="126" t="str">
        <f aca="false">IF(AND(F75&gt;0,G75&gt;0),G77*4/AVERAGE(F75,G75),"")</f>
        <v/>
      </c>
      <c r="H79" s="126" t="str">
        <f aca="false">IF(AND(G75&gt;0,H75&gt;0),H77*4/AVERAGE(G75,H75),"")</f>
        <v/>
      </c>
      <c r="I79" s="126" t="str">
        <f aca="false">IF(AND(H75&gt;0,I75&gt;0),I77*4/AVERAGE(H75,I75),"")</f>
        <v/>
      </c>
      <c r="J79" s="126" t="str">
        <f aca="false">IF(AND(I75&gt;0,J75&gt;0),J77*4/AVERAGE(I75,J75),"")</f>
        <v/>
      </c>
      <c r="K79" s="126" t="str">
        <f aca="false">IF(AND(J75&gt;0,K75&gt;0),K77*4/AVERAGE(J75,K75),"")</f>
        <v/>
      </c>
      <c r="L79" s="126" t="str">
        <f aca="false">IF(AND(K75&gt;0,L75&gt;0),L77*4/AVERAGE(K75,L75),"")</f>
        <v/>
      </c>
      <c r="M79" s="126" t="str">
        <f aca="false">IF(AND(L75&gt;0,M75&gt;0),M77*4/AVERAGE(L75,M75),"")</f>
        <v/>
      </c>
      <c r="N79" s="126" t="n">
        <f aca="false">IF(AND(M75&gt;0,N75&gt;0),N77*4/AVERAGE(M75,N75),"")</f>
        <v>0.216186062478544</v>
      </c>
      <c r="O79" s="126" t="n">
        <f aca="false">IF(AND(N75&gt;0,O75&gt;0),O77*4/AVERAGE(N75,O75),"")</f>
        <v>0.200171980643747</v>
      </c>
      <c r="P79" s="62" t="n">
        <f aca="false">IF(AND(O75&gt;0,P75&gt;0),P77*4/AVERAGE(O75,P75),"")</f>
        <v>0.329595545716654</v>
      </c>
      <c r="Q79" s="62" t="n">
        <f aca="false">IF(AND(P75&gt;0,Q75&gt;0),Q77*4/AVERAGE(P75,Q75),"")</f>
        <v>0.228253516698031</v>
      </c>
      <c r="R79" s="62" t="n">
        <f aca="false">IF(AND(Q75&gt;0,R75&gt;0),R77*4/AVERAGE(Q75,R75),"")</f>
        <v>0.220100744903723</v>
      </c>
      <c r="S79" s="62" t="n">
        <f aca="false">IF(AND(R75&gt;0,S75&gt;0),S77*4/AVERAGE(R75,S75),"")</f>
        <v>0.230310007456924</v>
      </c>
      <c r="T79" s="62" t="n">
        <f aca="false">IF(AND(S75&gt;0,T75&gt;0),T77*4/AVERAGE(S75,T75),"")</f>
        <v>0.243583769297131</v>
      </c>
      <c r="U79" s="62" t="n">
        <f aca="false">IF(AND(T75&gt;0,U75&gt;0),U77*4/AVERAGE(T75,U75),"")</f>
        <v>0.244066860316241</v>
      </c>
      <c r="V79" s="62" t="n">
        <f aca="false">IF(AND(U75&gt;0,V75&gt;0),V77*4/AVERAGE(U75,V75),"")</f>
        <v>0.266299287484297</v>
      </c>
      <c r="W79" s="62" t="n">
        <f aca="false">IF(AND(V75&gt;0,W75&gt;0),W77*4/AVERAGE(V75,W75),"")</f>
        <v>0.237223603385033</v>
      </c>
      <c r="X79" s="62" t="n">
        <f aca="false">IF(AND(W75&gt;0,X75&gt;0),X77*4/AVERAGE(W75,X75),"")</f>
        <v>0.227752833548568</v>
      </c>
      <c r="Y79" s="62" t="n">
        <f aca="false">IF(AND(X75&gt;0,Y75&gt;0),Y77*4/AVERAGE(X75,Y75),"")</f>
        <v>0.215133050915315</v>
      </c>
      <c r="Z79" s="62" t="n">
        <f aca="false">IF(AND(Y75&gt;0,Z75&gt;0),Z77*4/AVERAGE(Y75,Z75),"")</f>
        <v>0.243541617815546</v>
      </c>
      <c r="AA79" s="62" t="n">
        <f aca="false">IF(AND(Z75&gt;0,AA75&gt;0),AA77*4/AVERAGE(Z75,AA75),"")</f>
        <v>0.222883954948524</v>
      </c>
      <c r="AB79" s="62" t="n">
        <f aca="false">IF(AND(AA75&gt;0,AB75&gt;0),AB77*4/AVERAGE(AA75,AB75),"")</f>
        <v>0.23590257372414</v>
      </c>
      <c r="AC79" s="62" t="n">
        <f aca="false">IF(AND(AB75&gt;0,AC75&gt;0),AC77*4/AVERAGE(AB75,AC75),"")</f>
        <v>0.220543510132979</v>
      </c>
      <c r="AD79" s="62" t="n">
        <f aca="false">IF(AND(AC75&gt;0,AD75&gt;0),AD77*4/AVERAGE(AC75,AD75),"")</f>
        <v>0.240991437029326</v>
      </c>
      <c r="AE79" s="62" t="n">
        <f aca="false">IF(AND(AD75&gt;0,AE75&gt;0),AE77*4/AVERAGE(AD75,AE75),"")</f>
        <v>0.217284712416136</v>
      </c>
      <c r="AF79" s="62" t="n">
        <f aca="false">IF(AND(AE75&gt;0,AF75&gt;0),AF77*4/AVERAGE(AE75,AF75),"")</f>
        <v>0.202329445601602</v>
      </c>
      <c r="AG79" s="62" t="n">
        <f aca="false">IF(AND(AF75&gt;0,AG75&gt;0),AG77*4/AVERAGE(AF75,AG75),"")</f>
        <v>0.201329665419788</v>
      </c>
    </row>
    <row r="80" customFormat="false" ht="15" hidden="false" customHeight="false" outlineLevel="0" collapsed="false">
      <c r="A80" s="101" t="s">
        <v>1704</v>
      </c>
      <c r="B80" s="18" t="s">
        <v>1705</v>
      </c>
      <c r="C80" s="18" t="s">
        <v>336</v>
      </c>
      <c r="D80" s="18"/>
      <c r="H80" s="114" t="n">
        <f aca="false">IF(AND(H$5&lt;=LastHist,ISNUMBER(H79),ISNUMBER(G79),H79&lt;G79,OR(AND(H$5-AvailIdx_H200&gt;=0,H$5-AvailIdx_H200&lt;=2),AND(H$5-AvailIdx_B200&gt;=0,H$5-AvailIdx_B200&lt;=2),AND(H$5-AvailIdx_GB300&gt;=0,H$5-AvailIdx_GB300&lt;=2),AND(H$5-AvailIdx_VR&gt;=0,H$5-AvailIdx_VR&lt;=2))),1,0)</f>
        <v>0</v>
      </c>
      <c r="I80" s="114" t="n">
        <f aca="false">IF(AND(I$5&lt;=LastHist,ISNUMBER(I79),ISNUMBER(H79),I79&lt;H79,OR(AND(I$5-AvailIdx_H200&gt;=0,I$5-AvailIdx_H200&lt;=2),AND(I$5-AvailIdx_B200&gt;=0,I$5-AvailIdx_B200&lt;=2),AND(I$5-AvailIdx_GB300&gt;=0,I$5-AvailIdx_GB300&lt;=2),AND(I$5-AvailIdx_VR&gt;=0,I$5-AvailIdx_VR&lt;=2))),1,0)</f>
        <v>0</v>
      </c>
      <c r="J80" s="114" t="n">
        <f aca="false">IF(AND(J$5&lt;=LastHist,ISNUMBER(J79),ISNUMBER(I79),J79&lt;I79,OR(AND(J$5-AvailIdx_H200&gt;=0,J$5-AvailIdx_H200&lt;=2),AND(J$5-AvailIdx_B200&gt;=0,J$5-AvailIdx_B200&lt;=2),AND(J$5-AvailIdx_GB300&gt;=0,J$5-AvailIdx_GB300&lt;=2),AND(J$5-AvailIdx_VR&gt;=0,J$5-AvailIdx_VR&lt;=2))),1,0)</f>
        <v>0</v>
      </c>
      <c r="K80" s="114" t="n">
        <f aca="false">IF(AND(K$5&lt;=LastHist,ISNUMBER(K79),ISNUMBER(J79),K79&lt;J79,OR(AND(K$5-AvailIdx_H200&gt;=0,K$5-AvailIdx_H200&lt;=2),AND(K$5-AvailIdx_B200&gt;=0,K$5-AvailIdx_B200&lt;=2),AND(K$5-AvailIdx_GB300&gt;=0,K$5-AvailIdx_GB300&lt;=2),AND(K$5-AvailIdx_VR&gt;=0,K$5-AvailIdx_VR&lt;=2))),1,0)</f>
        <v>0</v>
      </c>
      <c r="L80" s="114" t="n">
        <f aca="false">IF(AND(L$5&lt;=LastHist,ISNUMBER(L79),ISNUMBER(K79),L79&lt;K79,OR(AND(L$5-AvailIdx_H200&gt;=0,L$5-AvailIdx_H200&lt;=2),AND(L$5-AvailIdx_B200&gt;=0,L$5-AvailIdx_B200&lt;=2),AND(L$5-AvailIdx_GB300&gt;=0,L$5-AvailIdx_GB300&lt;=2),AND(L$5-AvailIdx_VR&gt;=0,L$5-AvailIdx_VR&lt;=2))),1,0)</f>
        <v>0</v>
      </c>
      <c r="M80" s="114" t="n">
        <f aca="false">IF(AND(M$5&lt;=LastHist,ISNUMBER(M79),ISNUMBER(L79),M79&lt;L79,OR(AND(M$5-AvailIdx_H200&gt;=0,M$5-AvailIdx_H200&lt;=2),AND(M$5-AvailIdx_B200&gt;=0,M$5-AvailIdx_B200&lt;=2),AND(M$5-AvailIdx_GB300&gt;=0,M$5-AvailIdx_GB300&lt;=2),AND(M$5-AvailIdx_VR&gt;=0,M$5-AvailIdx_VR&lt;=2))),1,0)</f>
        <v>0</v>
      </c>
      <c r="N80" s="114" t="n">
        <f aca="false">IF(AND(N$5&lt;=LastHist,ISNUMBER(N79),ISNUMBER(M79),N79&lt;M79,OR(AND(N$5-AvailIdx_H200&gt;=0,N$5-AvailIdx_H200&lt;=2),AND(N$5-AvailIdx_B200&gt;=0,N$5-AvailIdx_B200&lt;=2),AND(N$5-AvailIdx_GB300&gt;=0,N$5-AvailIdx_GB300&lt;=2),AND(N$5-AvailIdx_VR&gt;=0,N$5-AvailIdx_VR&lt;=2))),1,0)</f>
        <v>0</v>
      </c>
      <c r="O80" s="114" t="n">
        <f aca="false">IF(AND(O$5&lt;=LastHist,ISNUMBER(O79),ISNUMBER(N79),O79&lt;N79,OR(AND(O$5-AvailIdx_H200&gt;=0,O$5-AvailIdx_H200&lt;=2),AND(O$5-AvailIdx_B200&gt;=0,O$5-AvailIdx_B200&lt;=2),AND(O$5-AvailIdx_GB300&gt;=0,O$5-AvailIdx_GB300&lt;=2),AND(O$5-AvailIdx_VR&gt;=0,O$5-AvailIdx_VR&lt;=2))),1,0)</f>
        <v>1</v>
      </c>
      <c r="P80" s="29" t="n">
        <f aca="false">IF(AND(P$5&lt;=LastHist,ISNUMBER(P79),ISNUMBER(O79),P79&lt;O79,OR(AND(P$5-AvailIdx_H200&gt;=0,P$5-AvailIdx_H200&lt;=2),AND(P$5-AvailIdx_B200&gt;=0,P$5-AvailIdx_B200&lt;=2),AND(P$5-AvailIdx_GB300&gt;=0,P$5-AvailIdx_GB300&lt;=2),AND(P$5-AvailIdx_VR&gt;=0,P$5-AvailIdx_VR&lt;=2))),1,0)</f>
        <v>0</v>
      </c>
      <c r="Q80" s="29" t="n">
        <f aca="false">IF(AND(Q$5&lt;=LastHist,ISNUMBER(Q79),ISNUMBER(P79),Q79&lt;P79,OR(AND(Q$5-AvailIdx_H200&gt;=0,Q$5-AvailIdx_H200&lt;=2),AND(Q$5-AvailIdx_B200&gt;=0,Q$5-AvailIdx_B200&lt;=2),AND(Q$5-AvailIdx_GB300&gt;=0,Q$5-AvailIdx_GB300&lt;=2),AND(Q$5-AvailIdx_VR&gt;=0,Q$5-AvailIdx_VR&lt;=2))),1,0)</f>
        <v>0</v>
      </c>
      <c r="R80" s="29" t="n">
        <f aca="false">IF(AND(R$5&lt;=LastHist,ISNUMBER(R79),ISNUMBER(Q79),R79&lt;Q79,OR(AND(R$5-AvailIdx_H200&gt;=0,R$5-AvailIdx_H200&lt;=2),AND(R$5-AvailIdx_B200&gt;=0,R$5-AvailIdx_B200&lt;=2),AND(R$5-AvailIdx_GB300&gt;=0,R$5-AvailIdx_GB300&lt;=2),AND(R$5-AvailIdx_VR&gt;=0,R$5-AvailIdx_VR&lt;=2))),1,0)</f>
        <v>0</v>
      </c>
      <c r="S80" s="29" t="n">
        <f aca="false">IF(AND(S$5&lt;=LastHist,ISNUMBER(S79),ISNUMBER(R79),S79&lt;R79,OR(AND(S$5-AvailIdx_H200&gt;=0,S$5-AvailIdx_H200&lt;=2),AND(S$5-AvailIdx_B200&gt;=0,S$5-AvailIdx_B200&lt;=2),AND(S$5-AvailIdx_GB300&gt;=0,S$5-AvailIdx_GB300&lt;=2),AND(S$5-AvailIdx_VR&gt;=0,S$5-AvailIdx_VR&lt;=2))),1,0)</f>
        <v>0</v>
      </c>
      <c r="T80" s="29" t="n">
        <f aca="false">IF(AND(T$5&lt;=LastHist,ISNUMBER(T79),ISNUMBER(S79),T79&lt;S79,OR(AND(T$5-AvailIdx_H200&gt;=0,T$5-AvailIdx_H200&lt;=2),AND(T$5-AvailIdx_B200&gt;=0,T$5-AvailIdx_B200&lt;=2),AND(T$5-AvailIdx_GB300&gt;=0,T$5-AvailIdx_GB300&lt;=2),AND(T$5-AvailIdx_VR&gt;=0,T$5-AvailIdx_VR&lt;=2))),1,0)</f>
        <v>0</v>
      </c>
      <c r="U80" s="29" t="n">
        <f aca="false">IF(AND(U$5&lt;=LastHist,ISNUMBER(U79),ISNUMBER(T79),U79&lt;T79,OR(AND(U$5-AvailIdx_H200&gt;=0,U$5-AvailIdx_H200&lt;=2),AND(U$5-AvailIdx_B200&gt;=0,U$5-AvailIdx_B200&lt;=2),AND(U$5-AvailIdx_GB300&gt;=0,U$5-AvailIdx_GB300&lt;=2),AND(U$5-AvailIdx_VR&gt;=0,U$5-AvailIdx_VR&lt;=2))),1,0)</f>
        <v>0</v>
      </c>
      <c r="V80" s="29" t="n">
        <f aca="false">IF(AND(V$5&lt;=LastHist,ISNUMBER(V79),ISNUMBER(U79),V79&lt;U79,OR(AND(V$5-AvailIdx_H200&gt;=0,V$5-AvailIdx_H200&lt;=2),AND(V$5-AvailIdx_B200&gt;=0,V$5-AvailIdx_B200&lt;=2),AND(V$5-AvailIdx_GB300&gt;=0,V$5-AvailIdx_GB300&lt;=2),AND(V$5-AvailIdx_VR&gt;=0,V$5-AvailIdx_VR&lt;=2))),1,0)</f>
        <v>0</v>
      </c>
      <c r="W80" s="29" t="n">
        <f aca="false">IF(AND(W$5&lt;=LastHist,ISNUMBER(W79),ISNUMBER(V79),W79&lt;V79,OR(AND(W$5-AvailIdx_H200&gt;=0,W$5-AvailIdx_H200&lt;=2),AND(W$5-AvailIdx_B200&gt;=0,W$5-AvailIdx_B200&lt;=2),AND(W$5-AvailIdx_GB300&gt;=0,W$5-AvailIdx_GB300&lt;=2),AND(W$5-AvailIdx_VR&gt;=0,W$5-AvailIdx_VR&lt;=2))),1,0)</f>
        <v>0</v>
      </c>
      <c r="X80" s="29" t="n">
        <f aca="false">IF(AND(X$5&lt;=LastHist,ISNUMBER(X79),ISNUMBER(W79),X79&lt;W79,OR(AND(X$5-AvailIdx_H200&gt;=0,X$5-AvailIdx_H200&lt;=2),AND(X$5-AvailIdx_B200&gt;=0,X$5-AvailIdx_B200&lt;=2),AND(X$5-AvailIdx_GB300&gt;=0,X$5-AvailIdx_GB300&lt;=2),AND(X$5-AvailIdx_VR&gt;=0,X$5-AvailIdx_VR&lt;=2))),1,0)</f>
        <v>0</v>
      </c>
      <c r="Y80" s="29" t="n">
        <f aca="false">IF(AND(Y$5&lt;=LastHist,ISNUMBER(Y79),ISNUMBER(X79),Y79&lt;X79,OR(AND(Y$5-AvailIdx_H200&gt;=0,Y$5-AvailIdx_H200&lt;=2),AND(Y$5-AvailIdx_B200&gt;=0,Y$5-AvailIdx_B200&lt;=2),AND(Y$5-AvailIdx_GB300&gt;=0,Y$5-AvailIdx_GB300&lt;=2),AND(Y$5-AvailIdx_VR&gt;=0,Y$5-AvailIdx_VR&lt;=2))),1,0)</f>
        <v>0</v>
      </c>
      <c r="Z80" s="29" t="n">
        <f aca="false">IF(AND(Z$5&lt;=LastHist,ISNUMBER(Z79),ISNUMBER(Y79),Z79&lt;Y79,OR(AND(Z$5-AvailIdx_H200&gt;=0,Z$5-AvailIdx_H200&lt;=2),AND(Z$5-AvailIdx_B200&gt;=0,Z$5-AvailIdx_B200&lt;=2),AND(Z$5-AvailIdx_GB300&gt;=0,Z$5-AvailIdx_GB300&lt;=2),AND(Z$5-AvailIdx_VR&gt;=0,Z$5-AvailIdx_VR&lt;=2))),1,0)</f>
        <v>0</v>
      </c>
      <c r="AA80" s="29" t="n">
        <f aca="false">IF(AND(AA$5&lt;=LastHist,ISNUMBER(AA79),ISNUMBER(Z79),AA79&lt;Z79,OR(AND(AA$5-AvailIdx_H200&gt;=0,AA$5-AvailIdx_H200&lt;=2),AND(AA$5-AvailIdx_B200&gt;=0,AA$5-AvailIdx_B200&lt;=2),AND(AA$5-AvailIdx_GB300&gt;=0,AA$5-AvailIdx_GB300&lt;=2),AND(AA$5-AvailIdx_VR&gt;=0,AA$5-AvailIdx_VR&lt;=2))),1,0)</f>
        <v>0</v>
      </c>
      <c r="AB80" s="29" t="n">
        <f aca="false">IF(AND(AB$5&lt;=LastHist,ISNUMBER(AB79),ISNUMBER(AA79),AB79&lt;AA79,OR(AND(AB$5-AvailIdx_H200&gt;=0,AB$5-AvailIdx_H200&lt;=2),AND(AB$5-AvailIdx_B200&gt;=0,AB$5-AvailIdx_B200&lt;=2),AND(AB$5-AvailIdx_GB300&gt;=0,AB$5-AvailIdx_GB300&lt;=2),AND(AB$5-AvailIdx_VR&gt;=0,AB$5-AvailIdx_VR&lt;=2))),1,0)</f>
        <v>0</v>
      </c>
      <c r="AC80" s="29" t="n">
        <f aca="false">IF(AND(AC$5&lt;=LastHist,ISNUMBER(AC79),ISNUMBER(AB79),AC79&lt;AB79,OR(AND(AC$5-AvailIdx_H200&gt;=0,AC$5-AvailIdx_H200&lt;=2),AND(AC$5-AvailIdx_B200&gt;=0,AC$5-AvailIdx_B200&lt;=2),AND(AC$5-AvailIdx_GB300&gt;=0,AC$5-AvailIdx_GB300&lt;=2),AND(AC$5-AvailIdx_VR&gt;=0,AC$5-AvailIdx_VR&lt;=2))),1,0)</f>
        <v>0</v>
      </c>
      <c r="AD80" s="29" t="n">
        <f aca="false">IF(AND(AD$5&lt;=LastHist,ISNUMBER(AD79),ISNUMBER(AC79),AD79&lt;AC79,OR(AND(AD$5-AvailIdx_H200&gt;=0,AD$5-AvailIdx_H200&lt;=2),AND(AD$5-AvailIdx_B200&gt;=0,AD$5-AvailIdx_B200&lt;=2),AND(AD$5-AvailIdx_GB300&gt;=0,AD$5-AvailIdx_GB300&lt;=2),AND(AD$5-AvailIdx_VR&gt;=0,AD$5-AvailIdx_VR&lt;=2))),1,0)</f>
        <v>0</v>
      </c>
      <c r="AE80" s="29" t="n">
        <f aca="false">IF(AND(AE$5&lt;=LastHist,ISNUMBER(AE79),ISNUMBER(AD79),AE79&lt;AD79,OR(AND(AE$5-AvailIdx_H200&gt;=0,AE$5-AvailIdx_H200&lt;=2),AND(AE$5-AvailIdx_B200&gt;=0,AE$5-AvailIdx_B200&lt;=2),AND(AE$5-AvailIdx_GB300&gt;=0,AE$5-AvailIdx_GB300&lt;=2),AND(AE$5-AvailIdx_VR&gt;=0,AE$5-AvailIdx_VR&lt;=2))),1,0)</f>
        <v>0</v>
      </c>
      <c r="AF80" s="29" t="n">
        <f aca="false">IF(AND(AF$5&lt;=LastHist,ISNUMBER(AF79),ISNUMBER(AE79),AF79&lt;AE79,OR(AND(AF$5-AvailIdx_H200&gt;=0,AF$5-AvailIdx_H200&lt;=2),AND(AF$5-AvailIdx_B200&gt;=0,AF$5-AvailIdx_B200&lt;=2),AND(AF$5-AvailIdx_GB300&gt;=0,AF$5-AvailIdx_GB300&lt;=2),AND(AF$5-AvailIdx_VR&gt;=0,AF$5-AvailIdx_VR&lt;=2))),1,0)</f>
        <v>0</v>
      </c>
      <c r="AG80" s="29" t="n">
        <f aca="false">IF(AND(AG$5&lt;=LastHist,ISNUMBER(AG79),ISNUMBER(AF79),AG79&lt;AF79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1" customFormat="false" ht="15" hidden="false" customHeight="false" outlineLevel="0" collapsed="false">
      <c r="A81" s="101" t="s">
        <v>1706</v>
      </c>
      <c r="B81" s="18" t="s">
        <v>1707</v>
      </c>
      <c r="C81" s="18" t="s">
        <v>389</v>
      </c>
      <c r="D81" s="18" t="s">
        <v>1708</v>
      </c>
      <c r="P81" s="34" t="str">
        <f aca="false">IF(Q3TransAct=0,"PENDING (model "&amp;TEXT(P73,"#,##0")&amp;")",IF(Q3TransAct&lt;Q3TransMin,"FLAG: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1709</v>
      </c>
    </row>
    <row r="2" customFormat="false" ht="15" hidden="false" customHeight="false" outlineLevel="0" collapsed="false">
      <c r="A2" s="18" t="s">
        <v>1710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1711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3" t="s">
        <v>1712</v>
      </c>
      <c r="B11" s="3" t="s">
        <v>1713</v>
      </c>
      <c r="C11" s="3" t="s">
        <v>1714</v>
      </c>
      <c r="D11" s="3" t="s">
        <v>1715</v>
      </c>
      <c r="E11" s="3" t="s">
        <v>1716</v>
      </c>
      <c r="F11" s="3" t="s">
        <v>1717</v>
      </c>
      <c r="G11" s="3" t="s">
        <v>1718</v>
      </c>
      <c r="H11" s="3" t="s">
        <v>1719</v>
      </c>
      <c r="I11" s="3" t="s">
        <v>1720</v>
      </c>
      <c r="J11" s="3" t="s">
        <v>1721</v>
      </c>
      <c r="K11" s="3" t="s">
        <v>1722</v>
      </c>
      <c r="L11" s="3" t="s">
        <v>1723</v>
      </c>
      <c r="M11" s="3" t="s">
        <v>1724</v>
      </c>
      <c r="N11" s="3" t="s">
        <v>1725</v>
      </c>
      <c r="O11" s="3" t="s">
        <v>1726</v>
      </c>
      <c r="P11" s="3" t="s">
        <v>1727</v>
      </c>
      <c r="Q11" s="3" t="s">
        <v>1265</v>
      </c>
      <c r="R11" s="3" t="s">
        <v>331</v>
      </c>
    </row>
    <row r="12" customFormat="false" ht="15" hidden="false" customHeight="false" outlineLevel="0" collapsed="false">
      <c r="A12" s="0" t="s">
        <v>1728</v>
      </c>
      <c r="B12" s="50" t="n">
        <v>45813</v>
      </c>
      <c r="C12" s="127" t="n">
        <v>0.02</v>
      </c>
      <c r="D12" s="128" t="n">
        <v>47270</v>
      </c>
      <c r="E12" s="78" t="n">
        <v>500</v>
      </c>
      <c r="F12" s="78" t="n">
        <v>12.5</v>
      </c>
      <c r="G12" s="78" t="n">
        <v>400</v>
      </c>
      <c r="H12" s="35" t="n">
        <f aca="false">ExchIdx</f>
        <v>11</v>
      </c>
      <c r="I12" s="35" t="n">
        <f aca="false">ExchShares/2</f>
        <v>7.885</v>
      </c>
      <c r="J12" s="129" t="n">
        <f aca="false">587.5/(500-12.5)</f>
        <v>1.20512820512821</v>
      </c>
      <c r="K12" s="130" t="n">
        <v>19.4363</v>
      </c>
      <c r="L12" s="20" t="n">
        <f aca="false">1000/K12</f>
        <v>51.4501216795378</v>
      </c>
      <c r="M12" s="29" t="n">
        <f aca="false">IFERROR(MATCH(B12-1,Q_End,1),0)+1</f>
        <v>6</v>
      </c>
      <c r="N12" s="29" t="n">
        <f aca="false">IFERROR(MATCH(D12-1,Q_End,1),0)+1</f>
        <v>22</v>
      </c>
      <c r="O12" s="29" t="n">
        <f aca="false">IF(SharePx&gt;=L12*J12,1,0)</f>
        <v>1</v>
      </c>
      <c r="P12" s="29" t="n">
        <f aca="false">CHOOSE(DilMethod,1,IF(DilPx&gt;L12,1,0),0)</f>
        <v>1</v>
      </c>
      <c r="Q12" s="18" t="s">
        <v>1729</v>
      </c>
      <c r="R12" s="18" t="s">
        <v>1730</v>
      </c>
    </row>
    <row r="13" customFormat="false" ht="15" hidden="false" customHeight="false" outlineLevel="0" collapsed="false">
      <c r="A13" s="0" t="s">
        <v>1731</v>
      </c>
      <c r="B13" s="50" t="n">
        <v>45813</v>
      </c>
      <c r="C13" s="127" t="n">
        <v>0.03</v>
      </c>
      <c r="D13" s="128" t="n">
        <v>48000</v>
      </c>
      <c r="E13" s="78" t="n">
        <v>500</v>
      </c>
      <c r="F13" s="78" t="n">
        <v>12.5</v>
      </c>
      <c r="G13" s="78" t="n">
        <v>400</v>
      </c>
      <c r="H13" s="35" t="n">
        <f aca="false">ExchIdx</f>
        <v>11</v>
      </c>
      <c r="I13" s="35" t="n">
        <f aca="false">ExchShares/2</f>
        <v>7.885</v>
      </c>
      <c r="J13" s="129" t="n">
        <f aca="false">612.5/(500-12.5)</f>
        <v>1.25641025641026</v>
      </c>
      <c r="K13" s="130" t="n">
        <v>19.4363</v>
      </c>
      <c r="L13" s="20" t="n">
        <f aca="false">1000/K13</f>
        <v>51.4501216795378</v>
      </c>
      <c r="M13" s="29" t="n">
        <f aca="false">IFERROR(MATCH(B13-1,Q_End,1),0)+1</f>
        <v>6</v>
      </c>
      <c r="N13" s="29" t="n">
        <f aca="false">IFERROR(MATCH(D13-1,Q_End,1),0)+1</f>
        <v>29</v>
      </c>
      <c r="O13" s="29" t="n">
        <f aca="false">IF(SharePx&gt;=L13*J13,1,0)</f>
        <v>1</v>
      </c>
      <c r="P13" s="29" t="n">
        <f aca="false">CHOOSE(DilMethod,1,IF(DilPx&gt;L13,1,0),0)</f>
        <v>1</v>
      </c>
      <c r="Q13" s="18" t="s">
        <v>1729</v>
      </c>
      <c r="R13" s="18" t="s">
        <v>1732</v>
      </c>
    </row>
    <row r="14" customFormat="false" ht="15" hidden="false" customHeight="false" outlineLevel="0" collapsed="false">
      <c r="A14" s="0" t="s">
        <v>1733</v>
      </c>
      <c r="B14" s="50" t="n">
        <v>45915</v>
      </c>
      <c r="C14" s="127" t="n">
        <v>0.01</v>
      </c>
      <c r="D14" s="128" t="n">
        <v>47741</v>
      </c>
      <c r="E14" s="75" t="n">
        <v>1581.25</v>
      </c>
      <c r="F14" s="78" t="n">
        <v>0</v>
      </c>
      <c r="G14" s="78" t="n">
        <v>0</v>
      </c>
      <c r="H14" s="68" t="n">
        <v>0</v>
      </c>
      <c r="I14" s="68" t="n">
        <v>0</v>
      </c>
      <c r="J14" s="83" t="n">
        <v>1.15</v>
      </c>
      <c r="K14" s="130" t="n">
        <v>7.2072</v>
      </c>
      <c r="L14" s="20" t="n">
        <f aca="false">1000/K14</f>
        <v>138.750138750139</v>
      </c>
      <c r="M14" s="29" t="n">
        <f aca="false">IFERROR(MATCH(B14-1,Q_End,1),0)+1</f>
        <v>7</v>
      </c>
      <c r="N14" s="29" t="n">
        <f aca="false">IFERROR(MATCH(D14-1,Q_End,1),0)+1</f>
        <v>27</v>
      </c>
      <c r="O14" s="29" t="n">
        <f aca="false">IF(SharePx&gt;=L14*J14,1,0)</f>
        <v>1</v>
      </c>
      <c r="P14" s="29" t="n">
        <f aca="false">CHOOSE(DilMethod,1,IF(DilPx&gt;L14,1,0),0)</f>
        <v>0</v>
      </c>
      <c r="Q14" s="18" t="s">
        <v>1729</v>
      </c>
      <c r="R14" s="18" t="s">
        <v>1734</v>
      </c>
    </row>
    <row r="15" customFormat="false" ht="15" hidden="false" customHeight="false" outlineLevel="0" collapsed="false">
      <c r="A15" s="0" t="s">
        <v>1735</v>
      </c>
      <c r="B15" s="50" t="n">
        <v>45915</v>
      </c>
      <c r="C15" s="127" t="n">
        <v>0.0275</v>
      </c>
      <c r="D15" s="128" t="n">
        <v>48472</v>
      </c>
      <c r="E15" s="75" t="n">
        <v>1581.25</v>
      </c>
      <c r="F15" s="78" t="n">
        <v>0</v>
      </c>
      <c r="G15" s="78" t="n">
        <v>0</v>
      </c>
      <c r="H15" s="68" t="n">
        <v>0</v>
      </c>
      <c r="I15" s="68" t="n">
        <v>0</v>
      </c>
      <c r="J15" s="83" t="n">
        <v>1.15</v>
      </c>
      <c r="K15" s="130" t="n">
        <v>7.2072</v>
      </c>
      <c r="L15" s="20" t="n">
        <f aca="false">1000/K15</f>
        <v>138.750138750139</v>
      </c>
      <c r="M15" s="29" t="n">
        <f aca="false">IFERROR(MATCH(B15-1,Q_End,1),0)+1</f>
        <v>7</v>
      </c>
      <c r="N15" s="29" t="n">
        <f aca="false">IFERROR(MATCH(D15-1,Q_End,1),0)+1</f>
        <v>29</v>
      </c>
      <c r="O15" s="29" t="n">
        <f aca="false">IF(SharePx&gt;=L15*J15,1,0)</f>
        <v>1</v>
      </c>
      <c r="P15" s="29" t="n">
        <f aca="false">CHOOSE(DilMethod,1,IF(DilPx&gt;L15,1,0),0)</f>
        <v>0</v>
      </c>
      <c r="Q15" s="18" t="s">
        <v>1729</v>
      </c>
      <c r="R15" s="18" t="s">
        <v>1348</v>
      </c>
    </row>
    <row r="16" customFormat="false" ht="15" hidden="false" customHeight="false" outlineLevel="0" collapsed="false">
      <c r="A16" s="0" t="s">
        <v>1736</v>
      </c>
      <c r="B16" s="50" t="n">
        <v>46101</v>
      </c>
      <c r="C16" s="127" t="n">
        <v>0.0125</v>
      </c>
      <c r="D16" s="128" t="n">
        <v>47922</v>
      </c>
      <c r="E16" s="78" t="n">
        <v>2587.5</v>
      </c>
      <c r="F16" s="78" t="n">
        <v>0</v>
      </c>
      <c r="G16" s="78" t="n">
        <v>0</v>
      </c>
      <c r="H16" s="68" t="n">
        <v>0</v>
      </c>
      <c r="I16" s="68" t="n">
        <v>0</v>
      </c>
      <c r="J16" s="83" t="n">
        <v>1.2</v>
      </c>
      <c r="K16" s="130" t="n">
        <v>5.4579</v>
      </c>
      <c r="L16" s="20" t="n">
        <f aca="false">1000/K16</f>
        <v>183.220652631965</v>
      </c>
      <c r="M16" s="29" t="n">
        <f aca="false">IFERROR(MATCH(B16-1,Q_End,1),0)+1</f>
        <v>9</v>
      </c>
      <c r="N16" s="29" t="n">
        <f aca="false">IFERROR(MATCH(D16-1,Q_End,1),0)+1</f>
        <v>29</v>
      </c>
      <c r="O16" s="29" t="n">
        <f aca="false">IF(SharePx&gt;=L16*J16,1,0)</f>
        <v>1</v>
      </c>
      <c r="P16" s="29" t="n">
        <f aca="false">CHOOSE(DilMethod,1,IF(DilPx&gt;L16,1,0),0)</f>
        <v>0</v>
      </c>
      <c r="Q16" s="18" t="s">
        <v>1729</v>
      </c>
      <c r="R16" s="18" t="s">
        <v>1737</v>
      </c>
    </row>
    <row r="17" customFormat="false" ht="15" hidden="false" customHeight="false" outlineLevel="0" collapsed="false">
      <c r="A17" s="0" t="s">
        <v>1738</v>
      </c>
      <c r="B17" s="50" t="n">
        <v>46101</v>
      </c>
      <c r="C17" s="127" t="n">
        <v>0.02625</v>
      </c>
      <c r="D17" s="128" t="n">
        <v>48653</v>
      </c>
      <c r="E17" s="78" t="n">
        <v>1750</v>
      </c>
      <c r="F17" s="78" t="n">
        <v>0</v>
      </c>
      <c r="G17" s="78" t="n">
        <v>0</v>
      </c>
      <c r="H17" s="68" t="n">
        <v>0</v>
      </c>
      <c r="I17" s="68" t="n">
        <v>0</v>
      </c>
      <c r="J17" s="83" t="n">
        <v>1.2</v>
      </c>
      <c r="K17" s="130" t="n">
        <v>5.546</v>
      </c>
      <c r="L17" s="20" t="n">
        <f aca="false">1000/K17</f>
        <v>180.310133429499</v>
      </c>
      <c r="M17" s="29" t="n">
        <f aca="false">IFERROR(MATCH(B17-1,Q_End,1),0)+1</f>
        <v>9</v>
      </c>
      <c r="N17" s="29" t="n">
        <f aca="false">IFERROR(MATCH(D17-1,Q_End,1),0)+1</f>
        <v>29</v>
      </c>
      <c r="O17" s="29" t="n">
        <f aca="false">IF(SharePx&gt;=L17*J17,1,0)</f>
        <v>1</v>
      </c>
      <c r="P17" s="29" t="n">
        <f aca="false">CHOOSE(DilMethod,1,IF(DilPx&gt;L17,1,0),0)</f>
        <v>0</v>
      </c>
      <c r="Q17" s="18" t="s">
        <v>1729</v>
      </c>
      <c r="R17" s="18" t="s">
        <v>1739</v>
      </c>
    </row>
    <row r="18" customFormat="false" ht="15" hidden="false" customHeight="false" outlineLevel="0" collapsed="false">
      <c r="A18" s="0" t="s">
        <v>1740</v>
      </c>
      <c r="B18" s="50" t="n">
        <v>46258</v>
      </c>
      <c r="C18" s="127" t="n">
        <v>0.005</v>
      </c>
      <c r="D18" s="50" t="n">
        <v>47529</v>
      </c>
      <c r="E18" s="78" t="n">
        <v>3450</v>
      </c>
      <c r="F18" s="78" t="n">
        <v>0</v>
      </c>
      <c r="G18" s="78" t="n">
        <v>0</v>
      </c>
      <c r="H18" s="68" t="n">
        <v>0</v>
      </c>
      <c r="I18" s="68" t="n">
        <v>0</v>
      </c>
      <c r="J18" s="83" t="n">
        <v>1.1</v>
      </c>
      <c r="K18" s="130" t="n">
        <v>3.1902</v>
      </c>
      <c r="L18" s="20" t="n">
        <f aca="false">1000/K18</f>
        <v>313.459971161683</v>
      </c>
      <c r="M18" s="29" t="n">
        <f aca="false">IFERROR(MATCH(B18-1,Q_End,1),0)+1</f>
        <v>11</v>
      </c>
      <c r="N18" s="29" t="n">
        <f aca="false">IFERROR(MATCH(D18-1,Q_End,1),0)+1</f>
        <v>25</v>
      </c>
      <c r="O18" s="29" t="n">
        <f aca="false">IF(SharePx&gt;=L18*J18,1,0)</f>
        <v>0</v>
      </c>
      <c r="P18" s="29" t="n">
        <f aca="false">CHOOSE(DilMethod,1,IF(DilPx&gt;L18,1,0),0)</f>
        <v>0</v>
      </c>
      <c r="Q18" s="18" t="s">
        <v>1729</v>
      </c>
      <c r="R18" s="18" t="s">
        <v>1741</v>
      </c>
    </row>
    <row r="19" customFormat="false" ht="15" hidden="false" customHeight="false" outlineLevel="0" collapsed="false">
      <c r="A19" s="0" t="s">
        <v>1742</v>
      </c>
      <c r="B19" s="50" t="n">
        <v>46258</v>
      </c>
      <c r="C19" s="127" t="n">
        <v>0.045</v>
      </c>
      <c r="D19" s="50" t="n">
        <v>48990</v>
      </c>
      <c r="E19" s="78" t="n">
        <v>2300</v>
      </c>
      <c r="F19" s="78" t="n">
        <v>0</v>
      </c>
      <c r="G19" s="78" t="n">
        <v>0</v>
      </c>
      <c r="H19" s="68" t="n">
        <v>0</v>
      </c>
      <c r="I19" s="68" t="n">
        <v>0</v>
      </c>
      <c r="J19" s="83" t="n">
        <v>1.25</v>
      </c>
      <c r="K19" s="130" t="n">
        <v>3.0802</v>
      </c>
      <c r="L19" s="20" t="n">
        <f aca="false">1000/K19</f>
        <v>324.654243230959</v>
      </c>
      <c r="M19" s="29" t="n">
        <f aca="false">IFERROR(MATCH(B19-1,Q_End,1),0)+1</f>
        <v>11</v>
      </c>
      <c r="N19" s="29" t="n">
        <f aca="false">IFERROR(MATCH(D19-1,Q_End,1),0)+1</f>
        <v>29</v>
      </c>
      <c r="O19" s="29" t="n">
        <f aca="false">IF(SharePx&gt;=L19*J19,1,0)</f>
        <v>0</v>
      </c>
      <c r="P19" s="29" t="n">
        <f aca="false">CHOOSE(DilMethod,1,IF(DilPx&gt;L19,1,0),0)</f>
        <v>0</v>
      </c>
      <c r="Q19" s="18" t="s">
        <v>1729</v>
      </c>
      <c r="R19" s="18" t="s">
        <v>1743</v>
      </c>
    </row>
    <row r="20" customFormat="false" ht="15" hidden="false" customHeight="false" outlineLevel="0" collapsed="false">
      <c r="A20" s="3" t="s">
        <v>1744</v>
      </c>
      <c r="E20" s="76" t="n">
        <f aca="false">SUM(E12:E19)</f>
        <v>14250</v>
      </c>
      <c r="F20" s="76" t="n">
        <f aca="false">SUM(F12:F19)</f>
        <v>25</v>
      </c>
      <c r="G20" s="76" t="n">
        <f aca="false">SUM(G12:G19)</f>
        <v>800</v>
      </c>
      <c r="I20" s="76" t="n">
        <f aca="false">SUM(I12:I19)</f>
        <v>15.77</v>
      </c>
    </row>
    <row r="23" customFormat="false" ht="15" hidden="false" customHeight="false" outlineLevel="0" collapsed="false">
      <c r="A23" s="48" t="s">
        <v>1745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 customFormat="false" ht="15" hidden="false" customHeight="false" outlineLevel="0" collapsed="false">
      <c r="A24" s="101" t="s">
        <v>1746</v>
      </c>
      <c r="B24" s="18" t="s">
        <v>400</v>
      </c>
      <c r="C24" s="18" t="s">
        <v>389</v>
      </c>
      <c r="D24" s="18"/>
      <c r="F24" s="119" t="n">
        <f aca="false">IF(AND(F$5&gt;=$M$12,F$5&lt;$N$12),$E$12-$F$12-IF(F$5&gt;=$H$12,$G$12,0),0)*($H$12&lt;&gt;0)+IF(AND(F$5&gt;=$M$12,F$5&lt;$N$12),$E$12-$F$12,0)*($H$12=0)</f>
        <v>0</v>
      </c>
      <c r="G24" s="119" t="n">
        <f aca="false">IF(AND(G$5&gt;=$M$12,G$5&lt;$N$12),$E$12-$F$12-IF(G$5&gt;=$H$12,$G$12,0),0)*($H$12&lt;&gt;0)+IF(AND(G$5&gt;=$M$12,G$5&lt;$N$12),$E$12-$F$12,0)*($H$12=0)</f>
        <v>0</v>
      </c>
      <c r="H24" s="119" t="n">
        <f aca="false">IF(AND(H$5&gt;=$M$12,H$5&lt;$N$12),$E$12-$F$12-IF(H$5&gt;=$H$12,$G$12,0),0)*($H$12&lt;&gt;0)+IF(AND(H$5&gt;=$M$12,H$5&lt;$N$12),$E$12-$F$12,0)*($H$12=0)</f>
        <v>0</v>
      </c>
      <c r="I24" s="119" t="n">
        <f aca="false">IF(AND(I$5&gt;=$M$12,I$5&lt;$N$12),$E$12-$F$12-IF(I$5&gt;=$H$12,$G$12,0),0)*($H$12&lt;&gt;0)+IF(AND(I$5&gt;=$M$12,I$5&lt;$N$12),$E$12-$F$12,0)*($H$12=0)</f>
        <v>0</v>
      </c>
      <c r="J24" s="119" t="n">
        <f aca="false">IF(AND(J$5&gt;=$M$12,J$5&lt;$N$12),$E$12-$F$12-IF(J$5&gt;=$H$12,$G$12,0),0)*($H$12&lt;&gt;0)+IF(AND(J$5&gt;=$M$12,J$5&lt;$N$12),$E$12-$F$12,0)*($H$12=0)</f>
        <v>0</v>
      </c>
      <c r="K24" s="119" t="n">
        <f aca="false">IF(AND(K$5&gt;=$M$12,K$5&lt;$N$12),$E$12-$F$12-IF(K$5&gt;=$H$12,$G$12,0),0)*($H$12&lt;&gt;0)+IF(AND(K$5&gt;=$M$12,K$5&lt;$N$12),$E$12-$F$12,0)*($H$12=0)</f>
        <v>487.5</v>
      </c>
      <c r="L24" s="119" t="n">
        <f aca="false">IF(AND(L$5&gt;=$M$12,L$5&lt;$N$12),$E$12-$F$12-IF(L$5&gt;=$H$12,$G$12,0),0)*($H$12&lt;&gt;0)+IF(AND(L$5&gt;=$M$12,L$5&lt;$N$12),$E$12-$F$12,0)*($H$12=0)</f>
        <v>487.5</v>
      </c>
      <c r="M24" s="119" t="n">
        <f aca="false">IF(AND(M$5&gt;=$M$12,M$5&lt;$N$12),$E$12-$F$12-IF(M$5&gt;=$H$12,$G$12,0),0)*($H$12&lt;&gt;0)+IF(AND(M$5&gt;=$M$12,M$5&lt;$N$12),$E$12-$F$12,0)*($H$12=0)</f>
        <v>487.5</v>
      </c>
      <c r="N24" s="119" t="n">
        <f aca="false">IF(AND(N$5&gt;=$M$12,N$5&lt;$N$12),$E$12-$F$12-IF(N$5&gt;=$H$12,$G$12,0),0)*($H$12&lt;&gt;0)+IF(AND(N$5&gt;=$M$12,N$5&lt;$N$12),$E$12-$F$12,0)*($H$12=0)</f>
        <v>487.5</v>
      </c>
      <c r="O24" s="119" t="n">
        <f aca="false">IF(AND(O$5&gt;=$M$12,O$5&lt;$N$12),$E$12-$F$12-IF(O$5&gt;=$H$12,$G$12,0),0)*($H$12&lt;&gt;0)+IF(AND(O$5&gt;=$M$12,O$5&lt;$N$12),$E$12-$F$12,0)*($H$12=0)</f>
        <v>487.5</v>
      </c>
      <c r="P24" s="120" t="n">
        <f aca="false">IF(AND(P$5&gt;=$M$12,P$5&lt;$N$12),$E$12-$F$12-IF(P$5&gt;=$H$12,$G$12,0),0)*($H$12&lt;&gt;0)+IF(AND(P$5&gt;=$M$12,P$5&lt;$N$12),$E$12-$F$12,0)*($H$12=0)</f>
        <v>87.5</v>
      </c>
      <c r="Q24" s="120" t="n">
        <f aca="false">IF(AND(Q$5&gt;=$M$12,Q$5&lt;$N$12),$E$12-$F$12-IF(Q$5&gt;=$H$12,$G$12,0),0)*($H$12&lt;&gt;0)+IF(AND(Q$5&gt;=$M$12,Q$5&lt;$N$12),$E$12-$F$12,0)*($H$12=0)</f>
        <v>87.5</v>
      </c>
      <c r="R24" s="120" t="n">
        <f aca="false">IF(AND(R$5&gt;=$M$12,R$5&lt;$N$12),$E$12-$F$12-IF(R$5&gt;=$H$12,$G$12,0),0)*($H$12&lt;&gt;0)+IF(AND(R$5&gt;=$M$12,R$5&lt;$N$12),$E$12-$F$12,0)*($H$12=0)</f>
        <v>87.5</v>
      </c>
      <c r="S24" s="120" t="n">
        <f aca="false">IF(AND(S$5&gt;=$M$12,S$5&lt;$N$12),$E$12-$F$12-IF(S$5&gt;=$H$12,$G$12,0),0)*($H$12&lt;&gt;0)+IF(AND(S$5&gt;=$M$12,S$5&lt;$N$12),$E$12-$F$12,0)*($H$12=0)</f>
        <v>87.5</v>
      </c>
      <c r="T24" s="120" t="n">
        <f aca="false">IF(AND(T$5&gt;=$M$12,T$5&lt;$N$12),$E$12-$F$12-IF(T$5&gt;=$H$12,$G$12,0),0)*($H$12&lt;&gt;0)+IF(AND(T$5&gt;=$M$12,T$5&lt;$N$12),$E$12-$F$12,0)*($H$12=0)</f>
        <v>87.5</v>
      </c>
      <c r="U24" s="120" t="n">
        <f aca="false">IF(AND(U$5&gt;=$M$12,U$5&lt;$N$12),$E$12-$F$12-IF(U$5&gt;=$H$12,$G$12,0),0)*($H$12&lt;&gt;0)+IF(AND(U$5&gt;=$M$12,U$5&lt;$N$12),$E$12-$F$12,0)*($H$12=0)</f>
        <v>87.5</v>
      </c>
      <c r="V24" s="120" t="n">
        <f aca="false">IF(AND(V$5&gt;=$M$12,V$5&lt;$N$12),$E$12-$F$12-IF(V$5&gt;=$H$12,$G$12,0),0)*($H$12&lt;&gt;0)+IF(AND(V$5&gt;=$M$12,V$5&lt;$N$12),$E$12-$F$12,0)*($H$12=0)</f>
        <v>87.5</v>
      </c>
      <c r="W24" s="120" t="n">
        <f aca="false">IF(AND(W$5&gt;=$M$12,W$5&lt;$N$12),$E$12-$F$12-IF(W$5&gt;=$H$12,$G$12,0),0)*($H$12&lt;&gt;0)+IF(AND(W$5&gt;=$M$12,W$5&lt;$N$12),$E$12-$F$12,0)*($H$12=0)</f>
        <v>87.5</v>
      </c>
      <c r="X24" s="120" t="n">
        <f aca="false">IF(AND(X$5&gt;=$M$12,X$5&lt;$N$12),$E$12-$F$12-IF(X$5&gt;=$H$12,$G$12,0),0)*($H$12&lt;&gt;0)+IF(AND(X$5&gt;=$M$12,X$5&lt;$N$12),$E$12-$F$12,0)*($H$12=0)</f>
        <v>87.5</v>
      </c>
      <c r="Y24" s="120" t="n">
        <f aca="false">IF(AND(Y$5&gt;=$M$12,Y$5&lt;$N$12),$E$12-$F$12-IF(Y$5&gt;=$H$12,$G$12,0),0)*($H$12&lt;&gt;0)+IF(AND(Y$5&gt;=$M$12,Y$5&lt;$N$12),$E$12-$F$12,0)*($H$12=0)</f>
        <v>87.5</v>
      </c>
      <c r="Z24" s="120" t="n">
        <f aca="false">IF(AND(Z$5&gt;=$M$12,Z$5&lt;$N$12),$E$12-$F$12-IF(Z$5&gt;=$H$12,$G$12,0),0)*($H$12&lt;&gt;0)+IF(AND(Z$5&gt;=$M$12,Z$5&lt;$N$12),$E$12-$F$12,0)*($H$12=0)</f>
        <v>87.5</v>
      </c>
      <c r="AA24" s="120" t="n">
        <f aca="false">IF(AND(AA$5&gt;=$M$12,AA$5&lt;$N$12),$E$12-$F$12-IF(AA$5&gt;=$H$12,$G$12,0),0)*($H$12&lt;&gt;0)+IF(AND(AA$5&gt;=$M$12,AA$5&lt;$N$12),$E$12-$F$12,0)*($H$12=0)</f>
        <v>0</v>
      </c>
      <c r="AB24" s="120" t="n">
        <f aca="false">IF(AND(AB$5&gt;=$M$12,AB$5&lt;$N$12),$E$12-$F$12-IF(AB$5&gt;=$H$12,$G$12,0),0)*($H$12&lt;&gt;0)+IF(AND(AB$5&gt;=$M$12,AB$5&lt;$N$12),$E$12-$F$12,0)*($H$12=0)</f>
        <v>0</v>
      </c>
      <c r="AC24" s="120" t="n">
        <f aca="false">IF(AND(AC$5&gt;=$M$12,AC$5&lt;$N$12),$E$12-$F$12-IF(AC$5&gt;=$H$12,$G$12,0),0)*($H$12&lt;&gt;0)+IF(AND(AC$5&gt;=$M$12,AC$5&lt;$N$12),$E$12-$F$12,0)*($H$12=0)</f>
        <v>0</v>
      </c>
      <c r="AD24" s="120" t="n">
        <f aca="false">IF(AND(AD$5&gt;=$M$12,AD$5&lt;$N$12),$E$12-$F$12-IF(AD$5&gt;=$H$12,$G$12,0),0)*($H$12&lt;&gt;0)+IF(AND(AD$5&gt;=$M$12,AD$5&lt;$N$12),$E$12-$F$12,0)*($H$12=0)</f>
        <v>0</v>
      </c>
      <c r="AE24" s="120" t="n">
        <f aca="false">IF(AND(AE$5&gt;=$M$12,AE$5&lt;$N$12),$E$12-$F$12-IF(AE$5&gt;=$H$12,$G$12,0),0)*($H$12&lt;&gt;0)+IF(AND(AE$5&gt;=$M$12,AE$5&lt;$N$12),$E$12-$F$12,0)*($H$12=0)</f>
        <v>0</v>
      </c>
      <c r="AF24" s="120" t="n">
        <f aca="false">IF(AND(AF$5&gt;=$M$12,AF$5&lt;$N$12),$E$12-$F$12-IF(AF$5&gt;=$H$12,$G$12,0),0)*($H$12&lt;&gt;0)+IF(AND(AF$5&gt;=$M$12,AF$5&lt;$N$12),$E$12-$F$12,0)*($H$12=0)</f>
        <v>0</v>
      </c>
      <c r="AG24" s="120" t="n">
        <f aca="false">IF(AND(AG$5&gt;=$M$12,AG$5&lt;$N$12),$E$12-$F$12-IF(AG$5&gt;=$H$12,$G$12,0),0)*($H$12&lt;&gt;0)+IF(AND(AG$5&gt;=$M$12,AG$5&lt;$N$12),$E$12-$F$12,0)*($H$12=0)</f>
        <v>0</v>
      </c>
      <c r="AI24" s="120" t="n">
        <f aca="false">INDEX($F24:$AG24,1,MATCH(AI$7,$F$7:$AG$7,1))</f>
        <v>0</v>
      </c>
      <c r="AJ24" s="120" t="n">
        <f aca="false">INDEX($F24:$AG24,1,MATCH(AJ$7,$F$7:$AG$7,1))</f>
        <v>487.5</v>
      </c>
      <c r="AK24" s="120" t="n">
        <f aca="false">INDEX($F24:$AG24,1,MATCH(AK$7,$F$7:$AG$7,1))</f>
        <v>87.5</v>
      </c>
      <c r="AL24" s="120" t="n">
        <f aca="false">INDEX($F24:$AG24,1,MATCH(AL$7,$F$7:$AG$7,1))</f>
        <v>87.5</v>
      </c>
      <c r="AM24" s="120" t="n">
        <f aca="false">INDEX($F24:$AG24,1,MATCH(AM$7,$F$7:$AG$7,1))</f>
        <v>87.5</v>
      </c>
      <c r="AN24" s="120" t="n">
        <f aca="false">INDEX($F24:$AG24,1,MATCH(AN$7,$F$7:$AG$7,1))</f>
        <v>0</v>
      </c>
      <c r="AO24" s="120" t="n">
        <f aca="false">INDEX($F24:$AG24,1,MATCH(AO$7,$F$7:$AG$7,1))</f>
        <v>0</v>
      </c>
    </row>
    <row r="25" customFormat="false" ht="15" hidden="false" customHeight="false" outlineLevel="0" collapsed="false">
      <c r="A25" s="101" t="s">
        <v>1747</v>
      </c>
      <c r="B25" s="18" t="s">
        <v>400</v>
      </c>
      <c r="C25" s="18" t="s">
        <v>389</v>
      </c>
      <c r="D25" s="18"/>
      <c r="F25" s="119" t="n">
        <f aca="false">F24*$C$12/4</f>
        <v>0</v>
      </c>
      <c r="G25" s="119" t="n">
        <f aca="false">G24*$C$12/4</f>
        <v>0</v>
      </c>
      <c r="H25" s="119" t="n">
        <f aca="false">H24*$C$12/4</f>
        <v>0</v>
      </c>
      <c r="I25" s="119" t="n">
        <f aca="false">I24*$C$12/4</f>
        <v>0</v>
      </c>
      <c r="J25" s="119" t="n">
        <f aca="false">J24*$C$12/4</f>
        <v>0</v>
      </c>
      <c r="K25" s="119" t="n">
        <f aca="false">K24*$C$12/4</f>
        <v>2.4375</v>
      </c>
      <c r="L25" s="119" t="n">
        <f aca="false">L24*$C$12/4</f>
        <v>2.4375</v>
      </c>
      <c r="M25" s="119" t="n">
        <f aca="false">M24*$C$12/4</f>
        <v>2.4375</v>
      </c>
      <c r="N25" s="119" t="n">
        <f aca="false">N24*$C$12/4</f>
        <v>2.4375</v>
      </c>
      <c r="O25" s="119" t="n">
        <f aca="false">O24*$C$12/4</f>
        <v>2.4375</v>
      </c>
      <c r="P25" s="120" t="n">
        <f aca="false">P24*$C$12/4</f>
        <v>0.4375</v>
      </c>
      <c r="Q25" s="120" t="n">
        <f aca="false">Q24*$C$12/4</f>
        <v>0.4375</v>
      </c>
      <c r="R25" s="120" t="n">
        <f aca="false">R24*$C$12/4</f>
        <v>0.4375</v>
      </c>
      <c r="S25" s="120" t="n">
        <f aca="false">S24*$C$12/4</f>
        <v>0.4375</v>
      </c>
      <c r="T25" s="120" t="n">
        <f aca="false">T24*$C$12/4</f>
        <v>0.4375</v>
      </c>
      <c r="U25" s="120" t="n">
        <f aca="false">U24*$C$12/4</f>
        <v>0.4375</v>
      </c>
      <c r="V25" s="120" t="n">
        <f aca="false">V24*$C$12/4</f>
        <v>0.4375</v>
      </c>
      <c r="W25" s="120" t="n">
        <f aca="false">W24*$C$12/4</f>
        <v>0.4375</v>
      </c>
      <c r="X25" s="120" t="n">
        <f aca="false">X24*$C$12/4</f>
        <v>0.4375</v>
      </c>
      <c r="Y25" s="120" t="n">
        <f aca="false">Y24*$C$12/4</f>
        <v>0.4375</v>
      </c>
      <c r="Z25" s="120" t="n">
        <f aca="false">Z24*$C$12/4</f>
        <v>0.4375</v>
      </c>
      <c r="AA25" s="120" t="n">
        <f aca="false">AA24*$C$12/4</f>
        <v>0</v>
      </c>
      <c r="AB25" s="120" t="n">
        <f aca="false">AB24*$C$12/4</f>
        <v>0</v>
      </c>
      <c r="AC25" s="120" t="n">
        <f aca="false">AC24*$C$12/4</f>
        <v>0</v>
      </c>
      <c r="AD25" s="120" t="n">
        <f aca="false">AD24*$C$12/4</f>
        <v>0</v>
      </c>
      <c r="AE25" s="120" t="n">
        <f aca="false">AE24*$C$12/4</f>
        <v>0</v>
      </c>
      <c r="AF25" s="120" t="n">
        <f aca="false">AF24*$C$12/4</f>
        <v>0</v>
      </c>
      <c r="AG25" s="120" t="n">
        <f aca="false">AG24*$C$12/4</f>
        <v>0</v>
      </c>
      <c r="AI25" s="120" t="n">
        <f aca="false">SUMIF($F$7:$AG$7,AI$7,$F25:$AG25)</f>
        <v>0</v>
      </c>
      <c r="AJ25" s="120" t="n">
        <f aca="false">SUMIF($F$7:$AG$7,AJ$7,$F25:$AG25)</f>
        <v>7.3125</v>
      </c>
      <c r="AK25" s="120" t="n">
        <f aca="false">SUMIF($F$7:$AG$7,AK$7,$F25:$AG25)</f>
        <v>5.75</v>
      </c>
      <c r="AL25" s="120" t="n">
        <f aca="false">SUMIF($F$7:$AG$7,AL$7,$F25:$AG25)</f>
        <v>1.75</v>
      </c>
      <c r="AM25" s="120" t="n">
        <f aca="false">SUMIF($F$7:$AG$7,AM$7,$F25:$AG25)</f>
        <v>1.75</v>
      </c>
      <c r="AN25" s="120" t="n">
        <f aca="false">SUMIF($F$7:$AG$7,AN$7,$F25:$AG25)</f>
        <v>0.4375</v>
      </c>
      <c r="AO25" s="120" t="n">
        <f aca="false">SUMIF($F$7:$AG$7,AO$7,$F25:$AG25)</f>
        <v>0</v>
      </c>
    </row>
    <row r="26" customFormat="false" ht="15" hidden="false" customHeight="false" outlineLevel="0" collapsed="false">
      <c r="A26" s="101" t="s">
        <v>1748</v>
      </c>
      <c r="B26" s="18" t="s">
        <v>400</v>
      </c>
      <c r="C26" s="18" t="s">
        <v>389</v>
      </c>
      <c r="D26" s="18"/>
      <c r="F26" s="119" t="n">
        <f aca="false">F24*($J$12-1)/(($D$12-$B$12)/91.3125)</f>
        <v>0</v>
      </c>
      <c r="G26" s="119" t="n">
        <f aca="false">G24*($J$12-1)/(($D$12-$B$12)/91.3125)</f>
        <v>0</v>
      </c>
      <c r="H26" s="119" t="n">
        <f aca="false">H24*($J$12-1)/(($D$12-$B$12)/91.3125)</f>
        <v>0</v>
      </c>
      <c r="I26" s="119" t="n">
        <f aca="false">I24*($J$12-1)/(($D$12-$B$12)/91.3125)</f>
        <v>0</v>
      </c>
      <c r="J26" s="119" t="n">
        <f aca="false">J24*($J$12-1)/(($D$12-$B$12)/91.3125)</f>
        <v>0</v>
      </c>
      <c r="K26" s="119" t="n">
        <f aca="false">K24*($J$12-1)/(($D$12-$B$12)/91.3125)</f>
        <v>6.26715854495539</v>
      </c>
      <c r="L26" s="119" t="n">
        <f aca="false">L24*($J$12-1)/(($D$12-$B$12)/91.3125)</f>
        <v>6.26715854495539</v>
      </c>
      <c r="M26" s="119" t="n">
        <f aca="false">M24*($J$12-1)/(($D$12-$B$12)/91.3125)</f>
        <v>6.26715854495539</v>
      </c>
      <c r="N26" s="119" t="n">
        <f aca="false">N24*($J$12-1)/(($D$12-$B$12)/91.3125)</f>
        <v>6.26715854495539</v>
      </c>
      <c r="O26" s="119" t="n">
        <f aca="false">O24*($J$12-1)/(($D$12-$B$12)/91.3125)</f>
        <v>6.26715854495539</v>
      </c>
      <c r="P26" s="120" t="n">
        <f aca="false">P24*($J$12-1)/(($D$12-$B$12)/91.3125)</f>
        <v>1.12487461063302</v>
      </c>
      <c r="Q26" s="120" t="n">
        <f aca="false">Q24*($J$12-1)/(($D$12-$B$12)/91.3125)</f>
        <v>1.12487461063302</v>
      </c>
      <c r="R26" s="120" t="n">
        <f aca="false">R24*($J$12-1)/(($D$12-$B$12)/91.3125)</f>
        <v>1.12487461063302</v>
      </c>
      <c r="S26" s="120" t="n">
        <f aca="false">S24*($J$12-1)/(($D$12-$B$12)/91.3125)</f>
        <v>1.12487461063302</v>
      </c>
      <c r="T26" s="120" t="n">
        <f aca="false">T24*($J$12-1)/(($D$12-$B$12)/91.3125)</f>
        <v>1.12487461063302</v>
      </c>
      <c r="U26" s="120" t="n">
        <f aca="false">U24*($J$12-1)/(($D$12-$B$12)/91.3125)</f>
        <v>1.12487461063302</v>
      </c>
      <c r="V26" s="120" t="n">
        <f aca="false">V24*($J$12-1)/(($D$12-$B$12)/91.3125)</f>
        <v>1.12487461063302</v>
      </c>
      <c r="W26" s="120" t="n">
        <f aca="false">W24*($J$12-1)/(($D$12-$B$12)/91.3125)</f>
        <v>1.12487461063302</v>
      </c>
      <c r="X26" s="120" t="n">
        <f aca="false">X24*($J$12-1)/(($D$12-$B$12)/91.3125)</f>
        <v>1.12487461063302</v>
      </c>
      <c r="Y26" s="120" t="n">
        <f aca="false">Y24*($J$12-1)/(($D$12-$B$12)/91.3125)</f>
        <v>1.12487461063302</v>
      </c>
      <c r="Z26" s="120" t="n">
        <f aca="false">Z24*($J$12-1)/(($D$12-$B$12)/91.3125)</f>
        <v>1.12487461063302</v>
      </c>
      <c r="AA26" s="120" t="n">
        <f aca="false">AA24*($J$12-1)/(($D$12-$B$12)/91.3125)</f>
        <v>0</v>
      </c>
      <c r="AB26" s="120" t="n">
        <f aca="false">AB24*($J$12-1)/(($D$12-$B$12)/91.3125)</f>
        <v>0</v>
      </c>
      <c r="AC26" s="120" t="n">
        <f aca="false">AC24*($J$12-1)/(($D$12-$B$12)/91.3125)</f>
        <v>0</v>
      </c>
      <c r="AD26" s="120" t="n">
        <f aca="false">AD24*($J$12-1)/(($D$12-$B$12)/91.3125)</f>
        <v>0</v>
      </c>
      <c r="AE26" s="120" t="n">
        <f aca="false">AE24*($J$12-1)/(($D$12-$B$12)/91.3125)</f>
        <v>0</v>
      </c>
      <c r="AF26" s="120" t="n">
        <f aca="false">AF24*($J$12-1)/(($D$12-$B$12)/91.3125)</f>
        <v>0</v>
      </c>
      <c r="AG26" s="120" t="n">
        <f aca="false">AG24*($J$12-1)/(($D$12-$B$12)/91.3125)</f>
        <v>0</v>
      </c>
      <c r="AI26" s="120" t="n">
        <f aca="false">SUMIF($F$7:$AG$7,AI$7,$F26:$AG26)</f>
        <v>0</v>
      </c>
      <c r="AJ26" s="120" t="n">
        <f aca="false">SUMIF($F$7:$AG$7,AJ$7,$F26:$AG26)</f>
        <v>18.8014756348662</v>
      </c>
      <c r="AK26" s="120" t="n">
        <f aca="false">SUMIF($F$7:$AG$7,AK$7,$F26:$AG26)</f>
        <v>14.7840663111768</v>
      </c>
      <c r="AL26" s="120" t="n">
        <f aca="false">SUMIF($F$7:$AG$7,AL$7,$F26:$AG26)</f>
        <v>4.49949844253207</v>
      </c>
      <c r="AM26" s="120" t="n">
        <f aca="false">SUMIF($F$7:$AG$7,AM$7,$F26:$AG26)</f>
        <v>4.49949844253207</v>
      </c>
      <c r="AN26" s="120" t="n">
        <f aca="false">SUMIF($F$7:$AG$7,AN$7,$F26:$AG26)</f>
        <v>1.12487461063302</v>
      </c>
      <c r="AO26" s="120" t="n">
        <f aca="false">SUMIF($F$7:$AG$7,AO$7,$F26:$AG26)</f>
        <v>0</v>
      </c>
    </row>
    <row r="27" customFormat="false" ht="15" hidden="false" customHeight="false" outlineLevel="0" collapsed="false">
      <c r="A27" s="101" t="s">
        <v>1749</v>
      </c>
      <c r="B27" s="18" t="s">
        <v>400</v>
      </c>
      <c r="C27" s="18" t="s">
        <v>389</v>
      </c>
      <c r="D27" s="18"/>
      <c r="F27" s="119" t="n">
        <f aca="false">F24*(1+($J$12-1)*MIN(1,MAX(0,(F$4-$B$12)/($D$12-$B$12))))</f>
        <v>0</v>
      </c>
      <c r="G27" s="119" t="n">
        <f aca="false">G24*(1+($J$12-1)*MIN(1,MAX(0,(G$4-$B$12)/($D$12-$B$12))))</f>
        <v>0</v>
      </c>
      <c r="H27" s="119" t="n">
        <f aca="false">H24*(1+($J$12-1)*MIN(1,MAX(0,(H$4-$B$12)/($D$12-$B$12))))</f>
        <v>0</v>
      </c>
      <c r="I27" s="119" t="n">
        <f aca="false">I24*(1+($J$12-1)*MIN(1,MAX(0,(I$4-$B$12)/($D$12-$B$12))))</f>
        <v>0</v>
      </c>
      <c r="J27" s="119" t="n">
        <f aca="false">J24*(1+($J$12-1)*MIN(1,MAX(0,(J$4-$B$12)/($D$12-$B$12))))</f>
        <v>0</v>
      </c>
      <c r="K27" s="119" t="n">
        <f aca="false">K24*(1+($J$12-1)*MIN(1,MAX(0,(K$4-$B$12)/($D$12-$B$12))))</f>
        <v>489.215854495539</v>
      </c>
      <c r="L27" s="119" t="n">
        <f aca="false">L24*(1+($J$12-1)*MIN(1,MAX(0,(L$4-$B$12)/($D$12-$B$12))))</f>
        <v>495.530199039121</v>
      </c>
      <c r="M27" s="119" t="n">
        <f aca="false">M24*(1+($J$12-1)*MIN(1,MAX(0,(M$4-$B$12)/($D$12-$B$12))))</f>
        <v>501.844543582704</v>
      </c>
      <c r="N27" s="119" t="n">
        <f aca="false">N24*(1+($J$12-1)*MIN(1,MAX(0,(N$4-$B$12)/($D$12-$B$12))))</f>
        <v>508.021619766644</v>
      </c>
      <c r="O27" s="119" t="n">
        <f aca="false">O24*(1+($J$12-1)*MIN(1,MAX(0,(O$4-$B$12)/($D$12-$B$12))))</f>
        <v>514.267330130405</v>
      </c>
      <c r="P27" s="120" t="n">
        <f aca="false">P24*(1+($J$12-1)*MIN(1,MAX(0,(P$4-$B$12)/($D$12-$B$12))))</f>
        <v>93.4377364799465</v>
      </c>
      <c r="Q27" s="120" t="n">
        <f aca="false">Q24*(1+($J$12-1)*MIN(1,MAX(0,(Q$4-$B$12)/($D$12-$B$12))))</f>
        <v>94.5710803723844</v>
      </c>
      <c r="R27" s="120" t="n">
        <f aca="false">R24*(1+($J$12-1)*MIN(1,MAX(0,(R$4-$B$12)/($D$12-$B$12))))</f>
        <v>95.6797863541172</v>
      </c>
      <c r="S27" s="120" t="n">
        <f aca="false">S24*(1+($J$12-1)*MIN(1,MAX(0,(S$4-$B$12)/($D$12-$B$12))))</f>
        <v>96.8008112912025</v>
      </c>
      <c r="T27" s="120" t="n">
        <f aca="false">T24*(1+($J$12-1)*MIN(1,MAX(0,(T$4-$B$12)/($D$12-$B$12))))</f>
        <v>97.9341551836404</v>
      </c>
      <c r="U27" s="120" t="n">
        <f aca="false">U24*(1+($J$12-1)*MIN(1,MAX(0,(U$4-$B$12)/($D$12-$B$12))))</f>
        <v>99.0674990760784</v>
      </c>
      <c r="V27" s="120" t="n">
        <f aca="false">V24*(1+($J$12-1)*MIN(1,MAX(0,(V$4-$B$12)/($D$12-$B$12))))</f>
        <v>100.188524013164</v>
      </c>
      <c r="W27" s="120" t="n">
        <f aca="false">W24*(1+($J$12-1)*MIN(1,MAX(0,(W$4-$B$12)/($D$12-$B$12))))</f>
        <v>101.309548950249</v>
      </c>
      <c r="X27" s="120" t="n">
        <f aca="false">X24*(1+($J$12-1)*MIN(1,MAX(0,(X$4-$B$12)/($D$12-$B$12))))</f>
        <v>102.442892842687</v>
      </c>
      <c r="Y27" s="120" t="n">
        <f aca="false">Y24*(1+($J$12-1)*MIN(1,MAX(0,(Y$4-$B$12)/($D$12-$B$12))))</f>
        <v>103.576236735125</v>
      </c>
      <c r="Z27" s="120" t="n">
        <f aca="false">Z24*(1+($J$12-1)*MIN(1,MAX(0,(Z$4-$B$12)/($D$12-$B$12))))</f>
        <v>104.684942716858</v>
      </c>
      <c r="AA27" s="120" t="n">
        <f aca="false">AA24*(1+($J$12-1)*MIN(1,MAX(0,(AA$4-$B$12)/($D$12-$B$12))))</f>
        <v>0</v>
      </c>
      <c r="AB27" s="120" t="n">
        <f aca="false">AB24*(1+($J$12-1)*MIN(1,MAX(0,(AB$4-$B$12)/($D$12-$B$12))))</f>
        <v>0</v>
      </c>
      <c r="AC27" s="120" t="n">
        <f aca="false">AC24*(1+($J$12-1)*MIN(1,MAX(0,(AC$4-$B$12)/($D$12-$B$12))))</f>
        <v>0</v>
      </c>
      <c r="AD27" s="120" t="n">
        <f aca="false">AD24*(1+($J$12-1)*MIN(1,MAX(0,(AD$4-$B$12)/($D$12-$B$12))))</f>
        <v>0</v>
      </c>
      <c r="AE27" s="120" t="n">
        <f aca="false">AE24*(1+($J$12-1)*MIN(1,MAX(0,(AE$4-$B$12)/($D$12-$B$12))))</f>
        <v>0</v>
      </c>
      <c r="AF27" s="120" t="n">
        <f aca="false">AF24*(1+($J$12-1)*MIN(1,MAX(0,(AF$4-$B$12)/($D$12-$B$12))))</f>
        <v>0</v>
      </c>
      <c r="AG27" s="120" t="n">
        <f aca="false">AG24*(1+($J$12-1)*MIN(1,MAX(0,(AG$4-$B$12)/($D$12-$B$12))))</f>
        <v>0</v>
      </c>
      <c r="AI27" s="120" t="n">
        <f aca="false">INDEX($F27:$AG27,1,MATCH(AI$7,$F$7:$AG$7,1))</f>
        <v>0</v>
      </c>
      <c r="AJ27" s="120" t="n">
        <f aca="false">INDEX($F27:$AG27,1,MATCH(AJ$7,$F$7:$AG$7,1))</f>
        <v>501.844543582704</v>
      </c>
      <c r="AK27" s="120" t="n">
        <f aca="false">INDEX($F27:$AG27,1,MATCH(AK$7,$F$7:$AG$7,1))</f>
        <v>94.5710803723844</v>
      </c>
      <c r="AL27" s="120" t="n">
        <f aca="false">INDEX($F27:$AG27,1,MATCH(AL$7,$F$7:$AG$7,1))</f>
        <v>99.0674990760784</v>
      </c>
      <c r="AM27" s="120" t="n">
        <f aca="false">INDEX($F27:$AG27,1,MATCH(AM$7,$F$7:$AG$7,1))</f>
        <v>103.576236735125</v>
      </c>
      <c r="AN27" s="120" t="n">
        <f aca="false">INDEX($F27:$AG27,1,MATCH(AN$7,$F$7:$AG$7,1))</f>
        <v>0</v>
      </c>
      <c r="AO27" s="120" t="n">
        <f aca="false">INDEX($F27:$AG27,1,MATCH(AO$7,$F$7:$AG$7,1))</f>
        <v>0</v>
      </c>
    </row>
    <row r="28" customFormat="false" ht="15" hidden="false" customHeight="false" outlineLevel="0" collapsed="false">
      <c r="A28" s="101" t="s">
        <v>1750</v>
      </c>
      <c r="B28" s="18" t="s">
        <v>400</v>
      </c>
      <c r="C28" s="18" t="s">
        <v>389</v>
      </c>
      <c r="D28" s="18"/>
      <c r="F28" s="119" t="n">
        <f aca="false">IF(F$5=$N$12,E24*$J$12*(1-$O$12),0)</f>
        <v>0</v>
      </c>
      <c r="G28" s="119" t="n">
        <f aca="false">IF(G$5=$N$12,F24*$J$12*(1-$O$12),0)</f>
        <v>0</v>
      </c>
      <c r="H28" s="119" t="n">
        <f aca="false">IF(H$5=$N$12,G24*$J$12*(1-$O$12),0)</f>
        <v>0</v>
      </c>
      <c r="I28" s="119" t="n">
        <f aca="false">IF(I$5=$N$12,H24*$J$12*(1-$O$12),0)</f>
        <v>0</v>
      </c>
      <c r="J28" s="119" t="n">
        <f aca="false">IF(J$5=$N$12,I24*$J$12*(1-$O$12),0)</f>
        <v>0</v>
      </c>
      <c r="K28" s="119" t="n">
        <f aca="false">IF(K$5=$N$12,J24*$J$12*(1-$O$12),0)</f>
        <v>0</v>
      </c>
      <c r="L28" s="119" t="n">
        <f aca="false">IF(L$5=$N$12,K24*$J$12*(1-$O$12),0)</f>
        <v>0</v>
      </c>
      <c r="M28" s="119" t="n">
        <f aca="false">IF(M$5=$N$12,L24*$J$12*(1-$O$12),0)</f>
        <v>0</v>
      </c>
      <c r="N28" s="119" t="n">
        <f aca="false">IF(N$5=$N$12,M24*$J$12*(1-$O$12),0)</f>
        <v>0</v>
      </c>
      <c r="O28" s="119" t="n">
        <f aca="false">IF(O$5=$N$12,N24*$J$12*(1-$O$12),0)</f>
        <v>0</v>
      </c>
      <c r="P28" s="120" t="n">
        <f aca="false">IF(P$5=$N$12,O24*$J$12*(1-$O$12),0)</f>
        <v>0</v>
      </c>
      <c r="Q28" s="120" t="n">
        <f aca="false">IF(Q$5=$N$12,P24*$J$12*(1-$O$12),0)</f>
        <v>0</v>
      </c>
      <c r="R28" s="120" t="n">
        <f aca="false">IF(R$5=$N$12,Q24*$J$12*(1-$O$12),0)</f>
        <v>0</v>
      </c>
      <c r="S28" s="120" t="n">
        <f aca="false">IF(S$5=$N$12,R24*$J$12*(1-$O$12),0)</f>
        <v>0</v>
      </c>
      <c r="T28" s="120" t="n">
        <f aca="false">IF(T$5=$N$12,S24*$J$12*(1-$O$12),0)</f>
        <v>0</v>
      </c>
      <c r="U28" s="120" t="n">
        <f aca="false">IF(U$5=$N$12,T24*$J$12*(1-$O$12),0)</f>
        <v>0</v>
      </c>
      <c r="V28" s="120" t="n">
        <f aca="false">IF(V$5=$N$12,U24*$J$12*(1-$O$12),0)</f>
        <v>0</v>
      </c>
      <c r="W28" s="120" t="n">
        <f aca="false">IF(W$5=$N$12,V24*$J$12*(1-$O$12),0)</f>
        <v>0</v>
      </c>
      <c r="X28" s="120" t="n">
        <f aca="false">IF(X$5=$N$12,W24*$J$12*(1-$O$12),0)</f>
        <v>0</v>
      </c>
      <c r="Y28" s="120" t="n">
        <f aca="false">IF(Y$5=$N$12,X24*$J$12*(1-$O$12),0)</f>
        <v>0</v>
      </c>
      <c r="Z28" s="120" t="n">
        <f aca="false">IF(Z$5=$N$12,Y24*$J$12*(1-$O$12),0)</f>
        <v>0</v>
      </c>
      <c r="AA28" s="120" t="n">
        <f aca="false">IF(AA$5=$N$12,Z24*$J$12*(1-$O$12),0)</f>
        <v>0</v>
      </c>
      <c r="AB28" s="120" t="n">
        <f aca="false">IF(AB$5=$N$12,AA24*$J$12*(1-$O$12),0)</f>
        <v>0</v>
      </c>
      <c r="AC28" s="120" t="n">
        <f aca="false">IF(AC$5=$N$12,AB24*$J$12*(1-$O$12),0)</f>
        <v>0</v>
      </c>
      <c r="AD28" s="120" t="n">
        <f aca="false">IF(AD$5=$N$12,AC24*$J$12*(1-$O$12),0)</f>
        <v>0</v>
      </c>
      <c r="AE28" s="120" t="n">
        <f aca="false">IF(AE$5=$N$12,AD24*$J$12*(1-$O$12),0)</f>
        <v>0</v>
      </c>
      <c r="AF28" s="120" t="n">
        <f aca="false">IF(AF$5=$N$12,AE24*$J$12*(1-$O$12),0)</f>
        <v>0</v>
      </c>
      <c r="AG28" s="120" t="n">
        <f aca="false">IF(AG$5=$N$12,AF24*$J$12*(1-$O$12),0)</f>
        <v>0</v>
      </c>
      <c r="AI28" s="120" t="n">
        <f aca="false">SUMIF($F$7:$AG$7,AI$7,$F28:$AG28)</f>
        <v>0</v>
      </c>
      <c r="AJ28" s="120" t="n">
        <f aca="false">SUMIF($F$7:$AG$7,AJ$7,$F28:$AG28)</f>
        <v>0</v>
      </c>
      <c r="AK28" s="120" t="n">
        <f aca="false">SUMIF($F$7:$AG$7,AK$7,$F28:$AG28)</f>
        <v>0</v>
      </c>
      <c r="AL28" s="120" t="n">
        <f aca="false">SUMIF($F$7:$AG$7,AL$7,$F28:$AG28)</f>
        <v>0</v>
      </c>
      <c r="AM28" s="120" t="n">
        <f aca="false">SUMIF($F$7:$AG$7,AM$7,$F28:$AG28)</f>
        <v>0</v>
      </c>
      <c r="AN28" s="120" t="n">
        <f aca="false">SUMIF($F$7:$AG$7,AN$7,$F28:$AG28)</f>
        <v>0</v>
      </c>
      <c r="AO28" s="120" t="n">
        <f aca="false">SUMIF($F$7:$AG$7,AO$7,$F28:$AG28)</f>
        <v>0</v>
      </c>
    </row>
    <row r="29" customFormat="false" ht="15" hidden="false" customHeight="false" outlineLevel="0" collapsed="false">
      <c r="A29" s="101" t="s">
        <v>1751</v>
      </c>
      <c r="B29" s="18" t="s">
        <v>781</v>
      </c>
      <c r="C29" s="18" t="s">
        <v>389</v>
      </c>
      <c r="D29" s="18"/>
      <c r="F29" s="131" t="n">
        <f aca="false">IF(F$5=$N$12,E24*$K$12/1000*$O$12,0)</f>
        <v>0</v>
      </c>
      <c r="G29" s="131" t="n">
        <f aca="false">IF(G$5=$N$12,F24*$K$12/1000*$O$12,0)</f>
        <v>0</v>
      </c>
      <c r="H29" s="131" t="n">
        <f aca="false">IF(H$5=$N$12,G24*$K$12/1000*$O$12,0)</f>
        <v>0</v>
      </c>
      <c r="I29" s="131" t="n">
        <f aca="false">IF(I$5=$N$12,H24*$K$12/1000*$O$12,0)</f>
        <v>0</v>
      </c>
      <c r="J29" s="131" t="n">
        <f aca="false">IF(J$5=$N$12,I24*$K$12/1000*$O$12,0)</f>
        <v>0</v>
      </c>
      <c r="K29" s="131" t="n">
        <f aca="false">IF(K$5=$N$12,J24*$K$12/1000*$O$12,0)</f>
        <v>0</v>
      </c>
      <c r="L29" s="131" t="n">
        <f aca="false">IF(L$5=$N$12,K24*$K$12/1000*$O$12,0)</f>
        <v>0</v>
      </c>
      <c r="M29" s="131" t="n">
        <f aca="false">IF(M$5=$N$12,L24*$K$12/1000*$O$12,0)</f>
        <v>0</v>
      </c>
      <c r="N29" s="131" t="n">
        <f aca="false">IF(N$5=$N$12,M24*$K$12/1000*$O$12,0)</f>
        <v>0</v>
      </c>
      <c r="O29" s="131" t="n">
        <f aca="false">IF(O$5=$N$12,N24*$K$12/1000*$O$12,0)</f>
        <v>0</v>
      </c>
      <c r="P29" s="37" t="n">
        <f aca="false">IF(P$5=$N$12,O24*$K$12/1000*$O$12,0)</f>
        <v>0</v>
      </c>
      <c r="Q29" s="37" t="n">
        <f aca="false">IF(Q$5=$N$12,P24*$K$12/1000*$O$12,0)</f>
        <v>0</v>
      </c>
      <c r="R29" s="37" t="n">
        <f aca="false">IF(R$5=$N$12,Q24*$K$12/1000*$O$12,0)</f>
        <v>0</v>
      </c>
      <c r="S29" s="37" t="n">
        <f aca="false">IF(S$5=$N$12,R24*$K$12/1000*$O$12,0)</f>
        <v>0</v>
      </c>
      <c r="T29" s="37" t="n">
        <f aca="false">IF(T$5=$N$12,S24*$K$12/1000*$O$12,0)</f>
        <v>0</v>
      </c>
      <c r="U29" s="37" t="n">
        <f aca="false">IF(U$5=$N$12,T24*$K$12/1000*$O$12,0)</f>
        <v>0</v>
      </c>
      <c r="V29" s="37" t="n">
        <f aca="false">IF(V$5=$N$12,U24*$K$12/1000*$O$12,0)</f>
        <v>0</v>
      </c>
      <c r="W29" s="37" t="n">
        <f aca="false">IF(W$5=$N$12,V24*$K$12/1000*$O$12,0)</f>
        <v>0</v>
      </c>
      <c r="X29" s="37" t="n">
        <f aca="false">IF(X$5=$N$12,W24*$K$12/1000*$O$12,0)</f>
        <v>0</v>
      </c>
      <c r="Y29" s="37" t="n">
        <f aca="false">IF(Y$5=$N$12,X24*$K$12/1000*$O$12,0)</f>
        <v>0</v>
      </c>
      <c r="Z29" s="37" t="n">
        <f aca="false">IF(Z$5=$N$12,Y24*$K$12/1000*$O$12,0)</f>
        <v>0</v>
      </c>
      <c r="AA29" s="37" t="n">
        <f aca="false">IF(AA$5=$N$12,Z24*$K$12/1000*$O$12,0)</f>
        <v>1.70067625</v>
      </c>
      <c r="AB29" s="37" t="n">
        <f aca="false">IF(AB$5=$N$12,AA24*$K$12/1000*$O$12,0)</f>
        <v>0</v>
      </c>
      <c r="AC29" s="37" t="n">
        <f aca="false">IF(AC$5=$N$12,AB24*$K$12/1000*$O$12,0)</f>
        <v>0</v>
      </c>
      <c r="AD29" s="37" t="n">
        <f aca="false">IF(AD$5=$N$12,AC24*$K$12/1000*$O$12,0)</f>
        <v>0</v>
      </c>
      <c r="AE29" s="37" t="n">
        <f aca="false">IF(AE$5=$N$12,AD24*$K$12/1000*$O$12,0)</f>
        <v>0</v>
      </c>
      <c r="AF29" s="37" t="n">
        <f aca="false">IF(AF$5=$N$12,AE24*$K$12/1000*$O$12,0)</f>
        <v>0</v>
      </c>
      <c r="AG29" s="37" t="n">
        <f aca="false">IF(AG$5=$N$12,AF24*$K$12/1000*$O$12,0)</f>
        <v>0</v>
      </c>
      <c r="AI29" s="37" t="n">
        <f aca="false">SUMIF($F$7:$AG$7,AI$7,$F29:$AG29)</f>
        <v>0</v>
      </c>
      <c r="AJ29" s="37" t="n">
        <f aca="false">SUMIF($F$7:$AG$7,AJ$7,$F29:$AG29)</f>
        <v>0</v>
      </c>
      <c r="AK29" s="37" t="n">
        <f aca="false">SUMIF($F$7:$AG$7,AK$7,$F29:$AG29)</f>
        <v>0</v>
      </c>
      <c r="AL29" s="37" t="n">
        <f aca="false">SUMIF($F$7:$AG$7,AL$7,$F29:$AG29)</f>
        <v>0</v>
      </c>
      <c r="AM29" s="37" t="n">
        <f aca="false">SUMIF($F$7:$AG$7,AM$7,$F29:$AG29)</f>
        <v>0</v>
      </c>
      <c r="AN29" s="37" t="n">
        <f aca="false">SUMIF($F$7:$AG$7,AN$7,$F29:$AG29)</f>
        <v>1.70067625</v>
      </c>
      <c r="AO29" s="37" t="n">
        <f aca="false">SUMIF($F$7:$AG$7,AO$7,$F29:$AG29)</f>
        <v>0</v>
      </c>
    </row>
    <row r="30" customFormat="false" ht="15" hidden="false" customHeight="false" outlineLevel="0" collapsed="false">
      <c r="A30" s="101" t="s">
        <v>1752</v>
      </c>
      <c r="B30" s="18" t="s">
        <v>781</v>
      </c>
      <c r="C30" s="18" t="s">
        <v>336</v>
      </c>
      <c r="D30" s="18"/>
      <c r="F30" s="131" t="n">
        <f aca="false">IF(DilMethod=3,MAX(0,F24*$K$12/1000*DilPx-F27)/DilPx,F24*$K$12/1000*$P$12)</f>
        <v>0</v>
      </c>
      <c r="G30" s="131" t="n">
        <f aca="false">IF(DilMethod=3,MAX(0,G24*$K$12/1000*DilPx-G27)/DilPx,G24*$K$12/1000*$P$12)</f>
        <v>0</v>
      </c>
      <c r="H30" s="131" t="n">
        <f aca="false">IF(DilMethod=3,MAX(0,H24*$K$12/1000*DilPx-H27)/DilPx,H24*$K$12/1000*$P$12)</f>
        <v>0</v>
      </c>
      <c r="I30" s="131" t="n">
        <f aca="false">IF(DilMethod=3,MAX(0,I24*$K$12/1000*DilPx-I27)/DilPx,I24*$K$12/1000*$P$12)</f>
        <v>0</v>
      </c>
      <c r="J30" s="131" t="n">
        <f aca="false">IF(DilMethod=3,MAX(0,J24*$K$12/1000*DilPx-J27)/DilPx,J24*$K$12/1000*$P$12)</f>
        <v>0</v>
      </c>
      <c r="K30" s="131" t="n">
        <f aca="false">IF(DilMethod=3,MAX(0,K24*$K$12/1000*DilPx-K27)/DilPx,K24*$K$12/1000*$P$12)</f>
        <v>9.47519625</v>
      </c>
      <c r="L30" s="131" t="n">
        <f aca="false">IF(DilMethod=3,MAX(0,L24*$K$12/1000*DilPx-L27)/DilPx,L24*$K$12/1000*$P$12)</f>
        <v>9.47519625</v>
      </c>
      <c r="M30" s="131" t="n">
        <f aca="false">IF(DilMethod=3,MAX(0,M24*$K$12/1000*DilPx-M27)/DilPx,M24*$K$12/1000*$P$12)</f>
        <v>9.47519625</v>
      </c>
      <c r="N30" s="131" t="n">
        <f aca="false">IF(DilMethod=3,MAX(0,N24*$K$12/1000*DilPx-N27)/DilPx,N24*$K$12/1000*$P$12)</f>
        <v>9.47519625</v>
      </c>
      <c r="O30" s="131" t="n">
        <f aca="false">IF(DilMethod=3,MAX(0,O24*$K$12/1000*DilPx-O27)/DilPx,O24*$K$12/1000*$P$12)</f>
        <v>9.47519625</v>
      </c>
      <c r="P30" s="37" t="n">
        <f aca="false">IF(DilMethod=3,MAX(0,P24*$K$12/1000*DilPx-P27)/DilPx,P24*$K$12/1000*$P$12)</f>
        <v>1.70067625</v>
      </c>
      <c r="Q30" s="37" t="n">
        <f aca="false">IF(DilMethod=3,MAX(0,Q24*$K$12/1000*DilPx-Q27)/DilPx,Q24*$K$12/1000*$P$12)</f>
        <v>1.70067625</v>
      </c>
      <c r="R30" s="37" t="n">
        <f aca="false">IF(DilMethod=3,MAX(0,R24*$K$12/1000*DilPx-R27)/DilPx,R24*$K$12/1000*$P$12)</f>
        <v>1.70067625</v>
      </c>
      <c r="S30" s="37" t="n">
        <f aca="false">IF(DilMethod=3,MAX(0,S24*$K$12/1000*DilPx-S27)/DilPx,S24*$K$12/1000*$P$12)</f>
        <v>1.70067625</v>
      </c>
      <c r="T30" s="37" t="n">
        <f aca="false">IF(DilMethod=3,MAX(0,T24*$K$12/1000*DilPx-T27)/DilPx,T24*$K$12/1000*$P$12)</f>
        <v>1.70067625</v>
      </c>
      <c r="U30" s="37" t="n">
        <f aca="false">IF(DilMethod=3,MAX(0,U24*$K$12/1000*DilPx-U27)/DilPx,U24*$K$12/1000*$P$12)</f>
        <v>1.70067625</v>
      </c>
      <c r="V30" s="37" t="n">
        <f aca="false">IF(DilMethod=3,MAX(0,V24*$K$12/1000*DilPx-V27)/DilPx,V24*$K$12/1000*$P$12)</f>
        <v>1.70067625</v>
      </c>
      <c r="W30" s="37" t="n">
        <f aca="false">IF(DilMethod=3,MAX(0,W24*$K$12/1000*DilPx-W27)/DilPx,W24*$K$12/1000*$P$12)</f>
        <v>1.70067625</v>
      </c>
      <c r="X30" s="37" t="n">
        <f aca="false">IF(DilMethod=3,MAX(0,X24*$K$12/1000*DilPx-X27)/DilPx,X24*$K$12/1000*$P$12)</f>
        <v>1.70067625</v>
      </c>
      <c r="Y30" s="37" t="n">
        <f aca="false">IF(DilMethod=3,MAX(0,Y24*$K$12/1000*DilPx-Y27)/DilPx,Y24*$K$12/1000*$P$12)</f>
        <v>1.70067625</v>
      </c>
      <c r="Z30" s="37" t="n">
        <f aca="false">IF(DilMethod=3,MAX(0,Z24*$K$12/1000*DilPx-Z27)/DilPx,Z24*$K$12/1000*$P$12)</f>
        <v>1.70067625</v>
      </c>
      <c r="AA30" s="37" t="n">
        <f aca="false">IF(DilMethod=3,MAX(0,AA24*$K$12/1000*DilPx-AA27)/DilPx,AA24*$K$12/1000*$P$12)</f>
        <v>0</v>
      </c>
      <c r="AB30" s="37" t="n">
        <f aca="false">IF(DilMethod=3,MAX(0,AB24*$K$12/1000*DilPx-AB27)/DilPx,AB24*$K$12/1000*$P$12)</f>
        <v>0</v>
      </c>
      <c r="AC30" s="37" t="n">
        <f aca="false">IF(DilMethod=3,MAX(0,AC24*$K$12/1000*DilPx-AC27)/DilPx,AC24*$K$12/1000*$P$12)</f>
        <v>0</v>
      </c>
      <c r="AD30" s="37" t="n">
        <f aca="false">IF(DilMethod=3,MAX(0,AD24*$K$12/1000*DilPx-AD27)/DilPx,AD24*$K$12/1000*$P$12)</f>
        <v>0</v>
      </c>
      <c r="AE30" s="37" t="n">
        <f aca="false">IF(DilMethod=3,MAX(0,AE24*$K$12/1000*DilPx-AE27)/DilPx,AE24*$K$12/1000*$P$12)</f>
        <v>0</v>
      </c>
      <c r="AF30" s="37" t="n">
        <f aca="false">IF(DilMethod=3,MAX(0,AF24*$K$12/1000*DilPx-AF27)/DilPx,AF24*$K$12/1000*$P$12)</f>
        <v>0</v>
      </c>
      <c r="AG30" s="37" t="n">
        <f aca="false">IF(DilMethod=3,MAX(0,AG24*$K$12/1000*DilPx-AG27)/DilPx,AG24*$K$12/1000*$P$12)</f>
        <v>0</v>
      </c>
      <c r="AI30" s="37" t="n">
        <f aca="false">INDEX($F30:$AG30,1,MATCH(AI$7,$F$7:$AG$7,1))</f>
        <v>0</v>
      </c>
      <c r="AJ30" s="37" t="n">
        <f aca="false">INDEX($F30:$AG30,1,MATCH(AJ$7,$F$7:$AG$7,1))</f>
        <v>9.47519625</v>
      </c>
      <c r="AK30" s="37" t="n">
        <f aca="false">INDEX($F30:$AG30,1,MATCH(AK$7,$F$7:$AG$7,1))</f>
        <v>1.70067625</v>
      </c>
      <c r="AL30" s="37" t="n">
        <f aca="false">INDEX($F30:$AG30,1,MATCH(AL$7,$F$7:$AG$7,1))</f>
        <v>1.70067625</v>
      </c>
      <c r="AM30" s="37" t="n">
        <f aca="false">INDEX($F30:$AG30,1,MATCH(AM$7,$F$7:$AG$7,1))</f>
        <v>1.70067625</v>
      </c>
      <c r="AN30" s="37" t="n">
        <f aca="false">INDEX($F30:$AG30,1,MATCH(AN$7,$F$7:$AG$7,1))</f>
        <v>0</v>
      </c>
      <c r="AO30" s="37" t="n">
        <f aca="false">INDEX($F30:$AG30,1,MATCH(AO$7,$F$7:$AG$7,1))</f>
        <v>0</v>
      </c>
    </row>
    <row r="31" customFormat="false" ht="15" hidden="false" customHeight="false" outlineLevel="0" collapsed="false">
      <c r="A31" s="101" t="s">
        <v>1753</v>
      </c>
      <c r="B31" s="18" t="s">
        <v>400</v>
      </c>
      <c r="C31" s="18" t="s">
        <v>336</v>
      </c>
      <c r="D31" s="18"/>
      <c r="F31" s="119" t="n">
        <f aca="false">F27*IF(DilMethod=3,1,1-$P$12)</f>
        <v>0</v>
      </c>
      <c r="G31" s="119" t="n">
        <f aca="false">G27*IF(DilMethod=3,1,1-$P$12)</f>
        <v>0</v>
      </c>
      <c r="H31" s="119" t="n">
        <f aca="false">H27*IF(DilMethod=3,1,1-$P$12)</f>
        <v>0</v>
      </c>
      <c r="I31" s="119" t="n">
        <f aca="false">I27*IF(DilMethod=3,1,1-$P$12)</f>
        <v>0</v>
      </c>
      <c r="J31" s="119" t="n">
        <f aca="false">J27*IF(DilMethod=3,1,1-$P$12)</f>
        <v>0</v>
      </c>
      <c r="K31" s="119" t="n">
        <f aca="false">K27*IF(DilMethod=3,1,1-$P$12)</f>
        <v>0</v>
      </c>
      <c r="L31" s="119" t="n">
        <f aca="false">L27*IF(DilMethod=3,1,1-$P$12)</f>
        <v>0</v>
      </c>
      <c r="M31" s="119" t="n">
        <f aca="false">M27*IF(DilMethod=3,1,1-$P$12)</f>
        <v>0</v>
      </c>
      <c r="N31" s="119" t="n">
        <f aca="false">N27*IF(DilMethod=3,1,1-$P$12)</f>
        <v>0</v>
      </c>
      <c r="O31" s="119" t="n">
        <f aca="false">O27*IF(DilMethod=3,1,1-$P$12)</f>
        <v>0</v>
      </c>
      <c r="P31" s="120" t="n">
        <f aca="false">P27*IF(DilMethod=3,1,1-$P$12)</f>
        <v>0</v>
      </c>
      <c r="Q31" s="120" t="n">
        <f aca="false">Q27*IF(DilMethod=3,1,1-$P$12)</f>
        <v>0</v>
      </c>
      <c r="R31" s="120" t="n">
        <f aca="false">R27*IF(DilMethod=3,1,1-$P$12)</f>
        <v>0</v>
      </c>
      <c r="S31" s="120" t="n">
        <f aca="false">S27*IF(DilMethod=3,1,1-$P$12)</f>
        <v>0</v>
      </c>
      <c r="T31" s="120" t="n">
        <f aca="false">T27*IF(DilMethod=3,1,1-$P$12)</f>
        <v>0</v>
      </c>
      <c r="U31" s="120" t="n">
        <f aca="false">U27*IF(DilMethod=3,1,1-$P$12)</f>
        <v>0</v>
      </c>
      <c r="V31" s="120" t="n">
        <f aca="false">V27*IF(DilMethod=3,1,1-$P$12)</f>
        <v>0</v>
      </c>
      <c r="W31" s="120" t="n">
        <f aca="false">W27*IF(DilMethod=3,1,1-$P$12)</f>
        <v>0</v>
      </c>
      <c r="X31" s="120" t="n">
        <f aca="false">X27*IF(DilMethod=3,1,1-$P$12)</f>
        <v>0</v>
      </c>
      <c r="Y31" s="120" t="n">
        <f aca="false">Y27*IF(DilMethod=3,1,1-$P$12)</f>
        <v>0</v>
      </c>
      <c r="Z31" s="120" t="n">
        <f aca="false">Z27*IF(DilMethod=3,1,1-$P$12)</f>
        <v>0</v>
      </c>
      <c r="AA31" s="120" t="n">
        <f aca="false">AA27*IF(DilMethod=3,1,1-$P$12)</f>
        <v>0</v>
      </c>
      <c r="AB31" s="120" t="n">
        <f aca="false">AB27*IF(DilMethod=3,1,1-$P$12)</f>
        <v>0</v>
      </c>
      <c r="AC31" s="120" t="n">
        <f aca="false">AC27*IF(DilMethod=3,1,1-$P$12)</f>
        <v>0</v>
      </c>
      <c r="AD31" s="120" t="n">
        <f aca="false">AD27*IF(DilMethod=3,1,1-$P$12)</f>
        <v>0</v>
      </c>
      <c r="AE31" s="120" t="n">
        <f aca="false">AE27*IF(DilMethod=3,1,1-$P$12)</f>
        <v>0</v>
      </c>
      <c r="AF31" s="120" t="n">
        <f aca="false">AF27*IF(DilMethod=3,1,1-$P$12)</f>
        <v>0</v>
      </c>
      <c r="AG31" s="120" t="n">
        <f aca="false">AG27*IF(DilMethod=3,1,1-$P$12)</f>
        <v>0</v>
      </c>
      <c r="AI31" s="120" t="n">
        <f aca="false">INDEX($F31:$AG31,1,MATCH(AI$7,$F$7:$AG$7,1))</f>
        <v>0</v>
      </c>
      <c r="AJ31" s="120" t="n">
        <f aca="false">INDEX($F31:$AG31,1,MATCH(AJ$7,$F$7:$AG$7,1))</f>
        <v>0</v>
      </c>
      <c r="AK31" s="120" t="n">
        <f aca="false">INDEX($F31:$AG31,1,MATCH(AK$7,$F$7:$AG$7,1))</f>
        <v>0</v>
      </c>
      <c r="AL31" s="120" t="n">
        <f aca="false">INDEX($F31:$AG31,1,MATCH(AL$7,$F$7:$AG$7,1))</f>
        <v>0</v>
      </c>
      <c r="AM31" s="120" t="n">
        <f aca="false">INDEX($F31:$AG31,1,MATCH(AM$7,$F$7:$AG$7,1))</f>
        <v>0</v>
      </c>
      <c r="AN31" s="120" t="n">
        <f aca="false">INDEX($F31:$AG31,1,MATCH(AN$7,$F$7:$AG$7,1))</f>
        <v>0</v>
      </c>
      <c r="AO31" s="120" t="n">
        <f aca="false">INDEX($F31:$AG31,1,MATCH(AO$7,$F$7:$AG$7,1))</f>
        <v>0</v>
      </c>
    </row>
    <row r="32" customFormat="false" ht="15" hidden="false" customHeight="false" outlineLevel="0" collapsed="false">
      <c r="A32" s="101" t="s">
        <v>1754</v>
      </c>
      <c r="B32" s="18" t="s">
        <v>400</v>
      </c>
      <c r="C32" s="18" t="s">
        <v>389</v>
      </c>
      <c r="D32" s="18"/>
      <c r="F32" s="119" t="n">
        <f aca="false">IF(AND(F$5&gt;=$M$13,F$5&lt;$N$13),$E$13-$F$13-IF(F$5&gt;=$H$13,$G$13,0),0)*($H$13&lt;&gt;0)+IF(AND(F$5&gt;=$M$13,F$5&lt;$N$13),$E$13-$F$13,0)*($H$13=0)</f>
        <v>0</v>
      </c>
      <c r="G32" s="119" t="n">
        <f aca="false">IF(AND(G$5&gt;=$M$13,G$5&lt;$N$13),$E$13-$F$13-IF(G$5&gt;=$H$13,$G$13,0),0)*($H$13&lt;&gt;0)+IF(AND(G$5&gt;=$M$13,G$5&lt;$N$13),$E$13-$F$13,0)*($H$13=0)</f>
        <v>0</v>
      </c>
      <c r="H32" s="119" t="n">
        <f aca="false">IF(AND(H$5&gt;=$M$13,H$5&lt;$N$13),$E$13-$F$13-IF(H$5&gt;=$H$13,$G$13,0),0)*($H$13&lt;&gt;0)+IF(AND(H$5&gt;=$M$13,H$5&lt;$N$13),$E$13-$F$13,0)*($H$13=0)</f>
        <v>0</v>
      </c>
      <c r="I32" s="119" t="n">
        <f aca="false">IF(AND(I$5&gt;=$M$13,I$5&lt;$N$13),$E$13-$F$13-IF(I$5&gt;=$H$13,$G$13,0),0)*($H$13&lt;&gt;0)+IF(AND(I$5&gt;=$M$13,I$5&lt;$N$13),$E$13-$F$13,0)*($H$13=0)</f>
        <v>0</v>
      </c>
      <c r="J32" s="119" t="n">
        <f aca="false">IF(AND(J$5&gt;=$M$13,J$5&lt;$N$13),$E$13-$F$13-IF(J$5&gt;=$H$13,$G$13,0),0)*($H$13&lt;&gt;0)+IF(AND(J$5&gt;=$M$13,J$5&lt;$N$13),$E$13-$F$13,0)*($H$13=0)</f>
        <v>0</v>
      </c>
      <c r="K32" s="119" t="n">
        <f aca="false">IF(AND(K$5&gt;=$M$13,K$5&lt;$N$13),$E$13-$F$13-IF(K$5&gt;=$H$13,$G$13,0),0)*($H$13&lt;&gt;0)+IF(AND(K$5&gt;=$M$13,K$5&lt;$N$13),$E$13-$F$13,0)*($H$13=0)</f>
        <v>487.5</v>
      </c>
      <c r="L32" s="119" t="n">
        <f aca="false">IF(AND(L$5&gt;=$M$13,L$5&lt;$N$13),$E$13-$F$13-IF(L$5&gt;=$H$13,$G$13,0),0)*($H$13&lt;&gt;0)+IF(AND(L$5&gt;=$M$13,L$5&lt;$N$13),$E$13-$F$13,0)*($H$13=0)</f>
        <v>487.5</v>
      </c>
      <c r="M32" s="119" t="n">
        <f aca="false">IF(AND(M$5&gt;=$M$13,M$5&lt;$N$13),$E$13-$F$13-IF(M$5&gt;=$H$13,$G$13,0),0)*($H$13&lt;&gt;0)+IF(AND(M$5&gt;=$M$13,M$5&lt;$N$13),$E$13-$F$13,0)*($H$13=0)</f>
        <v>487.5</v>
      </c>
      <c r="N32" s="119" t="n">
        <f aca="false">IF(AND(N$5&gt;=$M$13,N$5&lt;$N$13),$E$13-$F$13-IF(N$5&gt;=$H$13,$G$13,0),0)*($H$13&lt;&gt;0)+IF(AND(N$5&gt;=$M$13,N$5&lt;$N$13),$E$13-$F$13,0)*($H$13=0)</f>
        <v>487.5</v>
      </c>
      <c r="O32" s="119" t="n">
        <f aca="false">IF(AND(O$5&gt;=$M$13,O$5&lt;$N$13),$E$13-$F$13-IF(O$5&gt;=$H$13,$G$13,0),0)*($H$13&lt;&gt;0)+IF(AND(O$5&gt;=$M$13,O$5&lt;$N$13),$E$13-$F$13,0)*($H$13=0)</f>
        <v>487.5</v>
      </c>
      <c r="P32" s="120" t="n">
        <f aca="false">IF(AND(P$5&gt;=$M$13,P$5&lt;$N$13),$E$13-$F$13-IF(P$5&gt;=$H$13,$G$13,0),0)*($H$13&lt;&gt;0)+IF(AND(P$5&gt;=$M$13,P$5&lt;$N$13),$E$13-$F$13,0)*($H$13=0)</f>
        <v>87.5</v>
      </c>
      <c r="Q32" s="120" t="n">
        <f aca="false">IF(AND(Q$5&gt;=$M$13,Q$5&lt;$N$13),$E$13-$F$13-IF(Q$5&gt;=$H$13,$G$13,0),0)*($H$13&lt;&gt;0)+IF(AND(Q$5&gt;=$M$13,Q$5&lt;$N$13),$E$13-$F$13,0)*($H$13=0)</f>
        <v>87.5</v>
      </c>
      <c r="R32" s="120" t="n">
        <f aca="false">IF(AND(R$5&gt;=$M$13,R$5&lt;$N$13),$E$13-$F$13-IF(R$5&gt;=$H$13,$G$13,0),0)*($H$13&lt;&gt;0)+IF(AND(R$5&gt;=$M$13,R$5&lt;$N$13),$E$13-$F$13,0)*($H$13=0)</f>
        <v>87.5</v>
      </c>
      <c r="S32" s="120" t="n">
        <f aca="false">IF(AND(S$5&gt;=$M$13,S$5&lt;$N$13),$E$13-$F$13-IF(S$5&gt;=$H$13,$G$13,0),0)*($H$13&lt;&gt;0)+IF(AND(S$5&gt;=$M$13,S$5&lt;$N$13),$E$13-$F$13,0)*($H$13=0)</f>
        <v>87.5</v>
      </c>
      <c r="T32" s="120" t="n">
        <f aca="false">IF(AND(T$5&gt;=$M$13,T$5&lt;$N$13),$E$13-$F$13-IF(T$5&gt;=$H$13,$G$13,0),0)*($H$13&lt;&gt;0)+IF(AND(T$5&gt;=$M$13,T$5&lt;$N$13),$E$13-$F$13,0)*($H$13=0)</f>
        <v>87.5</v>
      </c>
      <c r="U32" s="120" t="n">
        <f aca="false">IF(AND(U$5&gt;=$M$13,U$5&lt;$N$13),$E$13-$F$13-IF(U$5&gt;=$H$13,$G$13,0),0)*($H$13&lt;&gt;0)+IF(AND(U$5&gt;=$M$13,U$5&lt;$N$13),$E$13-$F$13,0)*($H$13=0)</f>
        <v>87.5</v>
      </c>
      <c r="V32" s="120" t="n">
        <f aca="false">IF(AND(V$5&gt;=$M$13,V$5&lt;$N$13),$E$13-$F$13-IF(V$5&gt;=$H$13,$G$13,0),0)*($H$13&lt;&gt;0)+IF(AND(V$5&gt;=$M$13,V$5&lt;$N$13),$E$13-$F$13,0)*($H$13=0)</f>
        <v>87.5</v>
      </c>
      <c r="W32" s="120" t="n">
        <f aca="false">IF(AND(W$5&gt;=$M$13,W$5&lt;$N$13),$E$13-$F$13-IF(W$5&gt;=$H$13,$G$13,0),0)*($H$13&lt;&gt;0)+IF(AND(W$5&gt;=$M$13,W$5&lt;$N$13),$E$13-$F$13,0)*($H$13=0)</f>
        <v>87.5</v>
      </c>
      <c r="X32" s="120" t="n">
        <f aca="false">IF(AND(X$5&gt;=$M$13,X$5&lt;$N$13),$E$13-$F$13-IF(X$5&gt;=$H$13,$G$13,0),0)*($H$13&lt;&gt;0)+IF(AND(X$5&gt;=$M$13,X$5&lt;$N$13),$E$13-$F$13,0)*($H$13=0)</f>
        <v>87.5</v>
      </c>
      <c r="Y32" s="120" t="n">
        <f aca="false">IF(AND(Y$5&gt;=$M$13,Y$5&lt;$N$13),$E$13-$F$13-IF(Y$5&gt;=$H$13,$G$13,0),0)*($H$13&lt;&gt;0)+IF(AND(Y$5&gt;=$M$13,Y$5&lt;$N$13),$E$13-$F$13,0)*($H$13=0)</f>
        <v>87.5</v>
      </c>
      <c r="Z32" s="120" t="n">
        <f aca="false">IF(AND(Z$5&gt;=$M$13,Z$5&lt;$N$13),$E$13-$F$13-IF(Z$5&gt;=$H$13,$G$13,0),0)*($H$13&lt;&gt;0)+IF(AND(Z$5&gt;=$M$13,Z$5&lt;$N$13),$E$13-$F$13,0)*($H$13=0)</f>
        <v>87.5</v>
      </c>
      <c r="AA32" s="120" t="n">
        <f aca="false">IF(AND(AA$5&gt;=$M$13,AA$5&lt;$N$13),$E$13-$F$13-IF(AA$5&gt;=$H$13,$G$13,0),0)*($H$13&lt;&gt;0)+IF(AND(AA$5&gt;=$M$13,AA$5&lt;$N$13),$E$13-$F$13,0)*($H$13=0)</f>
        <v>87.5</v>
      </c>
      <c r="AB32" s="120" t="n">
        <f aca="false">IF(AND(AB$5&gt;=$M$13,AB$5&lt;$N$13),$E$13-$F$13-IF(AB$5&gt;=$H$13,$G$13,0),0)*($H$13&lt;&gt;0)+IF(AND(AB$5&gt;=$M$13,AB$5&lt;$N$13),$E$13-$F$13,0)*($H$13=0)</f>
        <v>87.5</v>
      </c>
      <c r="AC32" s="120" t="n">
        <f aca="false">IF(AND(AC$5&gt;=$M$13,AC$5&lt;$N$13),$E$13-$F$13-IF(AC$5&gt;=$H$13,$G$13,0),0)*($H$13&lt;&gt;0)+IF(AND(AC$5&gt;=$M$13,AC$5&lt;$N$13),$E$13-$F$13,0)*($H$13=0)</f>
        <v>87.5</v>
      </c>
      <c r="AD32" s="120" t="n">
        <f aca="false">IF(AND(AD$5&gt;=$M$13,AD$5&lt;$N$13),$E$13-$F$13-IF(AD$5&gt;=$H$13,$G$13,0),0)*($H$13&lt;&gt;0)+IF(AND(AD$5&gt;=$M$13,AD$5&lt;$N$13),$E$13-$F$13,0)*($H$13=0)</f>
        <v>87.5</v>
      </c>
      <c r="AE32" s="120" t="n">
        <f aca="false">IF(AND(AE$5&gt;=$M$13,AE$5&lt;$N$13),$E$13-$F$13-IF(AE$5&gt;=$H$13,$G$13,0),0)*($H$13&lt;&gt;0)+IF(AND(AE$5&gt;=$M$13,AE$5&lt;$N$13),$E$13-$F$13,0)*($H$13=0)</f>
        <v>87.5</v>
      </c>
      <c r="AF32" s="120" t="n">
        <f aca="false">IF(AND(AF$5&gt;=$M$13,AF$5&lt;$N$13),$E$13-$F$13-IF(AF$5&gt;=$H$13,$G$13,0),0)*($H$13&lt;&gt;0)+IF(AND(AF$5&gt;=$M$13,AF$5&lt;$N$13),$E$13-$F$13,0)*($H$13=0)</f>
        <v>87.5</v>
      </c>
      <c r="AG32" s="120" t="n">
        <f aca="false">IF(AND(AG$5&gt;=$M$13,AG$5&lt;$N$13),$E$13-$F$13-IF(AG$5&gt;=$H$13,$G$13,0),0)*($H$13&lt;&gt;0)+IF(AND(AG$5&gt;=$M$13,AG$5&lt;$N$13),$E$13-$F$13,0)*($H$13=0)</f>
        <v>87.5</v>
      </c>
      <c r="AI32" s="120" t="n">
        <f aca="false">INDEX($F32:$AG32,1,MATCH(AI$7,$F$7:$AG$7,1))</f>
        <v>0</v>
      </c>
      <c r="AJ32" s="120" t="n">
        <f aca="false">INDEX($F32:$AG32,1,MATCH(AJ$7,$F$7:$AG$7,1))</f>
        <v>487.5</v>
      </c>
      <c r="AK32" s="120" t="n">
        <f aca="false">INDEX($F32:$AG32,1,MATCH(AK$7,$F$7:$AG$7,1))</f>
        <v>87.5</v>
      </c>
      <c r="AL32" s="120" t="n">
        <f aca="false">INDEX($F32:$AG32,1,MATCH(AL$7,$F$7:$AG$7,1))</f>
        <v>87.5</v>
      </c>
      <c r="AM32" s="120" t="n">
        <f aca="false">INDEX($F32:$AG32,1,MATCH(AM$7,$F$7:$AG$7,1))</f>
        <v>87.5</v>
      </c>
      <c r="AN32" s="120" t="n">
        <f aca="false">INDEX($F32:$AG32,1,MATCH(AN$7,$F$7:$AG$7,1))</f>
        <v>87.5</v>
      </c>
      <c r="AO32" s="120" t="n">
        <f aca="false">INDEX($F32:$AG32,1,MATCH(AO$7,$F$7:$AG$7,1))</f>
        <v>87.5</v>
      </c>
    </row>
    <row r="33" customFormat="false" ht="15" hidden="false" customHeight="false" outlineLevel="0" collapsed="false">
      <c r="A33" s="101" t="s">
        <v>1755</v>
      </c>
      <c r="B33" s="18" t="s">
        <v>400</v>
      </c>
      <c r="C33" s="18" t="s">
        <v>389</v>
      </c>
      <c r="D33" s="18"/>
      <c r="F33" s="119" t="n">
        <f aca="false">F32*$C$13/4</f>
        <v>0</v>
      </c>
      <c r="G33" s="119" t="n">
        <f aca="false">G32*$C$13/4</f>
        <v>0</v>
      </c>
      <c r="H33" s="119" t="n">
        <f aca="false">H32*$C$13/4</f>
        <v>0</v>
      </c>
      <c r="I33" s="119" t="n">
        <f aca="false">I32*$C$13/4</f>
        <v>0</v>
      </c>
      <c r="J33" s="119" t="n">
        <f aca="false">J32*$C$13/4</f>
        <v>0</v>
      </c>
      <c r="K33" s="119" t="n">
        <f aca="false">K32*$C$13/4</f>
        <v>3.65625</v>
      </c>
      <c r="L33" s="119" t="n">
        <f aca="false">L32*$C$13/4</f>
        <v>3.65625</v>
      </c>
      <c r="M33" s="119" t="n">
        <f aca="false">M32*$C$13/4</f>
        <v>3.65625</v>
      </c>
      <c r="N33" s="119" t="n">
        <f aca="false">N32*$C$13/4</f>
        <v>3.65625</v>
      </c>
      <c r="O33" s="119" t="n">
        <f aca="false">O32*$C$13/4</f>
        <v>3.65625</v>
      </c>
      <c r="P33" s="120" t="n">
        <f aca="false">P32*$C$13/4</f>
        <v>0.65625</v>
      </c>
      <c r="Q33" s="120" t="n">
        <f aca="false">Q32*$C$13/4</f>
        <v>0.65625</v>
      </c>
      <c r="R33" s="120" t="n">
        <f aca="false">R32*$C$13/4</f>
        <v>0.65625</v>
      </c>
      <c r="S33" s="120" t="n">
        <f aca="false">S32*$C$13/4</f>
        <v>0.65625</v>
      </c>
      <c r="T33" s="120" t="n">
        <f aca="false">T32*$C$13/4</f>
        <v>0.65625</v>
      </c>
      <c r="U33" s="120" t="n">
        <f aca="false">U32*$C$13/4</f>
        <v>0.65625</v>
      </c>
      <c r="V33" s="120" t="n">
        <f aca="false">V32*$C$13/4</f>
        <v>0.65625</v>
      </c>
      <c r="W33" s="120" t="n">
        <f aca="false">W32*$C$13/4</f>
        <v>0.65625</v>
      </c>
      <c r="X33" s="120" t="n">
        <f aca="false">X32*$C$13/4</f>
        <v>0.65625</v>
      </c>
      <c r="Y33" s="120" t="n">
        <f aca="false">Y32*$C$13/4</f>
        <v>0.65625</v>
      </c>
      <c r="Z33" s="120" t="n">
        <f aca="false">Z32*$C$13/4</f>
        <v>0.65625</v>
      </c>
      <c r="AA33" s="120" t="n">
        <f aca="false">AA32*$C$13/4</f>
        <v>0.65625</v>
      </c>
      <c r="AB33" s="120" t="n">
        <f aca="false">AB32*$C$13/4</f>
        <v>0.65625</v>
      </c>
      <c r="AC33" s="120" t="n">
        <f aca="false">AC32*$C$13/4</f>
        <v>0.65625</v>
      </c>
      <c r="AD33" s="120" t="n">
        <f aca="false">AD32*$C$13/4</f>
        <v>0.65625</v>
      </c>
      <c r="AE33" s="120" t="n">
        <f aca="false">AE32*$C$13/4</f>
        <v>0.65625</v>
      </c>
      <c r="AF33" s="120" t="n">
        <f aca="false">AF32*$C$13/4</f>
        <v>0.65625</v>
      </c>
      <c r="AG33" s="120" t="n">
        <f aca="false">AG32*$C$13/4</f>
        <v>0.65625</v>
      </c>
      <c r="AI33" s="120" t="n">
        <f aca="false">SUMIF($F$7:$AG$7,AI$7,$F33:$AG33)</f>
        <v>0</v>
      </c>
      <c r="AJ33" s="120" t="n">
        <f aca="false">SUMIF($F$7:$AG$7,AJ$7,$F33:$AG33)</f>
        <v>10.96875</v>
      </c>
      <c r="AK33" s="120" t="n">
        <f aca="false">SUMIF($F$7:$AG$7,AK$7,$F33:$AG33)</f>
        <v>8.625</v>
      </c>
      <c r="AL33" s="120" t="n">
        <f aca="false">SUMIF($F$7:$AG$7,AL$7,$F33:$AG33)</f>
        <v>2.625</v>
      </c>
      <c r="AM33" s="120" t="n">
        <f aca="false">SUMIF($F$7:$AG$7,AM$7,$F33:$AG33)</f>
        <v>2.625</v>
      </c>
      <c r="AN33" s="120" t="n">
        <f aca="false">SUMIF($F$7:$AG$7,AN$7,$F33:$AG33)</f>
        <v>2.625</v>
      </c>
      <c r="AO33" s="120" t="n">
        <f aca="false">SUMIF($F$7:$AG$7,AO$7,$F33:$AG33)</f>
        <v>2.625</v>
      </c>
    </row>
    <row r="34" customFormat="false" ht="15" hidden="false" customHeight="false" outlineLevel="0" collapsed="false">
      <c r="A34" s="101" t="s">
        <v>1756</v>
      </c>
      <c r="B34" s="18" t="s">
        <v>400</v>
      </c>
      <c r="C34" s="18" t="s">
        <v>389</v>
      </c>
      <c r="D34" s="18"/>
      <c r="F34" s="119" t="n">
        <f aca="false">F32*($J$13-1)/(($D$13-$B$13)/91.3125)</f>
        <v>0</v>
      </c>
      <c r="G34" s="119" t="n">
        <f aca="false">G32*($J$13-1)/(($D$13-$B$13)/91.3125)</f>
        <v>0</v>
      </c>
      <c r="H34" s="119" t="n">
        <f aca="false">H32*($J$13-1)/(($D$13-$B$13)/91.3125)</f>
        <v>0</v>
      </c>
      <c r="I34" s="119" t="n">
        <f aca="false">I32*($J$13-1)/(($D$13-$B$13)/91.3125)</f>
        <v>0</v>
      </c>
      <c r="J34" s="119" t="n">
        <f aca="false">J32*($J$13-1)/(($D$13-$B$13)/91.3125)</f>
        <v>0</v>
      </c>
      <c r="K34" s="119" t="n">
        <f aca="false">K32*($J$13-1)/(($D$13-$B$13)/91.3125)</f>
        <v>5.21905006858711</v>
      </c>
      <c r="L34" s="119" t="n">
        <f aca="false">L32*($J$13-1)/(($D$13-$B$13)/91.3125)</f>
        <v>5.21905006858711</v>
      </c>
      <c r="M34" s="119" t="n">
        <f aca="false">M32*($J$13-1)/(($D$13-$B$13)/91.3125)</f>
        <v>5.21905006858711</v>
      </c>
      <c r="N34" s="119" t="n">
        <f aca="false">N32*($J$13-1)/(($D$13-$B$13)/91.3125)</f>
        <v>5.21905006858711</v>
      </c>
      <c r="O34" s="119" t="n">
        <f aca="false">O32*($J$13-1)/(($D$13-$B$13)/91.3125)</f>
        <v>5.21905006858711</v>
      </c>
      <c r="P34" s="120" t="n">
        <f aca="false">P32*($J$13-1)/(($D$13-$B$13)/91.3125)</f>
        <v>0.93675257641307</v>
      </c>
      <c r="Q34" s="120" t="n">
        <f aca="false">Q32*($J$13-1)/(($D$13-$B$13)/91.3125)</f>
        <v>0.93675257641307</v>
      </c>
      <c r="R34" s="120" t="n">
        <f aca="false">R32*($J$13-1)/(($D$13-$B$13)/91.3125)</f>
        <v>0.93675257641307</v>
      </c>
      <c r="S34" s="120" t="n">
        <f aca="false">S32*($J$13-1)/(($D$13-$B$13)/91.3125)</f>
        <v>0.93675257641307</v>
      </c>
      <c r="T34" s="120" t="n">
        <f aca="false">T32*($J$13-1)/(($D$13-$B$13)/91.3125)</f>
        <v>0.93675257641307</v>
      </c>
      <c r="U34" s="120" t="n">
        <f aca="false">U32*($J$13-1)/(($D$13-$B$13)/91.3125)</f>
        <v>0.93675257641307</v>
      </c>
      <c r="V34" s="120" t="n">
        <f aca="false">V32*($J$13-1)/(($D$13-$B$13)/91.3125)</f>
        <v>0.93675257641307</v>
      </c>
      <c r="W34" s="120" t="n">
        <f aca="false">W32*($J$13-1)/(($D$13-$B$13)/91.3125)</f>
        <v>0.93675257641307</v>
      </c>
      <c r="X34" s="120" t="n">
        <f aca="false">X32*($J$13-1)/(($D$13-$B$13)/91.3125)</f>
        <v>0.93675257641307</v>
      </c>
      <c r="Y34" s="120" t="n">
        <f aca="false">Y32*($J$13-1)/(($D$13-$B$13)/91.3125)</f>
        <v>0.93675257641307</v>
      </c>
      <c r="Z34" s="120" t="n">
        <f aca="false">Z32*($J$13-1)/(($D$13-$B$13)/91.3125)</f>
        <v>0.93675257641307</v>
      </c>
      <c r="AA34" s="120" t="n">
        <f aca="false">AA32*($J$13-1)/(($D$13-$B$13)/91.3125)</f>
        <v>0.93675257641307</v>
      </c>
      <c r="AB34" s="120" t="n">
        <f aca="false">AB32*($J$13-1)/(($D$13-$B$13)/91.3125)</f>
        <v>0.93675257641307</v>
      </c>
      <c r="AC34" s="120" t="n">
        <f aca="false">AC32*($J$13-1)/(($D$13-$B$13)/91.3125)</f>
        <v>0.93675257641307</v>
      </c>
      <c r="AD34" s="120" t="n">
        <f aca="false">AD32*($J$13-1)/(($D$13-$B$13)/91.3125)</f>
        <v>0.93675257641307</v>
      </c>
      <c r="AE34" s="120" t="n">
        <f aca="false">AE32*($J$13-1)/(($D$13-$B$13)/91.3125)</f>
        <v>0.93675257641307</v>
      </c>
      <c r="AF34" s="120" t="n">
        <f aca="false">AF32*($J$13-1)/(($D$13-$B$13)/91.3125)</f>
        <v>0.93675257641307</v>
      </c>
      <c r="AG34" s="120" t="n">
        <f aca="false">AG32*($J$13-1)/(($D$13-$B$13)/91.3125)</f>
        <v>0.93675257641307</v>
      </c>
      <c r="AI34" s="120" t="n">
        <f aca="false">SUMIF($F$7:$AG$7,AI$7,$F34:$AG34)</f>
        <v>0</v>
      </c>
      <c r="AJ34" s="120" t="n">
        <f aca="false">SUMIF($F$7:$AG$7,AJ$7,$F34:$AG34)</f>
        <v>15.6571502057613</v>
      </c>
      <c r="AK34" s="120" t="n">
        <f aca="false">SUMIF($F$7:$AG$7,AK$7,$F34:$AG34)</f>
        <v>12.3116052900004</v>
      </c>
      <c r="AL34" s="120" t="n">
        <f aca="false">SUMIF($F$7:$AG$7,AL$7,$F34:$AG34)</f>
        <v>3.74701030565228</v>
      </c>
      <c r="AM34" s="120" t="n">
        <f aca="false">SUMIF($F$7:$AG$7,AM$7,$F34:$AG34)</f>
        <v>3.74701030565228</v>
      </c>
      <c r="AN34" s="120" t="n">
        <f aca="false">SUMIF($F$7:$AG$7,AN$7,$F34:$AG34)</f>
        <v>3.74701030565228</v>
      </c>
      <c r="AO34" s="120" t="n">
        <f aca="false">SUMIF($F$7:$AG$7,AO$7,$F34:$AG34)</f>
        <v>3.74701030565228</v>
      </c>
    </row>
    <row r="35" customFormat="false" ht="15" hidden="false" customHeight="false" outlineLevel="0" collapsed="false">
      <c r="A35" s="101" t="s">
        <v>1757</v>
      </c>
      <c r="B35" s="18" t="s">
        <v>400</v>
      </c>
      <c r="C35" s="18" t="s">
        <v>389</v>
      </c>
      <c r="D35" s="18"/>
      <c r="F35" s="119" t="n">
        <f aca="false">F32*(1+($J$13-1)*MIN(1,MAX(0,(F$4-$B$13)/($D$13-$B$13))))</f>
        <v>0</v>
      </c>
      <c r="G35" s="119" t="n">
        <f aca="false">G32*(1+($J$13-1)*MIN(1,MAX(0,(G$4-$B$13)/($D$13-$B$13))))</f>
        <v>0</v>
      </c>
      <c r="H35" s="119" t="n">
        <f aca="false">H32*(1+($J$13-1)*MIN(1,MAX(0,(H$4-$B$13)/($D$13-$B$13))))</f>
        <v>0</v>
      </c>
      <c r="I35" s="119" t="n">
        <f aca="false">I32*(1+($J$13-1)*MIN(1,MAX(0,(I$4-$B$13)/($D$13-$B$13))))</f>
        <v>0</v>
      </c>
      <c r="J35" s="119" t="n">
        <f aca="false">J32*(1+($J$13-1)*MIN(1,MAX(0,(J$4-$B$13)/($D$13-$B$13))))</f>
        <v>0</v>
      </c>
      <c r="K35" s="119" t="n">
        <f aca="false">K32*(1+($J$13-1)*MIN(1,MAX(0,(K$4-$B$13)/($D$13-$B$13))))</f>
        <v>488.928898033836</v>
      </c>
      <c r="L35" s="119" t="n">
        <f aca="false">L32*(1+($J$13-1)*MIN(1,MAX(0,(L$4-$B$13)/($D$13-$B$13))))</f>
        <v>494.187242798354</v>
      </c>
      <c r="M35" s="119" t="n">
        <f aca="false">M32*(1+($J$13-1)*MIN(1,MAX(0,(M$4-$B$13)/($D$13-$B$13))))</f>
        <v>499.445587562872</v>
      </c>
      <c r="N35" s="119" t="n">
        <f aca="false">N32*(1+($J$13-1)*MIN(1,MAX(0,(N$4-$B$13)/($D$13-$B$13))))</f>
        <v>504.589620484682</v>
      </c>
      <c r="O35" s="119" t="n">
        <f aca="false">O32*(1+($J$13-1)*MIN(1,MAX(0,(O$4-$B$13)/($D$13-$B$13))))</f>
        <v>509.790809327846</v>
      </c>
      <c r="P35" s="120" t="n">
        <f aca="false">P32*(1+($J$13-1)*MIN(1,MAX(0,(P$4-$B$13)/($D$13-$B$13))))</f>
        <v>92.4447199652961</v>
      </c>
      <c r="Q35" s="120" t="n">
        <f aca="false">Q32*(1+($J$13-1)*MIN(1,MAX(0,(Q$4-$B$13)/($D$13-$B$13))))</f>
        <v>93.3885254358505</v>
      </c>
      <c r="R35" s="120" t="n">
        <f aca="false">R32*(1+($J$13-1)*MIN(1,MAX(0,(R$4-$B$13)/($D$13-$B$13))))</f>
        <v>94.3118133961755</v>
      </c>
      <c r="S35" s="120" t="n">
        <f aca="false">S32*(1+($J$13-1)*MIN(1,MAX(0,(S$4-$B$13)/($D$13-$B$13))))</f>
        <v>95.2453601116153</v>
      </c>
      <c r="T35" s="120" t="n">
        <f aca="false">T32*(1+($J$13-1)*MIN(1,MAX(0,(T$4-$B$13)/($D$13-$B$13))))</f>
        <v>96.1891655821697</v>
      </c>
      <c r="U35" s="120" t="n">
        <f aca="false">U32*(1+($J$13-1)*MIN(1,MAX(0,(U$4-$B$13)/($D$13-$B$13))))</f>
        <v>97.1329710527241</v>
      </c>
      <c r="V35" s="120" t="n">
        <f aca="false">V32*(1+($J$13-1)*MIN(1,MAX(0,(V$4-$B$13)/($D$13-$B$13))))</f>
        <v>98.0665177681639</v>
      </c>
      <c r="W35" s="120" t="n">
        <f aca="false">W32*(1+($J$13-1)*MIN(1,MAX(0,(W$4-$B$13)/($D$13-$B$13))))</f>
        <v>99.0000644836036</v>
      </c>
      <c r="X35" s="120" t="n">
        <f aca="false">X32*(1+($J$13-1)*MIN(1,MAX(0,(X$4-$B$13)/($D$13-$B$13))))</f>
        <v>99.943869954158</v>
      </c>
      <c r="Y35" s="120" t="n">
        <f aca="false">Y32*(1+($J$13-1)*MIN(1,MAX(0,(Y$4-$B$13)/($D$13-$B$13))))</f>
        <v>100.887675424712</v>
      </c>
      <c r="Z35" s="120" t="n">
        <f aca="false">Z32*(1+($J$13-1)*MIN(1,MAX(0,(Z$4-$B$13)/($D$13-$B$13))))</f>
        <v>101.810963385037</v>
      </c>
      <c r="AA35" s="120" t="n">
        <f aca="false">AA32*(1+($J$13-1)*MIN(1,MAX(0,(AA$4-$B$13)/($D$13-$B$13))))</f>
        <v>102.744510100477</v>
      </c>
      <c r="AB35" s="120" t="n">
        <f aca="false">AB32*(1+($J$13-1)*MIN(1,MAX(0,(AB$4-$B$13)/($D$13-$B$13))))</f>
        <v>103.688315571032</v>
      </c>
      <c r="AC35" s="120" t="n">
        <f aca="false">AC32*(1+($J$13-1)*MIN(1,MAX(0,(AC$4-$B$13)/($D$13-$B$13))))</f>
        <v>104.632121041586</v>
      </c>
      <c r="AD35" s="120" t="n">
        <f aca="false">AD32*(1+($J$13-1)*MIN(1,MAX(0,(AD$4-$B$13)/($D$13-$B$13))))</f>
        <v>105.555409001911</v>
      </c>
      <c r="AE35" s="120" t="n">
        <f aca="false">AE32*(1+($J$13-1)*MIN(1,MAX(0,(AE$4-$B$13)/($D$13-$B$13))))</f>
        <v>106.488955717351</v>
      </c>
      <c r="AF35" s="120" t="n">
        <f aca="false">AF32*(1+($J$13-1)*MIN(1,MAX(0,(AF$4-$B$13)/($D$13-$B$13))))</f>
        <v>107.432761187905</v>
      </c>
      <c r="AG35" s="120" t="n">
        <f aca="false">AG32*(1+($J$13-1)*MIN(1,MAX(0,(AG$4-$B$13)/($D$13-$B$13))))</f>
        <v>108.37656665846</v>
      </c>
      <c r="AI35" s="120" t="n">
        <f aca="false">INDEX($F35:$AG35,1,MATCH(AI$7,$F$7:$AG$7,1))</f>
        <v>0</v>
      </c>
      <c r="AJ35" s="120" t="n">
        <f aca="false">INDEX($F35:$AG35,1,MATCH(AJ$7,$F$7:$AG$7,1))</f>
        <v>499.445587562872</v>
      </c>
      <c r="AK35" s="120" t="n">
        <f aca="false">INDEX($F35:$AG35,1,MATCH(AK$7,$F$7:$AG$7,1))</f>
        <v>93.3885254358505</v>
      </c>
      <c r="AL35" s="120" t="n">
        <f aca="false">INDEX($F35:$AG35,1,MATCH(AL$7,$F$7:$AG$7,1))</f>
        <v>97.1329710527241</v>
      </c>
      <c r="AM35" s="120" t="n">
        <f aca="false">INDEX($F35:$AG35,1,MATCH(AM$7,$F$7:$AG$7,1))</f>
        <v>100.887675424712</v>
      </c>
      <c r="AN35" s="120" t="n">
        <f aca="false">INDEX($F35:$AG35,1,MATCH(AN$7,$F$7:$AG$7,1))</f>
        <v>104.632121041586</v>
      </c>
      <c r="AO35" s="120" t="n">
        <f aca="false">INDEX($F35:$AG35,1,MATCH(AO$7,$F$7:$AG$7,1))</f>
        <v>108.37656665846</v>
      </c>
    </row>
    <row r="36" customFormat="false" ht="15" hidden="false" customHeight="false" outlineLevel="0" collapsed="false">
      <c r="A36" s="101" t="s">
        <v>1758</v>
      </c>
      <c r="B36" s="18" t="s">
        <v>400</v>
      </c>
      <c r="C36" s="18" t="s">
        <v>389</v>
      </c>
      <c r="D36" s="18"/>
      <c r="F36" s="119" t="n">
        <f aca="false">IF(F$5=$N$13,E32*$J$13*(1-$O$13),0)</f>
        <v>0</v>
      </c>
      <c r="G36" s="119" t="n">
        <f aca="false">IF(G$5=$N$13,F32*$J$13*(1-$O$13),0)</f>
        <v>0</v>
      </c>
      <c r="H36" s="119" t="n">
        <f aca="false">IF(H$5=$N$13,G32*$J$13*(1-$O$13),0)</f>
        <v>0</v>
      </c>
      <c r="I36" s="119" t="n">
        <f aca="false">IF(I$5=$N$13,H32*$J$13*(1-$O$13),0)</f>
        <v>0</v>
      </c>
      <c r="J36" s="119" t="n">
        <f aca="false">IF(J$5=$N$13,I32*$J$13*(1-$O$13),0)</f>
        <v>0</v>
      </c>
      <c r="K36" s="119" t="n">
        <f aca="false">IF(K$5=$N$13,J32*$J$13*(1-$O$13),0)</f>
        <v>0</v>
      </c>
      <c r="L36" s="119" t="n">
        <f aca="false">IF(L$5=$N$13,K32*$J$13*(1-$O$13),0)</f>
        <v>0</v>
      </c>
      <c r="M36" s="119" t="n">
        <f aca="false">IF(M$5=$N$13,L32*$J$13*(1-$O$13),0)</f>
        <v>0</v>
      </c>
      <c r="N36" s="119" t="n">
        <f aca="false">IF(N$5=$N$13,M32*$J$13*(1-$O$13),0)</f>
        <v>0</v>
      </c>
      <c r="O36" s="119" t="n">
        <f aca="false">IF(O$5=$N$13,N32*$J$13*(1-$O$13),0)</f>
        <v>0</v>
      </c>
      <c r="P36" s="120" t="n">
        <f aca="false">IF(P$5=$N$13,O32*$J$13*(1-$O$13),0)</f>
        <v>0</v>
      </c>
      <c r="Q36" s="120" t="n">
        <f aca="false">IF(Q$5=$N$13,P32*$J$13*(1-$O$13),0)</f>
        <v>0</v>
      </c>
      <c r="R36" s="120" t="n">
        <f aca="false">IF(R$5=$N$13,Q32*$J$13*(1-$O$13),0)</f>
        <v>0</v>
      </c>
      <c r="S36" s="120" t="n">
        <f aca="false">IF(S$5=$N$13,R32*$J$13*(1-$O$13),0)</f>
        <v>0</v>
      </c>
      <c r="T36" s="120" t="n">
        <f aca="false">IF(T$5=$N$13,S32*$J$13*(1-$O$13),0)</f>
        <v>0</v>
      </c>
      <c r="U36" s="120" t="n">
        <f aca="false">IF(U$5=$N$13,T32*$J$13*(1-$O$13),0)</f>
        <v>0</v>
      </c>
      <c r="V36" s="120" t="n">
        <f aca="false">IF(V$5=$N$13,U32*$J$13*(1-$O$13),0)</f>
        <v>0</v>
      </c>
      <c r="W36" s="120" t="n">
        <f aca="false">IF(W$5=$N$13,V32*$J$13*(1-$O$13),0)</f>
        <v>0</v>
      </c>
      <c r="X36" s="120" t="n">
        <f aca="false">IF(X$5=$N$13,W32*$J$13*(1-$O$13),0)</f>
        <v>0</v>
      </c>
      <c r="Y36" s="120" t="n">
        <f aca="false">IF(Y$5=$N$13,X32*$J$13*(1-$O$13),0)</f>
        <v>0</v>
      </c>
      <c r="Z36" s="120" t="n">
        <f aca="false">IF(Z$5=$N$13,Y32*$J$13*(1-$O$13),0)</f>
        <v>0</v>
      </c>
      <c r="AA36" s="120" t="n">
        <f aca="false">IF(AA$5=$N$13,Z32*$J$13*(1-$O$13),0)</f>
        <v>0</v>
      </c>
      <c r="AB36" s="120" t="n">
        <f aca="false">IF(AB$5=$N$13,AA32*$J$13*(1-$O$13),0)</f>
        <v>0</v>
      </c>
      <c r="AC36" s="120" t="n">
        <f aca="false">IF(AC$5=$N$13,AB32*$J$13*(1-$O$13),0)</f>
        <v>0</v>
      </c>
      <c r="AD36" s="120" t="n">
        <f aca="false">IF(AD$5=$N$13,AC32*$J$13*(1-$O$13),0)</f>
        <v>0</v>
      </c>
      <c r="AE36" s="120" t="n">
        <f aca="false">IF(AE$5=$N$13,AD32*$J$13*(1-$O$13),0)</f>
        <v>0</v>
      </c>
      <c r="AF36" s="120" t="n">
        <f aca="false">IF(AF$5=$N$13,AE32*$J$13*(1-$O$13),0)</f>
        <v>0</v>
      </c>
      <c r="AG36" s="120" t="n">
        <f aca="false">IF(AG$5=$N$13,AF32*$J$13*(1-$O$13),0)</f>
        <v>0</v>
      </c>
      <c r="AI36" s="120" t="n">
        <f aca="false">SUMIF($F$7:$AG$7,AI$7,$F36:$AG36)</f>
        <v>0</v>
      </c>
      <c r="AJ36" s="120" t="n">
        <f aca="false">SUMIF($F$7:$AG$7,AJ$7,$F36:$AG36)</f>
        <v>0</v>
      </c>
      <c r="AK36" s="120" t="n">
        <f aca="false">SUMIF($F$7:$AG$7,AK$7,$F36:$AG36)</f>
        <v>0</v>
      </c>
      <c r="AL36" s="120" t="n">
        <f aca="false">SUMIF($F$7:$AG$7,AL$7,$F36:$AG36)</f>
        <v>0</v>
      </c>
      <c r="AM36" s="120" t="n">
        <f aca="false">SUMIF($F$7:$AG$7,AM$7,$F36:$AG36)</f>
        <v>0</v>
      </c>
      <c r="AN36" s="120" t="n">
        <f aca="false">SUMIF($F$7:$AG$7,AN$7,$F36:$AG36)</f>
        <v>0</v>
      </c>
      <c r="AO36" s="120" t="n">
        <f aca="false">SUMIF($F$7:$AG$7,AO$7,$F36:$AG36)</f>
        <v>0</v>
      </c>
    </row>
    <row r="37" customFormat="false" ht="15" hidden="false" customHeight="false" outlineLevel="0" collapsed="false">
      <c r="A37" s="101" t="s">
        <v>1759</v>
      </c>
      <c r="B37" s="18" t="s">
        <v>781</v>
      </c>
      <c r="C37" s="18" t="s">
        <v>389</v>
      </c>
      <c r="D37" s="18"/>
      <c r="F37" s="131" t="n">
        <f aca="false">IF(F$5=$N$13,E32*$K$13/1000*$O$13,0)</f>
        <v>0</v>
      </c>
      <c r="G37" s="131" t="n">
        <f aca="false">IF(G$5=$N$13,F32*$K$13/1000*$O$13,0)</f>
        <v>0</v>
      </c>
      <c r="H37" s="131" t="n">
        <f aca="false">IF(H$5=$N$13,G32*$K$13/1000*$O$13,0)</f>
        <v>0</v>
      </c>
      <c r="I37" s="131" t="n">
        <f aca="false">IF(I$5=$N$13,H32*$K$13/1000*$O$13,0)</f>
        <v>0</v>
      </c>
      <c r="J37" s="131" t="n">
        <f aca="false">IF(J$5=$N$13,I32*$K$13/1000*$O$13,0)</f>
        <v>0</v>
      </c>
      <c r="K37" s="131" t="n">
        <f aca="false">IF(K$5=$N$13,J32*$K$13/1000*$O$13,0)</f>
        <v>0</v>
      </c>
      <c r="L37" s="131" t="n">
        <f aca="false">IF(L$5=$N$13,K32*$K$13/1000*$O$13,0)</f>
        <v>0</v>
      </c>
      <c r="M37" s="131" t="n">
        <f aca="false">IF(M$5=$N$13,L32*$K$13/1000*$O$13,0)</f>
        <v>0</v>
      </c>
      <c r="N37" s="131" t="n">
        <f aca="false">IF(N$5=$N$13,M32*$K$13/1000*$O$13,0)</f>
        <v>0</v>
      </c>
      <c r="O37" s="131" t="n">
        <f aca="false">IF(O$5=$N$13,N32*$K$13/1000*$O$13,0)</f>
        <v>0</v>
      </c>
      <c r="P37" s="37" t="n">
        <f aca="false">IF(P$5=$N$13,O32*$K$13/1000*$O$13,0)</f>
        <v>0</v>
      </c>
      <c r="Q37" s="37" t="n">
        <f aca="false">IF(Q$5=$N$13,P32*$K$13/1000*$O$13,0)</f>
        <v>0</v>
      </c>
      <c r="R37" s="37" t="n">
        <f aca="false">IF(R$5=$N$13,Q32*$K$13/1000*$O$13,0)</f>
        <v>0</v>
      </c>
      <c r="S37" s="37" t="n">
        <f aca="false">IF(S$5=$N$13,R32*$K$13/1000*$O$13,0)</f>
        <v>0</v>
      </c>
      <c r="T37" s="37" t="n">
        <f aca="false">IF(T$5=$N$13,S32*$K$13/1000*$O$13,0)</f>
        <v>0</v>
      </c>
      <c r="U37" s="37" t="n">
        <f aca="false">IF(U$5=$N$13,T32*$K$13/1000*$O$13,0)</f>
        <v>0</v>
      </c>
      <c r="V37" s="37" t="n">
        <f aca="false">IF(V$5=$N$13,U32*$K$13/1000*$O$13,0)</f>
        <v>0</v>
      </c>
      <c r="W37" s="37" t="n">
        <f aca="false">IF(W$5=$N$13,V32*$K$13/1000*$O$13,0)</f>
        <v>0</v>
      </c>
      <c r="X37" s="37" t="n">
        <f aca="false">IF(X$5=$N$13,W32*$K$13/1000*$O$13,0)</f>
        <v>0</v>
      </c>
      <c r="Y37" s="37" t="n">
        <f aca="false">IF(Y$5=$N$13,X32*$K$13/1000*$O$13,0)</f>
        <v>0</v>
      </c>
      <c r="Z37" s="37" t="n">
        <f aca="false">IF(Z$5=$N$13,Y32*$K$13/1000*$O$13,0)</f>
        <v>0</v>
      </c>
      <c r="AA37" s="37" t="n">
        <f aca="false">IF(AA$5=$N$13,Z32*$K$13/1000*$O$13,0)</f>
        <v>0</v>
      </c>
      <c r="AB37" s="37" t="n">
        <f aca="false">IF(AB$5=$N$13,AA32*$K$13/1000*$O$13,0)</f>
        <v>0</v>
      </c>
      <c r="AC37" s="37" t="n">
        <f aca="false">IF(AC$5=$N$13,AB32*$K$13/1000*$O$13,0)</f>
        <v>0</v>
      </c>
      <c r="AD37" s="37" t="n">
        <f aca="false">IF(AD$5=$N$13,AC32*$K$13/1000*$O$13,0)</f>
        <v>0</v>
      </c>
      <c r="AE37" s="37" t="n">
        <f aca="false">IF(AE$5=$N$13,AD32*$K$13/1000*$O$13,0)</f>
        <v>0</v>
      </c>
      <c r="AF37" s="37" t="n">
        <f aca="false">IF(AF$5=$N$13,AE32*$K$13/1000*$O$13,0)</f>
        <v>0</v>
      </c>
      <c r="AG37" s="37" t="n">
        <f aca="false">IF(AG$5=$N$13,AF32*$K$13/1000*$O$13,0)</f>
        <v>0</v>
      </c>
      <c r="AI37" s="37" t="n">
        <f aca="false">SUMIF($F$7:$AG$7,AI$7,$F37:$AG37)</f>
        <v>0</v>
      </c>
      <c r="AJ37" s="37" t="n">
        <f aca="false">SUMIF($F$7:$AG$7,AJ$7,$F37:$AG37)</f>
        <v>0</v>
      </c>
      <c r="AK37" s="37" t="n">
        <f aca="false">SUMIF($F$7:$AG$7,AK$7,$F37:$AG37)</f>
        <v>0</v>
      </c>
      <c r="AL37" s="37" t="n">
        <f aca="false">SUMIF($F$7:$AG$7,AL$7,$F37:$AG37)</f>
        <v>0</v>
      </c>
      <c r="AM37" s="37" t="n">
        <f aca="false">SUMIF($F$7:$AG$7,AM$7,$F37:$AG37)</f>
        <v>0</v>
      </c>
      <c r="AN37" s="37" t="n">
        <f aca="false">SUMIF($F$7:$AG$7,AN$7,$F37:$AG37)</f>
        <v>0</v>
      </c>
      <c r="AO37" s="37" t="n">
        <f aca="false">SUMIF($F$7:$AG$7,AO$7,$F37:$AG37)</f>
        <v>0</v>
      </c>
    </row>
    <row r="38" customFormat="false" ht="15" hidden="false" customHeight="false" outlineLevel="0" collapsed="false">
      <c r="A38" s="101" t="s">
        <v>1760</v>
      </c>
      <c r="B38" s="18" t="s">
        <v>781</v>
      </c>
      <c r="C38" s="18" t="s">
        <v>336</v>
      </c>
      <c r="D38" s="18"/>
      <c r="F38" s="131" t="n">
        <f aca="false">IF(DilMethod=3,MAX(0,F32*$K$13/1000*DilPx-F35)/DilPx,F32*$K$13/1000*$P$13)</f>
        <v>0</v>
      </c>
      <c r="G38" s="131" t="n">
        <f aca="false">IF(DilMethod=3,MAX(0,G32*$K$13/1000*DilPx-G35)/DilPx,G32*$K$13/1000*$P$13)</f>
        <v>0</v>
      </c>
      <c r="H38" s="131" t="n">
        <f aca="false">IF(DilMethod=3,MAX(0,H32*$K$13/1000*DilPx-H35)/DilPx,H32*$K$13/1000*$P$13)</f>
        <v>0</v>
      </c>
      <c r="I38" s="131" t="n">
        <f aca="false">IF(DilMethod=3,MAX(0,I32*$K$13/1000*DilPx-I35)/DilPx,I32*$K$13/1000*$P$13)</f>
        <v>0</v>
      </c>
      <c r="J38" s="131" t="n">
        <f aca="false">IF(DilMethod=3,MAX(0,J32*$K$13/1000*DilPx-J35)/DilPx,J32*$K$13/1000*$P$13)</f>
        <v>0</v>
      </c>
      <c r="K38" s="131" t="n">
        <f aca="false">IF(DilMethod=3,MAX(0,K32*$K$13/1000*DilPx-K35)/DilPx,K32*$K$13/1000*$P$13)</f>
        <v>9.47519625</v>
      </c>
      <c r="L38" s="131" t="n">
        <f aca="false">IF(DilMethod=3,MAX(0,L32*$K$13/1000*DilPx-L35)/DilPx,L32*$K$13/1000*$P$13)</f>
        <v>9.47519625</v>
      </c>
      <c r="M38" s="131" t="n">
        <f aca="false">IF(DilMethod=3,MAX(0,M32*$K$13/1000*DilPx-M35)/DilPx,M32*$K$13/1000*$P$13)</f>
        <v>9.47519625</v>
      </c>
      <c r="N38" s="131" t="n">
        <f aca="false">IF(DilMethod=3,MAX(0,N32*$K$13/1000*DilPx-N35)/DilPx,N32*$K$13/1000*$P$13)</f>
        <v>9.47519625</v>
      </c>
      <c r="O38" s="131" t="n">
        <f aca="false">IF(DilMethod=3,MAX(0,O32*$K$13/1000*DilPx-O35)/DilPx,O32*$K$13/1000*$P$13)</f>
        <v>9.47519625</v>
      </c>
      <c r="P38" s="37" t="n">
        <f aca="false">IF(DilMethod=3,MAX(0,P32*$K$13/1000*DilPx-P35)/DilPx,P32*$K$13/1000*$P$13)</f>
        <v>1.70067625</v>
      </c>
      <c r="Q38" s="37" t="n">
        <f aca="false">IF(DilMethod=3,MAX(0,Q32*$K$13/1000*DilPx-Q35)/DilPx,Q32*$K$13/1000*$P$13)</f>
        <v>1.70067625</v>
      </c>
      <c r="R38" s="37" t="n">
        <f aca="false">IF(DilMethod=3,MAX(0,R32*$K$13/1000*DilPx-R35)/DilPx,R32*$K$13/1000*$P$13)</f>
        <v>1.70067625</v>
      </c>
      <c r="S38" s="37" t="n">
        <f aca="false">IF(DilMethod=3,MAX(0,S32*$K$13/1000*DilPx-S35)/DilPx,S32*$K$13/1000*$P$13)</f>
        <v>1.70067625</v>
      </c>
      <c r="T38" s="37" t="n">
        <f aca="false">IF(DilMethod=3,MAX(0,T32*$K$13/1000*DilPx-T35)/DilPx,T32*$K$13/1000*$P$13)</f>
        <v>1.70067625</v>
      </c>
      <c r="U38" s="37" t="n">
        <f aca="false">IF(DilMethod=3,MAX(0,U32*$K$13/1000*DilPx-U35)/DilPx,U32*$K$13/1000*$P$13)</f>
        <v>1.70067625</v>
      </c>
      <c r="V38" s="37" t="n">
        <f aca="false">IF(DilMethod=3,MAX(0,V32*$K$13/1000*DilPx-V35)/DilPx,V32*$K$13/1000*$P$13)</f>
        <v>1.70067625</v>
      </c>
      <c r="W38" s="37" t="n">
        <f aca="false">IF(DilMethod=3,MAX(0,W32*$K$13/1000*DilPx-W35)/DilPx,W32*$K$13/1000*$P$13)</f>
        <v>1.70067625</v>
      </c>
      <c r="X38" s="37" t="n">
        <f aca="false">IF(DilMethod=3,MAX(0,X32*$K$13/1000*DilPx-X35)/DilPx,X32*$K$13/1000*$P$13)</f>
        <v>1.70067625</v>
      </c>
      <c r="Y38" s="37" t="n">
        <f aca="false">IF(DilMethod=3,MAX(0,Y32*$K$13/1000*DilPx-Y35)/DilPx,Y32*$K$13/1000*$P$13)</f>
        <v>1.70067625</v>
      </c>
      <c r="Z38" s="37" t="n">
        <f aca="false">IF(DilMethod=3,MAX(0,Z32*$K$13/1000*DilPx-Z35)/DilPx,Z32*$K$13/1000*$P$13)</f>
        <v>1.70067625</v>
      </c>
      <c r="AA38" s="37" t="n">
        <f aca="false">IF(DilMethod=3,MAX(0,AA32*$K$13/1000*DilPx-AA35)/DilPx,AA32*$K$13/1000*$P$13)</f>
        <v>1.70067625</v>
      </c>
      <c r="AB38" s="37" t="n">
        <f aca="false">IF(DilMethod=3,MAX(0,AB32*$K$13/1000*DilPx-AB35)/DilPx,AB32*$K$13/1000*$P$13)</f>
        <v>1.70067625</v>
      </c>
      <c r="AC38" s="37" t="n">
        <f aca="false">IF(DilMethod=3,MAX(0,AC32*$K$13/1000*DilPx-AC35)/DilPx,AC32*$K$13/1000*$P$13)</f>
        <v>1.70067625</v>
      </c>
      <c r="AD38" s="37" t="n">
        <f aca="false">IF(DilMethod=3,MAX(0,AD32*$K$13/1000*DilPx-AD35)/DilPx,AD32*$K$13/1000*$P$13)</f>
        <v>1.70067625</v>
      </c>
      <c r="AE38" s="37" t="n">
        <f aca="false">IF(DilMethod=3,MAX(0,AE32*$K$13/1000*DilPx-AE35)/DilPx,AE32*$K$13/1000*$P$13)</f>
        <v>1.70067625</v>
      </c>
      <c r="AF38" s="37" t="n">
        <f aca="false">IF(DilMethod=3,MAX(0,AF32*$K$13/1000*DilPx-AF35)/DilPx,AF32*$K$13/1000*$P$13)</f>
        <v>1.70067625</v>
      </c>
      <c r="AG38" s="37" t="n">
        <f aca="false">IF(DilMethod=3,MAX(0,AG32*$K$13/1000*DilPx-AG35)/DilPx,AG32*$K$13/1000*$P$13)</f>
        <v>1.70067625</v>
      </c>
      <c r="AI38" s="37" t="n">
        <f aca="false">INDEX($F38:$AG38,1,MATCH(AI$7,$F$7:$AG$7,1))</f>
        <v>0</v>
      </c>
      <c r="AJ38" s="37" t="n">
        <f aca="false">INDEX($F38:$AG38,1,MATCH(AJ$7,$F$7:$AG$7,1))</f>
        <v>9.47519625</v>
      </c>
      <c r="AK38" s="37" t="n">
        <f aca="false">INDEX($F38:$AG38,1,MATCH(AK$7,$F$7:$AG$7,1))</f>
        <v>1.70067625</v>
      </c>
      <c r="AL38" s="37" t="n">
        <f aca="false">INDEX($F38:$AG38,1,MATCH(AL$7,$F$7:$AG$7,1))</f>
        <v>1.70067625</v>
      </c>
      <c r="AM38" s="37" t="n">
        <f aca="false">INDEX($F38:$AG38,1,MATCH(AM$7,$F$7:$AG$7,1))</f>
        <v>1.70067625</v>
      </c>
      <c r="AN38" s="37" t="n">
        <f aca="false">INDEX($F38:$AG38,1,MATCH(AN$7,$F$7:$AG$7,1))</f>
        <v>1.70067625</v>
      </c>
      <c r="AO38" s="37" t="n">
        <f aca="false">INDEX($F38:$AG38,1,MATCH(AO$7,$F$7:$AG$7,1))</f>
        <v>1.70067625</v>
      </c>
    </row>
    <row r="39" customFormat="false" ht="15" hidden="false" customHeight="false" outlineLevel="0" collapsed="false">
      <c r="A39" s="101" t="s">
        <v>1761</v>
      </c>
      <c r="B39" s="18" t="s">
        <v>400</v>
      </c>
      <c r="C39" s="18" t="s">
        <v>336</v>
      </c>
      <c r="D39" s="18"/>
      <c r="F39" s="119" t="n">
        <f aca="false">F35*IF(DilMethod=3,1,1-$P$13)</f>
        <v>0</v>
      </c>
      <c r="G39" s="119" t="n">
        <f aca="false">G35*IF(DilMethod=3,1,1-$P$13)</f>
        <v>0</v>
      </c>
      <c r="H39" s="119" t="n">
        <f aca="false">H35*IF(DilMethod=3,1,1-$P$13)</f>
        <v>0</v>
      </c>
      <c r="I39" s="119" t="n">
        <f aca="false">I35*IF(DilMethod=3,1,1-$P$13)</f>
        <v>0</v>
      </c>
      <c r="J39" s="119" t="n">
        <f aca="false">J35*IF(DilMethod=3,1,1-$P$13)</f>
        <v>0</v>
      </c>
      <c r="K39" s="119" t="n">
        <f aca="false">K35*IF(DilMethod=3,1,1-$P$13)</f>
        <v>0</v>
      </c>
      <c r="L39" s="119" t="n">
        <f aca="false">L35*IF(DilMethod=3,1,1-$P$13)</f>
        <v>0</v>
      </c>
      <c r="M39" s="119" t="n">
        <f aca="false">M35*IF(DilMethod=3,1,1-$P$13)</f>
        <v>0</v>
      </c>
      <c r="N39" s="119" t="n">
        <f aca="false">N35*IF(DilMethod=3,1,1-$P$13)</f>
        <v>0</v>
      </c>
      <c r="O39" s="119" t="n">
        <f aca="false">O35*IF(DilMethod=3,1,1-$P$13)</f>
        <v>0</v>
      </c>
      <c r="P39" s="120" t="n">
        <f aca="false">P35*IF(DilMethod=3,1,1-$P$13)</f>
        <v>0</v>
      </c>
      <c r="Q39" s="120" t="n">
        <f aca="false">Q35*IF(DilMethod=3,1,1-$P$13)</f>
        <v>0</v>
      </c>
      <c r="R39" s="120" t="n">
        <f aca="false">R35*IF(DilMethod=3,1,1-$P$13)</f>
        <v>0</v>
      </c>
      <c r="S39" s="120" t="n">
        <f aca="false">S35*IF(DilMethod=3,1,1-$P$13)</f>
        <v>0</v>
      </c>
      <c r="T39" s="120" t="n">
        <f aca="false">T35*IF(DilMethod=3,1,1-$P$13)</f>
        <v>0</v>
      </c>
      <c r="U39" s="120" t="n">
        <f aca="false">U35*IF(DilMethod=3,1,1-$P$13)</f>
        <v>0</v>
      </c>
      <c r="V39" s="120" t="n">
        <f aca="false">V35*IF(DilMethod=3,1,1-$P$13)</f>
        <v>0</v>
      </c>
      <c r="W39" s="120" t="n">
        <f aca="false">W35*IF(DilMethod=3,1,1-$P$13)</f>
        <v>0</v>
      </c>
      <c r="X39" s="120" t="n">
        <f aca="false">X35*IF(DilMethod=3,1,1-$P$13)</f>
        <v>0</v>
      </c>
      <c r="Y39" s="120" t="n">
        <f aca="false">Y35*IF(DilMethod=3,1,1-$P$13)</f>
        <v>0</v>
      </c>
      <c r="Z39" s="120" t="n">
        <f aca="false">Z35*IF(DilMethod=3,1,1-$P$13)</f>
        <v>0</v>
      </c>
      <c r="AA39" s="120" t="n">
        <f aca="false">AA35*IF(DilMethod=3,1,1-$P$13)</f>
        <v>0</v>
      </c>
      <c r="AB39" s="120" t="n">
        <f aca="false">AB35*IF(DilMethod=3,1,1-$P$13)</f>
        <v>0</v>
      </c>
      <c r="AC39" s="120" t="n">
        <f aca="false">AC35*IF(DilMethod=3,1,1-$P$13)</f>
        <v>0</v>
      </c>
      <c r="AD39" s="120" t="n">
        <f aca="false">AD35*IF(DilMethod=3,1,1-$P$13)</f>
        <v>0</v>
      </c>
      <c r="AE39" s="120" t="n">
        <f aca="false">AE35*IF(DilMethod=3,1,1-$P$13)</f>
        <v>0</v>
      </c>
      <c r="AF39" s="120" t="n">
        <f aca="false">AF35*IF(DilMethod=3,1,1-$P$13)</f>
        <v>0</v>
      </c>
      <c r="AG39" s="120" t="n">
        <f aca="false">AG35*IF(DilMethod=3,1,1-$P$13)</f>
        <v>0</v>
      </c>
      <c r="AI39" s="120" t="n">
        <f aca="false">INDEX($F39:$AG39,1,MATCH(AI$7,$F$7:$AG$7,1))</f>
        <v>0</v>
      </c>
      <c r="AJ39" s="120" t="n">
        <f aca="false">INDEX($F39:$AG39,1,MATCH(AJ$7,$F$7:$AG$7,1))</f>
        <v>0</v>
      </c>
      <c r="AK39" s="120" t="n">
        <f aca="false">INDEX($F39:$AG39,1,MATCH(AK$7,$F$7:$AG$7,1))</f>
        <v>0</v>
      </c>
      <c r="AL39" s="120" t="n">
        <f aca="false">INDEX($F39:$AG39,1,MATCH(AL$7,$F$7:$AG$7,1))</f>
        <v>0</v>
      </c>
      <c r="AM39" s="120" t="n">
        <f aca="false">INDEX($F39:$AG39,1,MATCH(AM$7,$F$7:$AG$7,1))</f>
        <v>0</v>
      </c>
      <c r="AN39" s="120" t="n">
        <f aca="false">INDEX($F39:$AG39,1,MATCH(AN$7,$F$7:$AG$7,1))</f>
        <v>0</v>
      </c>
      <c r="AO39" s="120" t="n">
        <f aca="false">INDEX($F39:$AG39,1,MATCH(AO$7,$F$7:$AG$7,1))</f>
        <v>0</v>
      </c>
    </row>
    <row r="40" customFormat="false" ht="15" hidden="false" customHeight="false" outlineLevel="0" collapsed="false">
      <c r="A40" s="101" t="s">
        <v>1762</v>
      </c>
      <c r="B40" s="18" t="s">
        <v>400</v>
      </c>
      <c r="C40" s="18" t="s">
        <v>389</v>
      </c>
      <c r="D40" s="18"/>
      <c r="F40" s="119" t="n">
        <f aca="false">IF(AND(F$5&gt;=$M$14,F$5&lt;$N$14),$E$14-$F$14-IF(F$5&gt;=$H$14,$G$14,0),0)*($H$14&lt;&gt;0)+IF(AND(F$5&gt;=$M$14,F$5&lt;$N$14),$E$14-$F$14,0)*($H$14=0)</f>
        <v>0</v>
      </c>
      <c r="G40" s="119" t="n">
        <f aca="false">IF(AND(G$5&gt;=$M$14,G$5&lt;$N$14),$E$14-$F$14-IF(G$5&gt;=$H$14,$G$14,0),0)*($H$14&lt;&gt;0)+IF(AND(G$5&gt;=$M$14,G$5&lt;$N$14),$E$14-$F$14,0)*($H$14=0)</f>
        <v>0</v>
      </c>
      <c r="H40" s="119" t="n">
        <f aca="false">IF(AND(H$5&gt;=$M$14,H$5&lt;$N$14),$E$14-$F$14-IF(H$5&gt;=$H$14,$G$14,0),0)*($H$14&lt;&gt;0)+IF(AND(H$5&gt;=$M$14,H$5&lt;$N$14),$E$14-$F$14,0)*($H$14=0)</f>
        <v>0</v>
      </c>
      <c r="I40" s="119" t="n">
        <f aca="false">IF(AND(I$5&gt;=$M$14,I$5&lt;$N$14),$E$14-$F$14-IF(I$5&gt;=$H$14,$G$14,0),0)*($H$14&lt;&gt;0)+IF(AND(I$5&gt;=$M$14,I$5&lt;$N$14),$E$14-$F$14,0)*($H$14=0)</f>
        <v>0</v>
      </c>
      <c r="J40" s="119" t="n">
        <f aca="false">IF(AND(J$5&gt;=$M$14,J$5&lt;$N$14),$E$14-$F$14-IF(J$5&gt;=$H$14,$G$14,0),0)*($H$14&lt;&gt;0)+IF(AND(J$5&gt;=$M$14,J$5&lt;$N$14),$E$14-$F$14,0)*($H$14=0)</f>
        <v>0</v>
      </c>
      <c r="K40" s="119" t="n">
        <f aca="false">IF(AND(K$5&gt;=$M$14,K$5&lt;$N$14),$E$14-$F$14-IF(K$5&gt;=$H$14,$G$14,0),0)*($H$14&lt;&gt;0)+IF(AND(K$5&gt;=$M$14,K$5&lt;$N$14),$E$14-$F$14,0)*($H$14=0)</f>
        <v>0</v>
      </c>
      <c r="L40" s="119" t="n">
        <f aca="false">IF(AND(L$5&gt;=$M$14,L$5&lt;$N$14),$E$14-$F$14-IF(L$5&gt;=$H$14,$G$14,0),0)*($H$14&lt;&gt;0)+IF(AND(L$5&gt;=$M$14,L$5&lt;$N$14),$E$14-$F$14,0)*($H$14=0)</f>
        <v>1581.25</v>
      </c>
      <c r="M40" s="119" t="n">
        <f aca="false">IF(AND(M$5&gt;=$M$14,M$5&lt;$N$14),$E$14-$F$14-IF(M$5&gt;=$H$14,$G$14,0),0)*($H$14&lt;&gt;0)+IF(AND(M$5&gt;=$M$14,M$5&lt;$N$14),$E$14-$F$14,0)*($H$14=0)</f>
        <v>1581.25</v>
      </c>
      <c r="N40" s="119" t="n">
        <f aca="false">IF(AND(N$5&gt;=$M$14,N$5&lt;$N$14),$E$14-$F$14-IF(N$5&gt;=$H$14,$G$14,0),0)*($H$14&lt;&gt;0)+IF(AND(N$5&gt;=$M$14,N$5&lt;$N$14),$E$14-$F$14,0)*($H$14=0)</f>
        <v>1581.25</v>
      </c>
      <c r="O40" s="119" t="n">
        <f aca="false">IF(AND(O$5&gt;=$M$14,O$5&lt;$N$14),$E$14-$F$14-IF(O$5&gt;=$H$14,$G$14,0),0)*($H$14&lt;&gt;0)+IF(AND(O$5&gt;=$M$14,O$5&lt;$N$14),$E$14-$F$14,0)*($H$14=0)</f>
        <v>1581.25</v>
      </c>
      <c r="P40" s="120" t="n">
        <f aca="false">IF(AND(P$5&gt;=$M$14,P$5&lt;$N$14),$E$14-$F$14-IF(P$5&gt;=$H$14,$G$14,0),0)*($H$14&lt;&gt;0)+IF(AND(P$5&gt;=$M$14,P$5&lt;$N$14),$E$14-$F$14,0)*($H$14=0)</f>
        <v>1581.25</v>
      </c>
      <c r="Q40" s="120" t="n">
        <f aca="false">IF(AND(Q$5&gt;=$M$14,Q$5&lt;$N$14),$E$14-$F$14-IF(Q$5&gt;=$H$14,$G$14,0),0)*($H$14&lt;&gt;0)+IF(AND(Q$5&gt;=$M$14,Q$5&lt;$N$14),$E$14-$F$14,0)*($H$14=0)</f>
        <v>1581.25</v>
      </c>
      <c r="R40" s="120" t="n">
        <f aca="false">IF(AND(R$5&gt;=$M$14,R$5&lt;$N$14),$E$14-$F$14-IF(R$5&gt;=$H$14,$G$14,0),0)*($H$14&lt;&gt;0)+IF(AND(R$5&gt;=$M$14,R$5&lt;$N$14),$E$14-$F$14,0)*($H$14=0)</f>
        <v>1581.25</v>
      </c>
      <c r="S40" s="120" t="n">
        <f aca="false">IF(AND(S$5&gt;=$M$14,S$5&lt;$N$14),$E$14-$F$14-IF(S$5&gt;=$H$14,$G$14,0),0)*($H$14&lt;&gt;0)+IF(AND(S$5&gt;=$M$14,S$5&lt;$N$14),$E$14-$F$14,0)*($H$14=0)</f>
        <v>1581.25</v>
      </c>
      <c r="T40" s="120" t="n">
        <f aca="false">IF(AND(T$5&gt;=$M$14,T$5&lt;$N$14),$E$14-$F$14-IF(T$5&gt;=$H$14,$G$14,0),0)*($H$14&lt;&gt;0)+IF(AND(T$5&gt;=$M$14,T$5&lt;$N$14),$E$14-$F$14,0)*($H$14=0)</f>
        <v>1581.25</v>
      </c>
      <c r="U40" s="120" t="n">
        <f aca="false">IF(AND(U$5&gt;=$M$14,U$5&lt;$N$14),$E$14-$F$14-IF(U$5&gt;=$H$14,$G$14,0),0)*($H$14&lt;&gt;0)+IF(AND(U$5&gt;=$M$14,U$5&lt;$N$14),$E$14-$F$14,0)*($H$14=0)</f>
        <v>1581.25</v>
      </c>
      <c r="V40" s="120" t="n">
        <f aca="false">IF(AND(V$5&gt;=$M$14,V$5&lt;$N$14),$E$14-$F$14-IF(V$5&gt;=$H$14,$G$14,0),0)*($H$14&lt;&gt;0)+IF(AND(V$5&gt;=$M$14,V$5&lt;$N$14),$E$14-$F$14,0)*($H$14=0)</f>
        <v>1581.25</v>
      </c>
      <c r="W40" s="120" t="n">
        <f aca="false">IF(AND(W$5&gt;=$M$14,W$5&lt;$N$14),$E$14-$F$14-IF(W$5&gt;=$H$14,$G$14,0),0)*($H$14&lt;&gt;0)+IF(AND(W$5&gt;=$M$14,W$5&lt;$N$14),$E$14-$F$14,0)*($H$14=0)</f>
        <v>1581.25</v>
      </c>
      <c r="X40" s="120" t="n">
        <f aca="false">IF(AND(X$5&gt;=$M$14,X$5&lt;$N$14),$E$14-$F$14-IF(X$5&gt;=$H$14,$G$14,0),0)*($H$14&lt;&gt;0)+IF(AND(X$5&gt;=$M$14,X$5&lt;$N$14),$E$14-$F$14,0)*($H$14=0)</f>
        <v>1581.25</v>
      </c>
      <c r="Y40" s="120" t="n">
        <f aca="false">IF(AND(Y$5&gt;=$M$14,Y$5&lt;$N$14),$E$14-$F$14-IF(Y$5&gt;=$H$14,$G$14,0),0)*($H$14&lt;&gt;0)+IF(AND(Y$5&gt;=$M$14,Y$5&lt;$N$14),$E$14-$F$14,0)*($H$14=0)</f>
        <v>1581.25</v>
      </c>
      <c r="Z40" s="120" t="n">
        <f aca="false">IF(AND(Z$5&gt;=$M$14,Z$5&lt;$N$14),$E$14-$F$14-IF(Z$5&gt;=$H$14,$G$14,0),0)*($H$14&lt;&gt;0)+IF(AND(Z$5&gt;=$M$14,Z$5&lt;$N$14),$E$14-$F$14,0)*($H$14=0)</f>
        <v>1581.25</v>
      </c>
      <c r="AA40" s="120" t="n">
        <f aca="false">IF(AND(AA$5&gt;=$M$14,AA$5&lt;$N$14),$E$14-$F$14-IF(AA$5&gt;=$H$14,$G$14,0),0)*($H$14&lt;&gt;0)+IF(AND(AA$5&gt;=$M$14,AA$5&lt;$N$14),$E$14-$F$14,0)*($H$14=0)</f>
        <v>1581.25</v>
      </c>
      <c r="AB40" s="120" t="n">
        <f aca="false">IF(AND(AB$5&gt;=$M$14,AB$5&lt;$N$14),$E$14-$F$14-IF(AB$5&gt;=$H$14,$G$14,0),0)*($H$14&lt;&gt;0)+IF(AND(AB$5&gt;=$M$14,AB$5&lt;$N$14),$E$14-$F$14,0)*($H$14=0)</f>
        <v>1581.25</v>
      </c>
      <c r="AC40" s="120" t="n">
        <f aca="false">IF(AND(AC$5&gt;=$M$14,AC$5&lt;$N$14),$E$14-$F$14-IF(AC$5&gt;=$H$14,$G$14,0),0)*($H$14&lt;&gt;0)+IF(AND(AC$5&gt;=$M$14,AC$5&lt;$N$14),$E$14-$F$14,0)*($H$14=0)</f>
        <v>1581.25</v>
      </c>
      <c r="AD40" s="120" t="n">
        <f aca="false">IF(AND(AD$5&gt;=$M$14,AD$5&lt;$N$14),$E$14-$F$14-IF(AD$5&gt;=$H$14,$G$14,0),0)*($H$14&lt;&gt;0)+IF(AND(AD$5&gt;=$M$14,AD$5&lt;$N$14),$E$14-$F$14,0)*($H$14=0)</f>
        <v>1581.25</v>
      </c>
      <c r="AE40" s="120" t="n">
        <f aca="false">IF(AND(AE$5&gt;=$M$14,AE$5&lt;$N$14),$E$14-$F$14-IF(AE$5&gt;=$H$14,$G$14,0),0)*($H$14&lt;&gt;0)+IF(AND(AE$5&gt;=$M$14,AE$5&lt;$N$14),$E$14-$F$14,0)*($H$14=0)</f>
        <v>1581.25</v>
      </c>
      <c r="AF40" s="120" t="n">
        <f aca="false">IF(AND(AF$5&gt;=$M$14,AF$5&lt;$N$14),$E$14-$F$14-IF(AF$5&gt;=$H$14,$G$14,0),0)*($H$14&lt;&gt;0)+IF(AND(AF$5&gt;=$M$14,AF$5&lt;$N$14),$E$14-$F$14,0)*($H$14=0)</f>
        <v>0</v>
      </c>
      <c r="AG40" s="120" t="n">
        <f aca="false">IF(AND(AG$5&gt;=$M$14,AG$5&lt;$N$14),$E$14-$F$14-IF(AG$5&gt;=$H$14,$G$14,0),0)*($H$14&lt;&gt;0)+IF(AND(AG$5&gt;=$M$14,AG$5&lt;$N$14),$E$14-$F$14,0)*($H$14=0)</f>
        <v>0</v>
      </c>
      <c r="AI40" s="120" t="n">
        <f aca="false">INDEX($F40:$AG40,1,MATCH(AI$7,$F$7:$AG$7,1))</f>
        <v>0</v>
      </c>
      <c r="AJ40" s="120" t="n">
        <f aca="false">INDEX($F40:$AG40,1,MATCH(AJ$7,$F$7:$AG$7,1))</f>
        <v>1581.25</v>
      </c>
      <c r="AK40" s="120" t="n">
        <f aca="false">INDEX($F40:$AG40,1,MATCH(AK$7,$F$7:$AG$7,1))</f>
        <v>1581.25</v>
      </c>
      <c r="AL40" s="120" t="n">
        <f aca="false">INDEX($F40:$AG40,1,MATCH(AL$7,$F$7:$AG$7,1))</f>
        <v>1581.25</v>
      </c>
      <c r="AM40" s="120" t="n">
        <f aca="false">INDEX($F40:$AG40,1,MATCH(AM$7,$F$7:$AG$7,1))</f>
        <v>1581.25</v>
      </c>
      <c r="AN40" s="120" t="n">
        <f aca="false">INDEX($F40:$AG40,1,MATCH(AN$7,$F$7:$AG$7,1))</f>
        <v>1581.25</v>
      </c>
      <c r="AO40" s="120" t="n">
        <f aca="false">INDEX($F40:$AG40,1,MATCH(AO$7,$F$7:$AG$7,1))</f>
        <v>0</v>
      </c>
    </row>
    <row r="41" customFormat="false" ht="15" hidden="false" customHeight="false" outlineLevel="0" collapsed="false">
      <c r="A41" s="101" t="s">
        <v>1763</v>
      </c>
      <c r="B41" s="18" t="s">
        <v>400</v>
      </c>
      <c r="C41" s="18" t="s">
        <v>389</v>
      </c>
      <c r="D41" s="18"/>
      <c r="F41" s="119" t="n">
        <f aca="false">F40*$C$14/4</f>
        <v>0</v>
      </c>
      <c r="G41" s="119" t="n">
        <f aca="false">G40*$C$14/4</f>
        <v>0</v>
      </c>
      <c r="H41" s="119" t="n">
        <f aca="false">H40*$C$14/4</f>
        <v>0</v>
      </c>
      <c r="I41" s="119" t="n">
        <f aca="false">I40*$C$14/4</f>
        <v>0</v>
      </c>
      <c r="J41" s="119" t="n">
        <f aca="false">J40*$C$14/4</f>
        <v>0</v>
      </c>
      <c r="K41" s="119" t="n">
        <f aca="false">K40*$C$14/4</f>
        <v>0</v>
      </c>
      <c r="L41" s="119" t="n">
        <f aca="false">L40*$C$14/4</f>
        <v>3.953125</v>
      </c>
      <c r="M41" s="119" t="n">
        <f aca="false">M40*$C$14/4</f>
        <v>3.953125</v>
      </c>
      <c r="N41" s="119" t="n">
        <f aca="false">N40*$C$14/4</f>
        <v>3.953125</v>
      </c>
      <c r="O41" s="119" t="n">
        <f aca="false">O40*$C$14/4</f>
        <v>3.953125</v>
      </c>
      <c r="P41" s="120" t="n">
        <f aca="false">P40*$C$14/4</f>
        <v>3.953125</v>
      </c>
      <c r="Q41" s="120" t="n">
        <f aca="false">Q40*$C$14/4</f>
        <v>3.953125</v>
      </c>
      <c r="R41" s="120" t="n">
        <f aca="false">R40*$C$14/4</f>
        <v>3.953125</v>
      </c>
      <c r="S41" s="120" t="n">
        <f aca="false">S40*$C$14/4</f>
        <v>3.953125</v>
      </c>
      <c r="T41" s="120" t="n">
        <f aca="false">T40*$C$14/4</f>
        <v>3.953125</v>
      </c>
      <c r="U41" s="120" t="n">
        <f aca="false">U40*$C$14/4</f>
        <v>3.953125</v>
      </c>
      <c r="V41" s="120" t="n">
        <f aca="false">V40*$C$14/4</f>
        <v>3.953125</v>
      </c>
      <c r="W41" s="120" t="n">
        <f aca="false">W40*$C$14/4</f>
        <v>3.953125</v>
      </c>
      <c r="X41" s="120" t="n">
        <f aca="false">X40*$C$14/4</f>
        <v>3.953125</v>
      </c>
      <c r="Y41" s="120" t="n">
        <f aca="false">Y40*$C$14/4</f>
        <v>3.953125</v>
      </c>
      <c r="Z41" s="120" t="n">
        <f aca="false">Z40*$C$14/4</f>
        <v>3.953125</v>
      </c>
      <c r="AA41" s="120" t="n">
        <f aca="false">AA40*$C$14/4</f>
        <v>3.953125</v>
      </c>
      <c r="AB41" s="120" t="n">
        <f aca="false">AB40*$C$14/4</f>
        <v>3.953125</v>
      </c>
      <c r="AC41" s="120" t="n">
        <f aca="false">AC40*$C$14/4</f>
        <v>3.953125</v>
      </c>
      <c r="AD41" s="120" t="n">
        <f aca="false">AD40*$C$14/4</f>
        <v>3.953125</v>
      </c>
      <c r="AE41" s="120" t="n">
        <f aca="false">AE40*$C$14/4</f>
        <v>3.953125</v>
      </c>
      <c r="AF41" s="120" t="n">
        <f aca="false">AF40*$C$14/4</f>
        <v>0</v>
      </c>
      <c r="AG41" s="120" t="n">
        <f aca="false">AG40*$C$14/4</f>
        <v>0</v>
      </c>
      <c r="AI41" s="120" t="n">
        <f aca="false">SUMIF($F$7:$AG$7,AI$7,$F41:$AG41)</f>
        <v>0</v>
      </c>
      <c r="AJ41" s="120" t="n">
        <f aca="false">SUMIF($F$7:$AG$7,AJ$7,$F41:$AG41)</f>
        <v>7.90625</v>
      </c>
      <c r="AK41" s="120" t="n">
        <f aca="false">SUMIF($F$7:$AG$7,AK$7,$F41:$AG41)</f>
        <v>15.8125</v>
      </c>
      <c r="AL41" s="120" t="n">
        <f aca="false">SUMIF($F$7:$AG$7,AL$7,$F41:$AG41)</f>
        <v>15.8125</v>
      </c>
      <c r="AM41" s="120" t="n">
        <f aca="false">SUMIF($F$7:$AG$7,AM$7,$F41:$AG41)</f>
        <v>15.8125</v>
      </c>
      <c r="AN41" s="120" t="n">
        <f aca="false">SUMIF($F$7:$AG$7,AN$7,$F41:$AG41)</f>
        <v>15.8125</v>
      </c>
      <c r="AO41" s="120" t="n">
        <f aca="false">SUMIF($F$7:$AG$7,AO$7,$F41:$AG41)</f>
        <v>7.90625</v>
      </c>
    </row>
    <row r="42" customFormat="false" ht="15" hidden="false" customHeight="false" outlineLevel="0" collapsed="false">
      <c r="A42" s="101" t="s">
        <v>1764</v>
      </c>
      <c r="B42" s="18" t="s">
        <v>400</v>
      </c>
      <c r="C42" s="18" t="s">
        <v>389</v>
      </c>
      <c r="D42" s="18"/>
      <c r="F42" s="119" t="n">
        <f aca="false">F40*($J$14-1)/(($D$14-$B$14)/91.3125)</f>
        <v>0</v>
      </c>
      <c r="G42" s="119" t="n">
        <f aca="false">G40*($J$14-1)/(($D$14-$B$14)/91.3125)</f>
        <v>0</v>
      </c>
      <c r="H42" s="119" t="n">
        <f aca="false">H40*($J$14-1)/(($D$14-$B$14)/91.3125)</f>
        <v>0</v>
      </c>
      <c r="I42" s="119" t="n">
        <f aca="false">I40*($J$14-1)/(($D$14-$B$14)/91.3125)</f>
        <v>0</v>
      </c>
      <c r="J42" s="119" t="n">
        <f aca="false">J40*($J$14-1)/(($D$14-$B$14)/91.3125)</f>
        <v>0</v>
      </c>
      <c r="K42" s="119" t="n">
        <f aca="false">K40*($J$14-1)/(($D$14-$B$14)/91.3125)</f>
        <v>0</v>
      </c>
      <c r="L42" s="119" t="n">
        <f aca="false">L40*($J$14-1)/(($D$14-$B$14)/91.3125)</f>
        <v>11.8609986822289</v>
      </c>
      <c r="M42" s="119" t="n">
        <f aca="false">M40*($J$14-1)/(($D$14-$B$14)/91.3125)</f>
        <v>11.8609986822289</v>
      </c>
      <c r="N42" s="119" t="n">
        <f aca="false">N40*($J$14-1)/(($D$14-$B$14)/91.3125)</f>
        <v>11.8609986822289</v>
      </c>
      <c r="O42" s="119" t="n">
        <f aca="false">O40*($J$14-1)/(($D$14-$B$14)/91.3125)</f>
        <v>11.8609986822289</v>
      </c>
      <c r="P42" s="120" t="n">
        <f aca="false">P40*($J$14-1)/(($D$14-$B$14)/91.3125)</f>
        <v>11.8609986822289</v>
      </c>
      <c r="Q42" s="120" t="n">
        <f aca="false">Q40*($J$14-1)/(($D$14-$B$14)/91.3125)</f>
        <v>11.8609986822289</v>
      </c>
      <c r="R42" s="120" t="n">
        <f aca="false">R40*($J$14-1)/(($D$14-$B$14)/91.3125)</f>
        <v>11.8609986822289</v>
      </c>
      <c r="S42" s="120" t="n">
        <f aca="false">S40*($J$14-1)/(($D$14-$B$14)/91.3125)</f>
        <v>11.8609986822289</v>
      </c>
      <c r="T42" s="120" t="n">
        <f aca="false">T40*($J$14-1)/(($D$14-$B$14)/91.3125)</f>
        <v>11.8609986822289</v>
      </c>
      <c r="U42" s="120" t="n">
        <f aca="false">U40*($J$14-1)/(($D$14-$B$14)/91.3125)</f>
        <v>11.8609986822289</v>
      </c>
      <c r="V42" s="120" t="n">
        <f aca="false">V40*($J$14-1)/(($D$14-$B$14)/91.3125)</f>
        <v>11.8609986822289</v>
      </c>
      <c r="W42" s="120" t="n">
        <f aca="false">W40*($J$14-1)/(($D$14-$B$14)/91.3125)</f>
        <v>11.8609986822289</v>
      </c>
      <c r="X42" s="120" t="n">
        <f aca="false">X40*($J$14-1)/(($D$14-$B$14)/91.3125)</f>
        <v>11.8609986822289</v>
      </c>
      <c r="Y42" s="120" t="n">
        <f aca="false">Y40*($J$14-1)/(($D$14-$B$14)/91.3125)</f>
        <v>11.8609986822289</v>
      </c>
      <c r="Z42" s="120" t="n">
        <f aca="false">Z40*($J$14-1)/(($D$14-$B$14)/91.3125)</f>
        <v>11.8609986822289</v>
      </c>
      <c r="AA42" s="120" t="n">
        <f aca="false">AA40*($J$14-1)/(($D$14-$B$14)/91.3125)</f>
        <v>11.8609986822289</v>
      </c>
      <c r="AB42" s="120" t="n">
        <f aca="false">AB40*($J$14-1)/(($D$14-$B$14)/91.3125)</f>
        <v>11.8609986822289</v>
      </c>
      <c r="AC42" s="120" t="n">
        <f aca="false">AC40*($J$14-1)/(($D$14-$B$14)/91.3125)</f>
        <v>11.8609986822289</v>
      </c>
      <c r="AD42" s="120" t="n">
        <f aca="false">AD40*($J$14-1)/(($D$14-$B$14)/91.3125)</f>
        <v>11.8609986822289</v>
      </c>
      <c r="AE42" s="120" t="n">
        <f aca="false">AE40*($J$14-1)/(($D$14-$B$14)/91.3125)</f>
        <v>11.8609986822289</v>
      </c>
      <c r="AF42" s="120" t="n">
        <f aca="false">AF40*($J$14-1)/(($D$14-$B$14)/91.3125)</f>
        <v>0</v>
      </c>
      <c r="AG42" s="120" t="n">
        <f aca="false">AG40*($J$14-1)/(($D$14-$B$14)/91.3125)</f>
        <v>0</v>
      </c>
      <c r="AI42" s="120" t="n">
        <f aca="false">SUMIF($F$7:$AG$7,AI$7,$F42:$AG42)</f>
        <v>0</v>
      </c>
      <c r="AJ42" s="120" t="n">
        <f aca="false">SUMIF($F$7:$AG$7,AJ$7,$F42:$AG42)</f>
        <v>23.7219973644578</v>
      </c>
      <c r="AK42" s="120" t="n">
        <f aca="false">SUMIF($F$7:$AG$7,AK$7,$F42:$AG42)</f>
        <v>47.4439947289156</v>
      </c>
      <c r="AL42" s="120" t="n">
        <f aca="false">SUMIF($F$7:$AG$7,AL$7,$F42:$AG42)</f>
        <v>47.4439947289156</v>
      </c>
      <c r="AM42" s="120" t="n">
        <f aca="false">SUMIF($F$7:$AG$7,AM$7,$F42:$AG42)</f>
        <v>47.4439947289156</v>
      </c>
      <c r="AN42" s="120" t="n">
        <f aca="false">SUMIF($F$7:$AG$7,AN$7,$F42:$AG42)</f>
        <v>47.4439947289156</v>
      </c>
      <c r="AO42" s="120" t="n">
        <f aca="false">SUMIF($F$7:$AG$7,AO$7,$F42:$AG42)</f>
        <v>23.7219973644578</v>
      </c>
    </row>
    <row r="43" customFormat="false" ht="15" hidden="false" customHeight="false" outlineLevel="0" collapsed="false">
      <c r="A43" s="101" t="s">
        <v>1765</v>
      </c>
      <c r="B43" s="18" t="s">
        <v>400</v>
      </c>
      <c r="C43" s="18" t="s">
        <v>389</v>
      </c>
      <c r="D43" s="18"/>
      <c r="F43" s="119" t="n">
        <f aca="false">F40*(1+($J$14-1)*MIN(1,MAX(0,(F$4-$B$14)/($D$14-$B$14))))</f>
        <v>0</v>
      </c>
      <c r="G43" s="119" t="n">
        <f aca="false">G40*(1+($J$14-1)*MIN(1,MAX(0,(G$4-$B$14)/($D$14-$B$14))))</f>
        <v>0</v>
      </c>
      <c r="H43" s="119" t="n">
        <f aca="false">H40*(1+($J$14-1)*MIN(1,MAX(0,(H$4-$B$14)/($D$14-$B$14))))</f>
        <v>0</v>
      </c>
      <c r="I43" s="119" t="n">
        <f aca="false">I40*(1+($J$14-1)*MIN(1,MAX(0,(I$4-$B$14)/($D$14-$B$14))))</f>
        <v>0</v>
      </c>
      <c r="J43" s="119" t="n">
        <f aca="false">J40*(1+($J$14-1)*MIN(1,MAX(0,(J$4-$B$14)/($D$14-$B$14))))</f>
        <v>0</v>
      </c>
      <c r="K43" s="119" t="n">
        <f aca="false">K40*(1+($J$14-1)*MIN(1,MAX(0,(K$4-$B$14)/($D$14-$B$14))))</f>
        <v>0</v>
      </c>
      <c r="L43" s="119" t="n">
        <f aca="false">L40*(1+($J$14-1)*MIN(1,MAX(0,(L$4-$B$14)/($D$14-$B$14))))</f>
        <v>1583.1984186747</v>
      </c>
      <c r="M43" s="119" t="n">
        <f aca="false">M40*(1+($J$14-1)*MIN(1,MAX(0,(M$4-$B$14)/($D$14-$B$14))))</f>
        <v>1595.14871987952</v>
      </c>
      <c r="N43" s="119" t="n">
        <f aca="false">N40*(1+($J$14-1)*MIN(1,MAX(0,(N$4-$B$14)/($D$14-$B$14))))</f>
        <v>1606.83923192771</v>
      </c>
      <c r="O43" s="119" t="n">
        <f aca="false">O40*(1+($J$14-1)*MIN(1,MAX(0,(O$4-$B$14)/($D$14-$B$14))))</f>
        <v>1618.65963855422</v>
      </c>
      <c r="P43" s="120" t="n">
        <f aca="false">P40*(1+($J$14-1)*MIN(1,MAX(0,(P$4-$B$14)/($D$14-$B$14))))</f>
        <v>1630.60993975904</v>
      </c>
      <c r="Q43" s="120" t="n">
        <f aca="false">Q40*(1+($J$14-1)*MIN(1,MAX(0,(Q$4-$B$14)/($D$14-$B$14))))</f>
        <v>1642.56024096386</v>
      </c>
      <c r="R43" s="120" t="n">
        <f aca="false">R40*(1+($J$14-1)*MIN(1,MAX(0,(R$4-$B$14)/($D$14-$B$14))))</f>
        <v>1654.25075301205</v>
      </c>
      <c r="S43" s="120" t="n">
        <f aca="false">S40*(1+($J$14-1)*MIN(1,MAX(0,(S$4-$B$14)/($D$14-$B$14))))</f>
        <v>1666.07115963855</v>
      </c>
      <c r="T43" s="120" t="n">
        <f aca="false">T40*(1+($J$14-1)*MIN(1,MAX(0,(T$4-$B$14)/($D$14-$B$14))))</f>
        <v>1678.02146084337</v>
      </c>
      <c r="U43" s="120" t="n">
        <f aca="false">U40*(1+($J$14-1)*MIN(1,MAX(0,(U$4-$B$14)/($D$14-$B$14))))</f>
        <v>1689.97176204819</v>
      </c>
      <c r="V43" s="120" t="n">
        <f aca="false">V40*(1+($J$14-1)*MIN(1,MAX(0,(V$4-$B$14)/($D$14-$B$14))))</f>
        <v>1701.7921686747</v>
      </c>
      <c r="W43" s="120" t="n">
        <f aca="false">W40*(1+($J$14-1)*MIN(1,MAX(0,(W$4-$B$14)/($D$14-$B$14))))</f>
        <v>1713.6125753012</v>
      </c>
      <c r="X43" s="120" t="n">
        <f aca="false">X40*(1+($J$14-1)*MIN(1,MAX(0,(X$4-$B$14)/($D$14-$B$14))))</f>
        <v>1725.56287650602</v>
      </c>
      <c r="Y43" s="120" t="n">
        <f aca="false">Y40*(1+($J$14-1)*MIN(1,MAX(0,(Y$4-$B$14)/($D$14-$B$14))))</f>
        <v>1737.51317771084</v>
      </c>
      <c r="Z43" s="120" t="n">
        <f aca="false">Z40*(1+($J$14-1)*MIN(1,MAX(0,(Z$4-$B$14)/($D$14-$B$14))))</f>
        <v>1749.20368975904</v>
      </c>
      <c r="AA43" s="120" t="n">
        <f aca="false">AA40*(1+($J$14-1)*MIN(1,MAX(0,(AA$4-$B$14)/($D$14-$B$14))))</f>
        <v>1761.02409638554</v>
      </c>
      <c r="AB43" s="120" t="n">
        <f aca="false">AB40*(1+($J$14-1)*MIN(1,MAX(0,(AB$4-$B$14)/($D$14-$B$14))))</f>
        <v>1772.97439759036</v>
      </c>
      <c r="AC43" s="120" t="n">
        <f aca="false">AC40*(1+($J$14-1)*MIN(1,MAX(0,(AC$4-$B$14)/($D$14-$B$14))))</f>
        <v>1784.92469879518</v>
      </c>
      <c r="AD43" s="120" t="n">
        <f aca="false">AD40*(1+($J$14-1)*MIN(1,MAX(0,(AD$4-$B$14)/($D$14-$B$14))))</f>
        <v>1796.61521084337</v>
      </c>
      <c r="AE43" s="120" t="n">
        <f aca="false">AE40*(1+($J$14-1)*MIN(1,MAX(0,(AE$4-$B$14)/($D$14-$B$14))))</f>
        <v>1808.43561746988</v>
      </c>
      <c r="AF43" s="120" t="n">
        <f aca="false">AF40*(1+($J$14-1)*MIN(1,MAX(0,(AF$4-$B$14)/($D$14-$B$14))))</f>
        <v>0</v>
      </c>
      <c r="AG43" s="120" t="n">
        <f aca="false">AG40*(1+($J$14-1)*MIN(1,MAX(0,(AG$4-$B$14)/($D$14-$B$14))))</f>
        <v>0</v>
      </c>
      <c r="AI43" s="120" t="n">
        <f aca="false">INDEX($F43:$AG43,1,MATCH(AI$7,$F$7:$AG$7,1))</f>
        <v>0</v>
      </c>
      <c r="AJ43" s="120" t="n">
        <f aca="false">INDEX($F43:$AG43,1,MATCH(AJ$7,$F$7:$AG$7,1))</f>
        <v>1595.14871987952</v>
      </c>
      <c r="AK43" s="120" t="n">
        <f aca="false">INDEX($F43:$AG43,1,MATCH(AK$7,$F$7:$AG$7,1))</f>
        <v>1642.56024096386</v>
      </c>
      <c r="AL43" s="120" t="n">
        <f aca="false">INDEX($F43:$AG43,1,MATCH(AL$7,$F$7:$AG$7,1))</f>
        <v>1689.97176204819</v>
      </c>
      <c r="AM43" s="120" t="n">
        <f aca="false">INDEX($F43:$AG43,1,MATCH(AM$7,$F$7:$AG$7,1))</f>
        <v>1737.51317771084</v>
      </c>
      <c r="AN43" s="120" t="n">
        <f aca="false">INDEX($F43:$AG43,1,MATCH(AN$7,$F$7:$AG$7,1))</f>
        <v>1784.92469879518</v>
      </c>
      <c r="AO43" s="120" t="n">
        <f aca="false">INDEX($F43:$AG43,1,MATCH(AO$7,$F$7:$AG$7,1))</f>
        <v>0</v>
      </c>
    </row>
    <row r="44" customFormat="false" ht="15" hidden="false" customHeight="false" outlineLevel="0" collapsed="false">
      <c r="A44" s="101" t="s">
        <v>1766</v>
      </c>
      <c r="B44" s="18" t="s">
        <v>400</v>
      </c>
      <c r="C44" s="18" t="s">
        <v>389</v>
      </c>
      <c r="D44" s="18"/>
      <c r="F44" s="119" t="n">
        <f aca="false">IF(F$5=$N$14,E40*$J$14*(1-$O$14),0)</f>
        <v>0</v>
      </c>
      <c r="G44" s="119" t="n">
        <f aca="false">IF(G$5=$N$14,F40*$J$14*(1-$O$14),0)</f>
        <v>0</v>
      </c>
      <c r="H44" s="119" t="n">
        <f aca="false">IF(H$5=$N$14,G40*$J$14*(1-$O$14),0)</f>
        <v>0</v>
      </c>
      <c r="I44" s="119" t="n">
        <f aca="false">IF(I$5=$N$14,H40*$J$14*(1-$O$14),0)</f>
        <v>0</v>
      </c>
      <c r="J44" s="119" t="n">
        <f aca="false">IF(J$5=$N$14,I40*$J$14*(1-$O$14),0)</f>
        <v>0</v>
      </c>
      <c r="K44" s="119" t="n">
        <f aca="false">IF(K$5=$N$14,J40*$J$14*(1-$O$14),0)</f>
        <v>0</v>
      </c>
      <c r="L44" s="119" t="n">
        <f aca="false">IF(L$5=$N$14,K40*$J$14*(1-$O$14),0)</f>
        <v>0</v>
      </c>
      <c r="M44" s="119" t="n">
        <f aca="false">IF(M$5=$N$14,L40*$J$14*(1-$O$14),0)</f>
        <v>0</v>
      </c>
      <c r="N44" s="119" t="n">
        <f aca="false">IF(N$5=$N$14,M40*$J$14*(1-$O$14),0)</f>
        <v>0</v>
      </c>
      <c r="O44" s="119" t="n">
        <f aca="false">IF(O$5=$N$14,N40*$J$14*(1-$O$14),0)</f>
        <v>0</v>
      </c>
      <c r="P44" s="120" t="n">
        <f aca="false">IF(P$5=$N$14,O40*$J$14*(1-$O$14),0)</f>
        <v>0</v>
      </c>
      <c r="Q44" s="120" t="n">
        <f aca="false">IF(Q$5=$N$14,P40*$J$14*(1-$O$14),0)</f>
        <v>0</v>
      </c>
      <c r="R44" s="120" t="n">
        <f aca="false">IF(R$5=$N$14,Q40*$J$14*(1-$O$14),0)</f>
        <v>0</v>
      </c>
      <c r="S44" s="120" t="n">
        <f aca="false">IF(S$5=$N$14,R40*$J$14*(1-$O$14),0)</f>
        <v>0</v>
      </c>
      <c r="T44" s="120" t="n">
        <f aca="false">IF(T$5=$N$14,S40*$J$14*(1-$O$14),0)</f>
        <v>0</v>
      </c>
      <c r="U44" s="120" t="n">
        <f aca="false">IF(U$5=$N$14,T40*$J$14*(1-$O$14),0)</f>
        <v>0</v>
      </c>
      <c r="V44" s="120" t="n">
        <f aca="false">IF(V$5=$N$14,U40*$J$14*(1-$O$14),0)</f>
        <v>0</v>
      </c>
      <c r="W44" s="120" t="n">
        <f aca="false">IF(W$5=$N$14,V40*$J$14*(1-$O$14),0)</f>
        <v>0</v>
      </c>
      <c r="X44" s="120" t="n">
        <f aca="false">IF(X$5=$N$14,W40*$J$14*(1-$O$14),0)</f>
        <v>0</v>
      </c>
      <c r="Y44" s="120" t="n">
        <f aca="false">IF(Y$5=$N$14,X40*$J$14*(1-$O$14),0)</f>
        <v>0</v>
      </c>
      <c r="Z44" s="120" t="n">
        <f aca="false">IF(Z$5=$N$14,Y40*$J$14*(1-$O$14),0)</f>
        <v>0</v>
      </c>
      <c r="AA44" s="120" t="n">
        <f aca="false">IF(AA$5=$N$14,Z40*$J$14*(1-$O$14),0)</f>
        <v>0</v>
      </c>
      <c r="AB44" s="120" t="n">
        <f aca="false">IF(AB$5=$N$14,AA40*$J$14*(1-$O$14),0)</f>
        <v>0</v>
      </c>
      <c r="AC44" s="120" t="n">
        <f aca="false">IF(AC$5=$N$14,AB40*$J$14*(1-$O$14),0)</f>
        <v>0</v>
      </c>
      <c r="AD44" s="120" t="n">
        <f aca="false">IF(AD$5=$N$14,AC40*$J$14*(1-$O$14),0)</f>
        <v>0</v>
      </c>
      <c r="AE44" s="120" t="n">
        <f aca="false">IF(AE$5=$N$14,AD40*$J$14*(1-$O$14),0)</f>
        <v>0</v>
      </c>
      <c r="AF44" s="120" t="n">
        <f aca="false">IF(AF$5=$N$14,AE40*$J$14*(1-$O$14),0)</f>
        <v>0</v>
      </c>
      <c r="AG44" s="120" t="n">
        <f aca="false">IF(AG$5=$N$14,AF40*$J$14*(1-$O$14),0)</f>
        <v>0</v>
      </c>
      <c r="AI44" s="120" t="n">
        <f aca="false">SUMIF($F$7:$AG$7,AI$7,$F44:$AG44)</f>
        <v>0</v>
      </c>
      <c r="AJ44" s="120" t="n">
        <f aca="false">SUMIF($F$7:$AG$7,AJ$7,$F44:$AG44)</f>
        <v>0</v>
      </c>
      <c r="AK44" s="120" t="n">
        <f aca="false">SUMIF($F$7:$AG$7,AK$7,$F44:$AG44)</f>
        <v>0</v>
      </c>
      <c r="AL44" s="120" t="n">
        <f aca="false">SUMIF($F$7:$AG$7,AL$7,$F44:$AG44)</f>
        <v>0</v>
      </c>
      <c r="AM44" s="120" t="n">
        <f aca="false">SUMIF($F$7:$AG$7,AM$7,$F44:$AG44)</f>
        <v>0</v>
      </c>
      <c r="AN44" s="120" t="n">
        <f aca="false">SUMIF($F$7:$AG$7,AN$7,$F44:$AG44)</f>
        <v>0</v>
      </c>
      <c r="AO44" s="120" t="n">
        <f aca="false">SUMIF($F$7:$AG$7,AO$7,$F44:$AG44)</f>
        <v>0</v>
      </c>
    </row>
    <row r="45" customFormat="false" ht="15" hidden="false" customHeight="false" outlineLevel="0" collapsed="false">
      <c r="A45" s="101" t="s">
        <v>1767</v>
      </c>
      <c r="B45" s="18" t="s">
        <v>781</v>
      </c>
      <c r="C45" s="18" t="s">
        <v>389</v>
      </c>
      <c r="D45" s="18"/>
      <c r="F45" s="131" t="n">
        <f aca="false">IF(F$5=$N$14,E40*$K$14/1000*$O$14,0)</f>
        <v>0</v>
      </c>
      <c r="G45" s="131" t="n">
        <f aca="false">IF(G$5=$N$14,F40*$K$14/1000*$O$14,0)</f>
        <v>0</v>
      </c>
      <c r="H45" s="131" t="n">
        <f aca="false">IF(H$5=$N$14,G40*$K$14/1000*$O$14,0)</f>
        <v>0</v>
      </c>
      <c r="I45" s="131" t="n">
        <f aca="false">IF(I$5=$N$14,H40*$K$14/1000*$O$14,0)</f>
        <v>0</v>
      </c>
      <c r="J45" s="131" t="n">
        <f aca="false">IF(J$5=$N$14,I40*$K$14/1000*$O$14,0)</f>
        <v>0</v>
      </c>
      <c r="K45" s="131" t="n">
        <f aca="false">IF(K$5=$N$14,J40*$K$14/1000*$O$14,0)</f>
        <v>0</v>
      </c>
      <c r="L45" s="131" t="n">
        <f aca="false">IF(L$5=$N$14,K40*$K$14/1000*$O$14,0)</f>
        <v>0</v>
      </c>
      <c r="M45" s="131" t="n">
        <f aca="false">IF(M$5=$N$14,L40*$K$14/1000*$O$14,0)</f>
        <v>0</v>
      </c>
      <c r="N45" s="131" t="n">
        <f aca="false">IF(N$5=$N$14,M40*$K$14/1000*$O$14,0)</f>
        <v>0</v>
      </c>
      <c r="O45" s="131" t="n">
        <f aca="false">IF(O$5=$N$14,N40*$K$14/1000*$O$14,0)</f>
        <v>0</v>
      </c>
      <c r="P45" s="37" t="n">
        <f aca="false">IF(P$5=$N$14,O40*$K$14/1000*$O$14,0)</f>
        <v>0</v>
      </c>
      <c r="Q45" s="37" t="n">
        <f aca="false">IF(Q$5=$N$14,P40*$K$14/1000*$O$14,0)</f>
        <v>0</v>
      </c>
      <c r="R45" s="37" t="n">
        <f aca="false">IF(R$5=$N$14,Q40*$K$14/1000*$O$14,0)</f>
        <v>0</v>
      </c>
      <c r="S45" s="37" t="n">
        <f aca="false">IF(S$5=$N$14,R40*$K$14/1000*$O$14,0)</f>
        <v>0</v>
      </c>
      <c r="T45" s="37" t="n">
        <f aca="false">IF(T$5=$N$14,S40*$K$14/1000*$O$14,0)</f>
        <v>0</v>
      </c>
      <c r="U45" s="37" t="n">
        <f aca="false">IF(U$5=$N$14,T40*$K$14/1000*$O$14,0)</f>
        <v>0</v>
      </c>
      <c r="V45" s="37" t="n">
        <f aca="false">IF(V$5=$N$14,U40*$K$14/1000*$O$14,0)</f>
        <v>0</v>
      </c>
      <c r="W45" s="37" t="n">
        <f aca="false">IF(W$5=$N$14,V40*$K$14/1000*$O$14,0)</f>
        <v>0</v>
      </c>
      <c r="X45" s="37" t="n">
        <f aca="false">IF(X$5=$N$14,W40*$K$14/1000*$O$14,0)</f>
        <v>0</v>
      </c>
      <c r="Y45" s="37" t="n">
        <f aca="false">IF(Y$5=$N$14,X40*$K$14/1000*$O$14,0)</f>
        <v>0</v>
      </c>
      <c r="Z45" s="37" t="n">
        <f aca="false">IF(Z$5=$N$14,Y40*$K$14/1000*$O$14,0)</f>
        <v>0</v>
      </c>
      <c r="AA45" s="37" t="n">
        <f aca="false">IF(AA$5=$N$14,Z40*$K$14/1000*$O$14,0)</f>
        <v>0</v>
      </c>
      <c r="AB45" s="37" t="n">
        <f aca="false">IF(AB$5=$N$14,AA40*$K$14/1000*$O$14,0)</f>
        <v>0</v>
      </c>
      <c r="AC45" s="37" t="n">
        <f aca="false">IF(AC$5=$N$14,AB40*$K$14/1000*$O$14,0)</f>
        <v>0</v>
      </c>
      <c r="AD45" s="37" t="n">
        <f aca="false">IF(AD$5=$N$14,AC40*$K$14/1000*$O$14,0)</f>
        <v>0</v>
      </c>
      <c r="AE45" s="37" t="n">
        <f aca="false">IF(AE$5=$N$14,AD40*$K$14/1000*$O$14,0)</f>
        <v>0</v>
      </c>
      <c r="AF45" s="37" t="n">
        <f aca="false">IF(AF$5=$N$14,AE40*$K$14/1000*$O$14,0)</f>
        <v>11.396385</v>
      </c>
      <c r="AG45" s="37" t="n">
        <f aca="false">IF(AG$5=$N$14,AF40*$K$14/1000*$O$14,0)</f>
        <v>0</v>
      </c>
      <c r="AI45" s="37" t="n">
        <f aca="false">SUMIF($F$7:$AG$7,AI$7,$F45:$AG45)</f>
        <v>0</v>
      </c>
      <c r="AJ45" s="37" t="n">
        <f aca="false">SUMIF($F$7:$AG$7,AJ$7,$F45:$AG45)</f>
        <v>0</v>
      </c>
      <c r="AK45" s="37" t="n">
        <f aca="false">SUMIF($F$7:$AG$7,AK$7,$F45:$AG45)</f>
        <v>0</v>
      </c>
      <c r="AL45" s="37" t="n">
        <f aca="false">SUMIF($F$7:$AG$7,AL$7,$F45:$AG45)</f>
        <v>0</v>
      </c>
      <c r="AM45" s="37" t="n">
        <f aca="false">SUMIF($F$7:$AG$7,AM$7,$F45:$AG45)</f>
        <v>0</v>
      </c>
      <c r="AN45" s="37" t="n">
        <f aca="false">SUMIF($F$7:$AG$7,AN$7,$F45:$AG45)</f>
        <v>0</v>
      </c>
      <c r="AO45" s="37" t="n">
        <f aca="false">SUMIF($F$7:$AG$7,AO$7,$F45:$AG45)</f>
        <v>11.396385</v>
      </c>
    </row>
    <row r="46" customFormat="false" ht="15" hidden="false" customHeight="false" outlineLevel="0" collapsed="false">
      <c r="A46" s="101" t="s">
        <v>1768</v>
      </c>
      <c r="B46" s="18" t="s">
        <v>781</v>
      </c>
      <c r="C46" s="18" t="s">
        <v>336</v>
      </c>
      <c r="D46" s="18"/>
      <c r="F46" s="131" t="n">
        <f aca="false">IF(DilMethod=3,MAX(0,F40*$K$14/1000*DilPx-F43)/DilPx,F40*$K$14/1000*$P$14)</f>
        <v>0</v>
      </c>
      <c r="G46" s="131" t="n">
        <f aca="false">IF(DilMethod=3,MAX(0,G40*$K$14/1000*DilPx-G43)/DilPx,G40*$K$14/1000*$P$14)</f>
        <v>0</v>
      </c>
      <c r="H46" s="131" t="n">
        <f aca="false">IF(DilMethod=3,MAX(0,H40*$K$14/1000*DilPx-H43)/DilPx,H40*$K$14/1000*$P$14)</f>
        <v>0</v>
      </c>
      <c r="I46" s="131" t="n">
        <f aca="false">IF(DilMethod=3,MAX(0,I40*$K$14/1000*DilPx-I43)/DilPx,I40*$K$14/1000*$P$14)</f>
        <v>0</v>
      </c>
      <c r="J46" s="131" t="n">
        <f aca="false">IF(DilMethod=3,MAX(0,J40*$K$14/1000*DilPx-J43)/DilPx,J40*$K$14/1000*$P$14)</f>
        <v>0</v>
      </c>
      <c r="K46" s="131" t="n">
        <f aca="false">IF(DilMethod=3,MAX(0,K40*$K$14/1000*DilPx-K43)/DilPx,K40*$K$14/1000*$P$14)</f>
        <v>0</v>
      </c>
      <c r="L46" s="131" t="n">
        <f aca="false">IF(DilMethod=3,MAX(0,L40*$K$14/1000*DilPx-L43)/DilPx,L40*$K$14/1000*$P$14)</f>
        <v>0</v>
      </c>
      <c r="M46" s="131" t="n">
        <f aca="false">IF(DilMethod=3,MAX(0,M40*$K$14/1000*DilPx-M43)/DilPx,M40*$K$14/1000*$P$14)</f>
        <v>0</v>
      </c>
      <c r="N46" s="131" t="n">
        <f aca="false">IF(DilMethod=3,MAX(0,N40*$K$14/1000*DilPx-N43)/DilPx,N40*$K$14/1000*$P$14)</f>
        <v>0</v>
      </c>
      <c r="O46" s="131" t="n">
        <f aca="false">IF(DilMethod=3,MAX(0,O40*$K$14/1000*DilPx-O43)/DilPx,O40*$K$14/1000*$P$14)</f>
        <v>0</v>
      </c>
      <c r="P46" s="37" t="n">
        <f aca="false">IF(DilMethod=3,MAX(0,P40*$K$14/1000*DilPx-P43)/DilPx,P40*$K$14/1000*$P$14)</f>
        <v>0</v>
      </c>
      <c r="Q46" s="37" t="n">
        <f aca="false">IF(DilMethod=3,MAX(0,Q40*$K$14/1000*DilPx-Q43)/DilPx,Q40*$K$14/1000*$P$14)</f>
        <v>0</v>
      </c>
      <c r="R46" s="37" t="n">
        <f aca="false">IF(DilMethod=3,MAX(0,R40*$K$14/1000*DilPx-R43)/DilPx,R40*$K$14/1000*$P$14)</f>
        <v>0</v>
      </c>
      <c r="S46" s="37" t="n">
        <f aca="false">IF(DilMethod=3,MAX(0,S40*$K$14/1000*DilPx-S43)/DilPx,S40*$K$14/1000*$P$14)</f>
        <v>0</v>
      </c>
      <c r="T46" s="37" t="n">
        <f aca="false">IF(DilMethod=3,MAX(0,T40*$K$14/1000*DilPx-T43)/DilPx,T40*$K$14/1000*$P$14)</f>
        <v>0</v>
      </c>
      <c r="U46" s="37" t="n">
        <f aca="false">IF(DilMethod=3,MAX(0,U40*$K$14/1000*DilPx-U43)/DilPx,U40*$K$14/1000*$P$14)</f>
        <v>0</v>
      </c>
      <c r="V46" s="37" t="n">
        <f aca="false">IF(DilMethod=3,MAX(0,V40*$K$14/1000*DilPx-V43)/DilPx,V40*$K$14/1000*$P$14)</f>
        <v>0</v>
      </c>
      <c r="W46" s="37" t="n">
        <f aca="false">IF(DilMethod=3,MAX(0,W40*$K$14/1000*DilPx-W43)/DilPx,W40*$K$14/1000*$P$14)</f>
        <v>0</v>
      </c>
      <c r="X46" s="37" t="n">
        <f aca="false">IF(DilMethod=3,MAX(0,X40*$K$14/1000*DilPx-X43)/DilPx,X40*$K$14/1000*$P$14)</f>
        <v>0</v>
      </c>
      <c r="Y46" s="37" t="n">
        <f aca="false">IF(DilMethod=3,MAX(0,Y40*$K$14/1000*DilPx-Y43)/DilPx,Y40*$K$14/1000*$P$14)</f>
        <v>0</v>
      </c>
      <c r="Z46" s="37" t="n">
        <f aca="false">IF(DilMethod=3,MAX(0,Z40*$K$14/1000*DilPx-Z43)/DilPx,Z40*$K$14/1000*$P$14)</f>
        <v>0</v>
      </c>
      <c r="AA46" s="37" t="n">
        <f aca="false">IF(DilMethod=3,MAX(0,AA40*$K$14/1000*DilPx-AA43)/DilPx,AA40*$K$14/1000*$P$14)</f>
        <v>0</v>
      </c>
      <c r="AB46" s="37" t="n">
        <f aca="false">IF(DilMethod=3,MAX(0,AB40*$K$14/1000*DilPx-AB43)/DilPx,AB40*$K$14/1000*$P$14)</f>
        <v>0</v>
      </c>
      <c r="AC46" s="37" t="n">
        <f aca="false">IF(DilMethod=3,MAX(0,AC40*$K$14/1000*DilPx-AC43)/DilPx,AC40*$K$14/1000*$P$14)</f>
        <v>0</v>
      </c>
      <c r="AD46" s="37" t="n">
        <f aca="false">IF(DilMethod=3,MAX(0,AD40*$K$14/1000*DilPx-AD43)/DilPx,AD40*$K$14/1000*$P$14)</f>
        <v>0</v>
      </c>
      <c r="AE46" s="37" t="n">
        <f aca="false">IF(DilMethod=3,MAX(0,AE40*$K$14/1000*DilPx-AE43)/DilPx,AE40*$K$14/1000*$P$14)</f>
        <v>0</v>
      </c>
      <c r="AF46" s="37" t="n">
        <f aca="false">IF(DilMethod=3,MAX(0,AF40*$K$14/1000*DilPx-AF43)/DilPx,AF40*$K$14/1000*$P$14)</f>
        <v>0</v>
      </c>
      <c r="AG46" s="37" t="n">
        <f aca="false">IF(DilMethod=3,MAX(0,AG40*$K$14/1000*DilPx-AG43)/DilPx,AG40*$K$14/1000*$P$14)</f>
        <v>0</v>
      </c>
      <c r="AI46" s="37" t="n">
        <f aca="false">INDEX($F46:$AG46,1,MATCH(AI$7,$F$7:$AG$7,1))</f>
        <v>0</v>
      </c>
      <c r="AJ46" s="37" t="n">
        <f aca="false">INDEX($F46:$AG46,1,MATCH(AJ$7,$F$7:$AG$7,1))</f>
        <v>0</v>
      </c>
      <c r="AK46" s="37" t="n">
        <f aca="false">INDEX($F46:$AG46,1,MATCH(AK$7,$F$7:$AG$7,1))</f>
        <v>0</v>
      </c>
      <c r="AL46" s="37" t="n">
        <f aca="false">INDEX($F46:$AG46,1,MATCH(AL$7,$F$7:$AG$7,1))</f>
        <v>0</v>
      </c>
      <c r="AM46" s="37" t="n">
        <f aca="false">INDEX($F46:$AG46,1,MATCH(AM$7,$F$7:$AG$7,1))</f>
        <v>0</v>
      </c>
      <c r="AN46" s="37" t="n">
        <f aca="false">INDEX($F46:$AG46,1,MATCH(AN$7,$F$7:$AG$7,1))</f>
        <v>0</v>
      </c>
      <c r="AO46" s="37" t="n">
        <f aca="false">INDEX($F46:$AG46,1,MATCH(AO$7,$F$7:$AG$7,1))</f>
        <v>0</v>
      </c>
    </row>
    <row r="47" customFormat="false" ht="15" hidden="false" customHeight="false" outlineLevel="0" collapsed="false">
      <c r="A47" s="101" t="s">
        <v>1769</v>
      </c>
      <c r="B47" s="18" t="s">
        <v>400</v>
      </c>
      <c r="C47" s="18" t="s">
        <v>336</v>
      </c>
      <c r="D47" s="18"/>
      <c r="F47" s="119" t="n">
        <f aca="false">F43*IF(DilMethod=3,1,1-$P$14)</f>
        <v>0</v>
      </c>
      <c r="G47" s="119" t="n">
        <f aca="false">G43*IF(DilMethod=3,1,1-$P$14)</f>
        <v>0</v>
      </c>
      <c r="H47" s="119" t="n">
        <f aca="false">H43*IF(DilMethod=3,1,1-$P$14)</f>
        <v>0</v>
      </c>
      <c r="I47" s="119" t="n">
        <f aca="false">I43*IF(DilMethod=3,1,1-$P$14)</f>
        <v>0</v>
      </c>
      <c r="J47" s="119" t="n">
        <f aca="false">J43*IF(DilMethod=3,1,1-$P$14)</f>
        <v>0</v>
      </c>
      <c r="K47" s="119" t="n">
        <f aca="false">K43*IF(DilMethod=3,1,1-$P$14)</f>
        <v>0</v>
      </c>
      <c r="L47" s="119" t="n">
        <f aca="false">L43*IF(DilMethod=3,1,1-$P$14)</f>
        <v>1583.1984186747</v>
      </c>
      <c r="M47" s="119" t="n">
        <f aca="false">M43*IF(DilMethod=3,1,1-$P$14)</f>
        <v>1595.14871987952</v>
      </c>
      <c r="N47" s="119" t="n">
        <f aca="false">N43*IF(DilMethod=3,1,1-$P$14)</f>
        <v>1606.83923192771</v>
      </c>
      <c r="O47" s="119" t="n">
        <f aca="false">O43*IF(DilMethod=3,1,1-$P$14)</f>
        <v>1618.65963855422</v>
      </c>
      <c r="P47" s="120" t="n">
        <f aca="false">P43*IF(DilMethod=3,1,1-$P$14)</f>
        <v>1630.60993975904</v>
      </c>
      <c r="Q47" s="120" t="n">
        <f aca="false">Q43*IF(DilMethod=3,1,1-$P$14)</f>
        <v>1642.56024096386</v>
      </c>
      <c r="R47" s="120" t="n">
        <f aca="false">R43*IF(DilMethod=3,1,1-$P$14)</f>
        <v>1654.25075301205</v>
      </c>
      <c r="S47" s="120" t="n">
        <f aca="false">S43*IF(DilMethod=3,1,1-$P$14)</f>
        <v>1666.07115963855</v>
      </c>
      <c r="T47" s="120" t="n">
        <f aca="false">T43*IF(DilMethod=3,1,1-$P$14)</f>
        <v>1678.02146084337</v>
      </c>
      <c r="U47" s="120" t="n">
        <f aca="false">U43*IF(DilMethod=3,1,1-$P$14)</f>
        <v>1689.97176204819</v>
      </c>
      <c r="V47" s="120" t="n">
        <f aca="false">V43*IF(DilMethod=3,1,1-$P$14)</f>
        <v>1701.7921686747</v>
      </c>
      <c r="W47" s="120" t="n">
        <f aca="false">W43*IF(DilMethod=3,1,1-$P$14)</f>
        <v>1713.6125753012</v>
      </c>
      <c r="X47" s="120" t="n">
        <f aca="false">X43*IF(DilMethod=3,1,1-$P$14)</f>
        <v>1725.56287650602</v>
      </c>
      <c r="Y47" s="120" t="n">
        <f aca="false">Y43*IF(DilMethod=3,1,1-$P$14)</f>
        <v>1737.51317771084</v>
      </c>
      <c r="Z47" s="120" t="n">
        <f aca="false">Z43*IF(DilMethod=3,1,1-$P$14)</f>
        <v>1749.20368975904</v>
      </c>
      <c r="AA47" s="120" t="n">
        <f aca="false">AA43*IF(DilMethod=3,1,1-$P$14)</f>
        <v>1761.02409638554</v>
      </c>
      <c r="AB47" s="120" t="n">
        <f aca="false">AB43*IF(DilMethod=3,1,1-$P$14)</f>
        <v>1772.97439759036</v>
      </c>
      <c r="AC47" s="120" t="n">
        <f aca="false">AC43*IF(DilMethod=3,1,1-$P$14)</f>
        <v>1784.92469879518</v>
      </c>
      <c r="AD47" s="120" t="n">
        <f aca="false">AD43*IF(DilMethod=3,1,1-$P$14)</f>
        <v>1796.61521084337</v>
      </c>
      <c r="AE47" s="120" t="n">
        <f aca="false">AE43*IF(DilMethod=3,1,1-$P$14)</f>
        <v>1808.43561746988</v>
      </c>
      <c r="AF47" s="120" t="n">
        <f aca="false">AF43*IF(DilMethod=3,1,1-$P$14)</f>
        <v>0</v>
      </c>
      <c r="AG47" s="120" t="n">
        <f aca="false">AG43*IF(DilMethod=3,1,1-$P$14)</f>
        <v>0</v>
      </c>
      <c r="AI47" s="120" t="n">
        <f aca="false">INDEX($F47:$AG47,1,MATCH(AI$7,$F$7:$AG$7,1))</f>
        <v>0</v>
      </c>
      <c r="AJ47" s="120" t="n">
        <f aca="false">INDEX($F47:$AG47,1,MATCH(AJ$7,$F$7:$AG$7,1))</f>
        <v>1595.14871987952</v>
      </c>
      <c r="AK47" s="120" t="n">
        <f aca="false">INDEX($F47:$AG47,1,MATCH(AK$7,$F$7:$AG$7,1))</f>
        <v>1642.56024096386</v>
      </c>
      <c r="AL47" s="120" t="n">
        <f aca="false">INDEX($F47:$AG47,1,MATCH(AL$7,$F$7:$AG$7,1))</f>
        <v>1689.97176204819</v>
      </c>
      <c r="AM47" s="120" t="n">
        <f aca="false">INDEX($F47:$AG47,1,MATCH(AM$7,$F$7:$AG$7,1))</f>
        <v>1737.51317771084</v>
      </c>
      <c r="AN47" s="120" t="n">
        <f aca="false">INDEX($F47:$AG47,1,MATCH(AN$7,$F$7:$AG$7,1))</f>
        <v>1784.92469879518</v>
      </c>
      <c r="AO47" s="120" t="n">
        <f aca="false">INDEX($F47:$AG47,1,MATCH(AO$7,$F$7:$AG$7,1))</f>
        <v>0</v>
      </c>
    </row>
    <row r="48" customFormat="false" ht="15" hidden="false" customHeight="false" outlineLevel="0" collapsed="false">
      <c r="A48" s="101" t="s">
        <v>1770</v>
      </c>
      <c r="B48" s="18" t="s">
        <v>400</v>
      </c>
      <c r="C48" s="18" t="s">
        <v>389</v>
      </c>
      <c r="D48" s="18"/>
      <c r="F48" s="119" t="n">
        <f aca="false">IF(AND(F$5&gt;=$M$15,F$5&lt;$N$15),$E$15-$F$15-IF(F$5&gt;=$H$15,$G$15,0),0)*($H$15&lt;&gt;0)+IF(AND(F$5&gt;=$M$15,F$5&lt;$N$15),$E$15-$F$15,0)*($H$15=0)</f>
        <v>0</v>
      </c>
      <c r="G48" s="119" t="n">
        <f aca="false">IF(AND(G$5&gt;=$M$15,G$5&lt;$N$15),$E$15-$F$15-IF(G$5&gt;=$H$15,$G$15,0),0)*($H$15&lt;&gt;0)+IF(AND(G$5&gt;=$M$15,G$5&lt;$N$15),$E$15-$F$15,0)*($H$15=0)</f>
        <v>0</v>
      </c>
      <c r="H48" s="119" t="n">
        <f aca="false">IF(AND(H$5&gt;=$M$15,H$5&lt;$N$15),$E$15-$F$15-IF(H$5&gt;=$H$15,$G$15,0),0)*($H$15&lt;&gt;0)+IF(AND(H$5&gt;=$M$15,H$5&lt;$N$15),$E$15-$F$15,0)*($H$15=0)</f>
        <v>0</v>
      </c>
      <c r="I48" s="119" t="n">
        <f aca="false">IF(AND(I$5&gt;=$M$15,I$5&lt;$N$15),$E$15-$F$15-IF(I$5&gt;=$H$15,$G$15,0),0)*($H$15&lt;&gt;0)+IF(AND(I$5&gt;=$M$15,I$5&lt;$N$15),$E$15-$F$15,0)*($H$15=0)</f>
        <v>0</v>
      </c>
      <c r="J48" s="119" t="n">
        <f aca="false">IF(AND(J$5&gt;=$M$15,J$5&lt;$N$15),$E$15-$F$15-IF(J$5&gt;=$H$15,$G$15,0),0)*($H$15&lt;&gt;0)+IF(AND(J$5&gt;=$M$15,J$5&lt;$N$15),$E$15-$F$15,0)*($H$15=0)</f>
        <v>0</v>
      </c>
      <c r="K48" s="119" t="n">
        <f aca="false">IF(AND(K$5&gt;=$M$15,K$5&lt;$N$15),$E$15-$F$15-IF(K$5&gt;=$H$15,$G$15,0),0)*($H$15&lt;&gt;0)+IF(AND(K$5&gt;=$M$15,K$5&lt;$N$15),$E$15-$F$15,0)*($H$15=0)</f>
        <v>0</v>
      </c>
      <c r="L48" s="119" t="n">
        <f aca="false">IF(AND(L$5&gt;=$M$15,L$5&lt;$N$15),$E$15-$F$15-IF(L$5&gt;=$H$15,$G$15,0),0)*($H$15&lt;&gt;0)+IF(AND(L$5&gt;=$M$15,L$5&lt;$N$15),$E$15-$F$15,0)*($H$15=0)</f>
        <v>1581.25</v>
      </c>
      <c r="M48" s="119" t="n">
        <f aca="false">IF(AND(M$5&gt;=$M$15,M$5&lt;$N$15),$E$15-$F$15-IF(M$5&gt;=$H$15,$G$15,0),0)*($H$15&lt;&gt;0)+IF(AND(M$5&gt;=$M$15,M$5&lt;$N$15),$E$15-$F$15,0)*($H$15=0)</f>
        <v>1581.25</v>
      </c>
      <c r="N48" s="119" t="n">
        <f aca="false">IF(AND(N$5&gt;=$M$15,N$5&lt;$N$15),$E$15-$F$15-IF(N$5&gt;=$H$15,$G$15,0),0)*($H$15&lt;&gt;0)+IF(AND(N$5&gt;=$M$15,N$5&lt;$N$15),$E$15-$F$15,0)*($H$15=0)</f>
        <v>1581.25</v>
      </c>
      <c r="O48" s="119" t="n">
        <f aca="false">IF(AND(O$5&gt;=$M$15,O$5&lt;$N$15),$E$15-$F$15-IF(O$5&gt;=$H$15,$G$15,0),0)*($H$15&lt;&gt;0)+IF(AND(O$5&gt;=$M$15,O$5&lt;$N$15),$E$15-$F$15,0)*($H$15=0)</f>
        <v>1581.25</v>
      </c>
      <c r="P48" s="120" t="n">
        <f aca="false">IF(AND(P$5&gt;=$M$15,P$5&lt;$N$15),$E$15-$F$15-IF(P$5&gt;=$H$15,$G$15,0),0)*($H$15&lt;&gt;0)+IF(AND(P$5&gt;=$M$15,P$5&lt;$N$15),$E$15-$F$15,0)*($H$15=0)</f>
        <v>1581.25</v>
      </c>
      <c r="Q48" s="120" t="n">
        <f aca="false">IF(AND(Q$5&gt;=$M$15,Q$5&lt;$N$15),$E$15-$F$15-IF(Q$5&gt;=$H$15,$G$15,0),0)*($H$15&lt;&gt;0)+IF(AND(Q$5&gt;=$M$15,Q$5&lt;$N$15),$E$15-$F$15,0)*($H$15=0)</f>
        <v>1581.25</v>
      </c>
      <c r="R48" s="120" t="n">
        <f aca="false">IF(AND(R$5&gt;=$M$15,R$5&lt;$N$15),$E$15-$F$15-IF(R$5&gt;=$H$15,$G$15,0),0)*($H$15&lt;&gt;0)+IF(AND(R$5&gt;=$M$15,R$5&lt;$N$15),$E$15-$F$15,0)*($H$15=0)</f>
        <v>1581.25</v>
      </c>
      <c r="S48" s="120" t="n">
        <f aca="false">IF(AND(S$5&gt;=$M$15,S$5&lt;$N$15),$E$15-$F$15-IF(S$5&gt;=$H$15,$G$15,0),0)*($H$15&lt;&gt;0)+IF(AND(S$5&gt;=$M$15,S$5&lt;$N$15),$E$15-$F$15,0)*($H$15=0)</f>
        <v>1581.25</v>
      </c>
      <c r="T48" s="120" t="n">
        <f aca="false">IF(AND(T$5&gt;=$M$15,T$5&lt;$N$15),$E$15-$F$15-IF(T$5&gt;=$H$15,$G$15,0),0)*($H$15&lt;&gt;0)+IF(AND(T$5&gt;=$M$15,T$5&lt;$N$15),$E$15-$F$15,0)*($H$15=0)</f>
        <v>1581.25</v>
      </c>
      <c r="U48" s="120" t="n">
        <f aca="false">IF(AND(U$5&gt;=$M$15,U$5&lt;$N$15),$E$15-$F$15-IF(U$5&gt;=$H$15,$G$15,0),0)*($H$15&lt;&gt;0)+IF(AND(U$5&gt;=$M$15,U$5&lt;$N$15),$E$15-$F$15,0)*($H$15=0)</f>
        <v>1581.25</v>
      </c>
      <c r="V48" s="120" t="n">
        <f aca="false">IF(AND(V$5&gt;=$M$15,V$5&lt;$N$15),$E$15-$F$15-IF(V$5&gt;=$H$15,$G$15,0),0)*($H$15&lt;&gt;0)+IF(AND(V$5&gt;=$M$15,V$5&lt;$N$15),$E$15-$F$15,0)*($H$15=0)</f>
        <v>1581.25</v>
      </c>
      <c r="W48" s="120" t="n">
        <f aca="false">IF(AND(W$5&gt;=$M$15,W$5&lt;$N$15),$E$15-$F$15-IF(W$5&gt;=$H$15,$G$15,0),0)*($H$15&lt;&gt;0)+IF(AND(W$5&gt;=$M$15,W$5&lt;$N$15),$E$15-$F$15,0)*($H$15=0)</f>
        <v>1581.25</v>
      </c>
      <c r="X48" s="120" t="n">
        <f aca="false">IF(AND(X$5&gt;=$M$15,X$5&lt;$N$15),$E$15-$F$15-IF(X$5&gt;=$H$15,$G$15,0),0)*($H$15&lt;&gt;0)+IF(AND(X$5&gt;=$M$15,X$5&lt;$N$15),$E$15-$F$15,0)*($H$15=0)</f>
        <v>1581.25</v>
      </c>
      <c r="Y48" s="120" t="n">
        <f aca="false">IF(AND(Y$5&gt;=$M$15,Y$5&lt;$N$15),$E$15-$F$15-IF(Y$5&gt;=$H$15,$G$15,0),0)*($H$15&lt;&gt;0)+IF(AND(Y$5&gt;=$M$15,Y$5&lt;$N$15),$E$15-$F$15,0)*($H$15=0)</f>
        <v>1581.25</v>
      </c>
      <c r="Z48" s="120" t="n">
        <f aca="false">IF(AND(Z$5&gt;=$M$15,Z$5&lt;$N$15),$E$15-$F$15-IF(Z$5&gt;=$H$15,$G$15,0),0)*($H$15&lt;&gt;0)+IF(AND(Z$5&gt;=$M$15,Z$5&lt;$N$15),$E$15-$F$15,0)*($H$15=0)</f>
        <v>1581.25</v>
      </c>
      <c r="AA48" s="120" t="n">
        <f aca="false">IF(AND(AA$5&gt;=$M$15,AA$5&lt;$N$15),$E$15-$F$15-IF(AA$5&gt;=$H$15,$G$15,0),0)*($H$15&lt;&gt;0)+IF(AND(AA$5&gt;=$M$15,AA$5&lt;$N$15),$E$15-$F$15,0)*($H$15=0)</f>
        <v>1581.25</v>
      </c>
      <c r="AB48" s="120" t="n">
        <f aca="false">IF(AND(AB$5&gt;=$M$15,AB$5&lt;$N$15),$E$15-$F$15-IF(AB$5&gt;=$H$15,$G$15,0),0)*($H$15&lt;&gt;0)+IF(AND(AB$5&gt;=$M$15,AB$5&lt;$N$15),$E$15-$F$15,0)*($H$15=0)</f>
        <v>1581.25</v>
      </c>
      <c r="AC48" s="120" t="n">
        <f aca="false">IF(AND(AC$5&gt;=$M$15,AC$5&lt;$N$15),$E$15-$F$15-IF(AC$5&gt;=$H$15,$G$15,0),0)*($H$15&lt;&gt;0)+IF(AND(AC$5&gt;=$M$15,AC$5&lt;$N$15),$E$15-$F$15,0)*($H$15=0)</f>
        <v>1581.25</v>
      </c>
      <c r="AD48" s="120" t="n">
        <f aca="false">IF(AND(AD$5&gt;=$M$15,AD$5&lt;$N$15),$E$15-$F$15-IF(AD$5&gt;=$H$15,$G$15,0),0)*($H$15&lt;&gt;0)+IF(AND(AD$5&gt;=$M$15,AD$5&lt;$N$15),$E$15-$F$15,0)*($H$15=0)</f>
        <v>1581.25</v>
      </c>
      <c r="AE48" s="120" t="n">
        <f aca="false">IF(AND(AE$5&gt;=$M$15,AE$5&lt;$N$15),$E$15-$F$15-IF(AE$5&gt;=$H$15,$G$15,0),0)*($H$15&lt;&gt;0)+IF(AND(AE$5&gt;=$M$15,AE$5&lt;$N$15),$E$15-$F$15,0)*($H$15=0)</f>
        <v>1581.25</v>
      </c>
      <c r="AF48" s="120" t="n">
        <f aca="false">IF(AND(AF$5&gt;=$M$15,AF$5&lt;$N$15),$E$15-$F$15-IF(AF$5&gt;=$H$15,$G$15,0),0)*($H$15&lt;&gt;0)+IF(AND(AF$5&gt;=$M$15,AF$5&lt;$N$15),$E$15-$F$15,0)*($H$15=0)</f>
        <v>1581.25</v>
      </c>
      <c r="AG48" s="120" t="n">
        <f aca="false">IF(AND(AG$5&gt;=$M$15,AG$5&lt;$N$15),$E$15-$F$15-IF(AG$5&gt;=$H$15,$G$15,0),0)*($H$15&lt;&gt;0)+IF(AND(AG$5&gt;=$M$15,AG$5&lt;$N$15),$E$15-$F$15,0)*($H$15=0)</f>
        <v>1581.25</v>
      </c>
      <c r="AI48" s="120" t="n">
        <f aca="false">INDEX($F48:$AG48,1,MATCH(AI$7,$F$7:$AG$7,1))</f>
        <v>0</v>
      </c>
      <c r="AJ48" s="120" t="n">
        <f aca="false">INDEX($F48:$AG48,1,MATCH(AJ$7,$F$7:$AG$7,1))</f>
        <v>1581.25</v>
      </c>
      <c r="AK48" s="120" t="n">
        <f aca="false">INDEX($F48:$AG48,1,MATCH(AK$7,$F$7:$AG$7,1))</f>
        <v>1581.25</v>
      </c>
      <c r="AL48" s="120" t="n">
        <f aca="false">INDEX($F48:$AG48,1,MATCH(AL$7,$F$7:$AG$7,1))</f>
        <v>1581.25</v>
      </c>
      <c r="AM48" s="120" t="n">
        <f aca="false">INDEX($F48:$AG48,1,MATCH(AM$7,$F$7:$AG$7,1))</f>
        <v>1581.25</v>
      </c>
      <c r="AN48" s="120" t="n">
        <f aca="false">INDEX($F48:$AG48,1,MATCH(AN$7,$F$7:$AG$7,1))</f>
        <v>1581.25</v>
      </c>
      <c r="AO48" s="120" t="n">
        <f aca="false">INDEX($F48:$AG48,1,MATCH(AO$7,$F$7:$AG$7,1))</f>
        <v>1581.25</v>
      </c>
    </row>
    <row r="49" customFormat="false" ht="15" hidden="false" customHeight="false" outlineLevel="0" collapsed="false">
      <c r="A49" s="101" t="s">
        <v>1771</v>
      </c>
      <c r="B49" s="18" t="s">
        <v>400</v>
      </c>
      <c r="C49" s="18" t="s">
        <v>389</v>
      </c>
      <c r="D49" s="18"/>
      <c r="F49" s="119" t="n">
        <f aca="false">F48*$C$15/4</f>
        <v>0</v>
      </c>
      <c r="G49" s="119" t="n">
        <f aca="false">G48*$C$15/4</f>
        <v>0</v>
      </c>
      <c r="H49" s="119" t="n">
        <f aca="false">H48*$C$15/4</f>
        <v>0</v>
      </c>
      <c r="I49" s="119" t="n">
        <f aca="false">I48*$C$15/4</f>
        <v>0</v>
      </c>
      <c r="J49" s="119" t="n">
        <f aca="false">J48*$C$15/4</f>
        <v>0</v>
      </c>
      <c r="K49" s="119" t="n">
        <f aca="false">K48*$C$15/4</f>
        <v>0</v>
      </c>
      <c r="L49" s="119" t="n">
        <f aca="false">L48*$C$15/4</f>
        <v>10.87109375</v>
      </c>
      <c r="M49" s="119" t="n">
        <f aca="false">M48*$C$15/4</f>
        <v>10.87109375</v>
      </c>
      <c r="N49" s="119" t="n">
        <f aca="false">N48*$C$15/4</f>
        <v>10.87109375</v>
      </c>
      <c r="O49" s="119" t="n">
        <f aca="false">O48*$C$15/4</f>
        <v>10.87109375</v>
      </c>
      <c r="P49" s="120" t="n">
        <f aca="false">P48*$C$15/4</f>
        <v>10.87109375</v>
      </c>
      <c r="Q49" s="120" t="n">
        <f aca="false">Q48*$C$15/4</f>
        <v>10.87109375</v>
      </c>
      <c r="R49" s="120" t="n">
        <f aca="false">R48*$C$15/4</f>
        <v>10.87109375</v>
      </c>
      <c r="S49" s="120" t="n">
        <f aca="false">S48*$C$15/4</f>
        <v>10.87109375</v>
      </c>
      <c r="T49" s="120" t="n">
        <f aca="false">T48*$C$15/4</f>
        <v>10.87109375</v>
      </c>
      <c r="U49" s="120" t="n">
        <f aca="false">U48*$C$15/4</f>
        <v>10.87109375</v>
      </c>
      <c r="V49" s="120" t="n">
        <f aca="false">V48*$C$15/4</f>
        <v>10.87109375</v>
      </c>
      <c r="W49" s="120" t="n">
        <f aca="false">W48*$C$15/4</f>
        <v>10.87109375</v>
      </c>
      <c r="X49" s="120" t="n">
        <f aca="false">X48*$C$15/4</f>
        <v>10.87109375</v>
      </c>
      <c r="Y49" s="120" t="n">
        <f aca="false">Y48*$C$15/4</f>
        <v>10.87109375</v>
      </c>
      <c r="Z49" s="120" t="n">
        <f aca="false">Z48*$C$15/4</f>
        <v>10.87109375</v>
      </c>
      <c r="AA49" s="120" t="n">
        <f aca="false">AA48*$C$15/4</f>
        <v>10.87109375</v>
      </c>
      <c r="AB49" s="120" t="n">
        <f aca="false">AB48*$C$15/4</f>
        <v>10.87109375</v>
      </c>
      <c r="AC49" s="120" t="n">
        <f aca="false">AC48*$C$15/4</f>
        <v>10.87109375</v>
      </c>
      <c r="AD49" s="120" t="n">
        <f aca="false">AD48*$C$15/4</f>
        <v>10.87109375</v>
      </c>
      <c r="AE49" s="120" t="n">
        <f aca="false">AE48*$C$15/4</f>
        <v>10.87109375</v>
      </c>
      <c r="AF49" s="120" t="n">
        <f aca="false">AF48*$C$15/4</f>
        <v>10.87109375</v>
      </c>
      <c r="AG49" s="120" t="n">
        <f aca="false">AG48*$C$15/4</f>
        <v>10.87109375</v>
      </c>
      <c r="AI49" s="120" t="n">
        <f aca="false">SUMIF($F$7:$AG$7,AI$7,$F49:$AG49)</f>
        <v>0</v>
      </c>
      <c r="AJ49" s="120" t="n">
        <f aca="false">SUMIF($F$7:$AG$7,AJ$7,$F49:$AG49)</f>
        <v>21.7421875</v>
      </c>
      <c r="AK49" s="120" t="n">
        <f aca="false">SUMIF($F$7:$AG$7,AK$7,$F49:$AG49)</f>
        <v>43.484375</v>
      </c>
      <c r="AL49" s="120" t="n">
        <f aca="false">SUMIF($F$7:$AG$7,AL$7,$F49:$AG49)</f>
        <v>43.484375</v>
      </c>
      <c r="AM49" s="120" t="n">
        <f aca="false">SUMIF($F$7:$AG$7,AM$7,$F49:$AG49)</f>
        <v>43.484375</v>
      </c>
      <c r="AN49" s="120" t="n">
        <f aca="false">SUMIF($F$7:$AG$7,AN$7,$F49:$AG49)</f>
        <v>43.484375</v>
      </c>
      <c r="AO49" s="120" t="n">
        <f aca="false">SUMIF($F$7:$AG$7,AO$7,$F49:$AG49)</f>
        <v>43.484375</v>
      </c>
    </row>
    <row r="50" customFormat="false" ht="15" hidden="false" customHeight="false" outlineLevel="0" collapsed="false">
      <c r="A50" s="101" t="s">
        <v>1772</v>
      </c>
      <c r="B50" s="18" t="s">
        <v>400</v>
      </c>
      <c r="C50" s="18" t="s">
        <v>389</v>
      </c>
      <c r="D50" s="18"/>
      <c r="F50" s="119" t="n">
        <f aca="false">F48*($J$15-1)/(($D$15-$B$15)/91.3125)</f>
        <v>0</v>
      </c>
      <c r="G50" s="119" t="n">
        <f aca="false">G48*($J$15-1)/(($D$15-$B$15)/91.3125)</f>
        <v>0</v>
      </c>
      <c r="H50" s="119" t="n">
        <f aca="false">H48*($J$15-1)/(($D$15-$B$15)/91.3125)</f>
        <v>0</v>
      </c>
      <c r="I50" s="119" t="n">
        <f aca="false">I48*($J$15-1)/(($D$15-$B$15)/91.3125)</f>
        <v>0</v>
      </c>
      <c r="J50" s="119" t="n">
        <f aca="false">J48*($J$15-1)/(($D$15-$B$15)/91.3125)</f>
        <v>0</v>
      </c>
      <c r="K50" s="119" t="n">
        <f aca="false">K48*($J$15-1)/(($D$15-$B$15)/91.3125)</f>
        <v>0</v>
      </c>
      <c r="L50" s="119" t="n">
        <f aca="false">L48*($J$15-1)/(($D$15-$B$15)/91.3125)</f>
        <v>8.4701539279429</v>
      </c>
      <c r="M50" s="119" t="n">
        <f aca="false">M48*($J$15-1)/(($D$15-$B$15)/91.3125)</f>
        <v>8.4701539279429</v>
      </c>
      <c r="N50" s="119" t="n">
        <f aca="false">N48*($J$15-1)/(($D$15-$B$15)/91.3125)</f>
        <v>8.4701539279429</v>
      </c>
      <c r="O50" s="119" t="n">
        <f aca="false">O48*($J$15-1)/(($D$15-$B$15)/91.3125)</f>
        <v>8.4701539279429</v>
      </c>
      <c r="P50" s="120" t="n">
        <f aca="false">P48*($J$15-1)/(($D$15-$B$15)/91.3125)</f>
        <v>8.4701539279429</v>
      </c>
      <c r="Q50" s="120" t="n">
        <f aca="false">Q48*($J$15-1)/(($D$15-$B$15)/91.3125)</f>
        <v>8.4701539279429</v>
      </c>
      <c r="R50" s="120" t="n">
        <f aca="false">R48*($J$15-1)/(($D$15-$B$15)/91.3125)</f>
        <v>8.4701539279429</v>
      </c>
      <c r="S50" s="120" t="n">
        <f aca="false">S48*($J$15-1)/(($D$15-$B$15)/91.3125)</f>
        <v>8.4701539279429</v>
      </c>
      <c r="T50" s="120" t="n">
        <f aca="false">T48*($J$15-1)/(($D$15-$B$15)/91.3125)</f>
        <v>8.4701539279429</v>
      </c>
      <c r="U50" s="120" t="n">
        <f aca="false">U48*($J$15-1)/(($D$15-$B$15)/91.3125)</f>
        <v>8.4701539279429</v>
      </c>
      <c r="V50" s="120" t="n">
        <f aca="false">V48*($J$15-1)/(($D$15-$B$15)/91.3125)</f>
        <v>8.4701539279429</v>
      </c>
      <c r="W50" s="120" t="n">
        <f aca="false">W48*($J$15-1)/(($D$15-$B$15)/91.3125)</f>
        <v>8.4701539279429</v>
      </c>
      <c r="X50" s="120" t="n">
        <f aca="false">X48*($J$15-1)/(($D$15-$B$15)/91.3125)</f>
        <v>8.4701539279429</v>
      </c>
      <c r="Y50" s="120" t="n">
        <f aca="false">Y48*($J$15-1)/(($D$15-$B$15)/91.3125)</f>
        <v>8.4701539279429</v>
      </c>
      <c r="Z50" s="120" t="n">
        <f aca="false">Z48*($J$15-1)/(($D$15-$B$15)/91.3125)</f>
        <v>8.4701539279429</v>
      </c>
      <c r="AA50" s="120" t="n">
        <f aca="false">AA48*($J$15-1)/(($D$15-$B$15)/91.3125)</f>
        <v>8.4701539279429</v>
      </c>
      <c r="AB50" s="120" t="n">
        <f aca="false">AB48*($J$15-1)/(($D$15-$B$15)/91.3125)</f>
        <v>8.4701539279429</v>
      </c>
      <c r="AC50" s="120" t="n">
        <f aca="false">AC48*($J$15-1)/(($D$15-$B$15)/91.3125)</f>
        <v>8.4701539279429</v>
      </c>
      <c r="AD50" s="120" t="n">
        <f aca="false">AD48*($J$15-1)/(($D$15-$B$15)/91.3125)</f>
        <v>8.4701539279429</v>
      </c>
      <c r="AE50" s="120" t="n">
        <f aca="false">AE48*($J$15-1)/(($D$15-$B$15)/91.3125)</f>
        <v>8.4701539279429</v>
      </c>
      <c r="AF50" s="120" t="n">
        <f aca="false">AF48*($J$15-1)/(($D$15-$B$15)/91.3125)</f>
        <v>8.4701539279429</v>
      </c>
      <c r="AG50" s="120" t="n">
        <f aca="false">AG48*($J$15-1)/(($D$15-$B$15)/91.3125)</f>
        <v>8.4701539279429</v>
      </c>
      <c r="AI50" s="120" t="n">
        <f aca="false">SUMIF($F$7:$AG$7,AI$7,$F50:$AG50)</f>
        <v>0</v>
      </c>
      <c r="AJ50" s="120" t="n">
        <f aca="false">SUMIF($F$7:$AG$7,AJ$7,$F50:$AG50)</f>
        <v>16.9403078558858</v>
      </c>
      <c r="AK50" s="120" t="n">
        <f aca="false">SUMIF($F$7:$AG$7,AK$7,$F50:$AG50)</f>
        <v>33.8806157117716</v>
      </c>
      <c r="AL50" s="120" t="n">
        <f aca="false">SUMIF($F$7:$AG$7,AL$7,$F50:$AG50)</f>
        <v>33.8806157117716</v>
      </c>
      <c r="AM50" s="120" t="n">
        <f aca="false">SUMIF($F$7:$AG$7,AM$7,$F50:$AG50)</f>
        <v>33.8806157117716</v>
      </c>
      <c r="AN50" s="120" t="n">
        <f aca="false">SUMIF($F$7:$AG$7,AN$7,$F50:$AG50)</f>
        <v>33.8806157117716</v>
      </c>
      <c r="AO50" s="120" t="n">
        <f aca="false">SUMIF($F$7:$AG$7,AO$7,$F50:$AG50)</f>
        <v>33.8806157117716</v>
      </c>
    </row>
    <row r="51" customFormat="false" ht="15" hidden="false" customHeight="false" outlineLevel="0" collapsed="false">
      <c r="A51" s="101" t="s">
        <v>1773</v>
      </c>
      <c r="B51" s="18" t="s">
        <v>400</v>
      </c>
      <c r="C51" s="18" t="s">
        <v>389</v>
      </c>
      <c r="D51" s="18"/>
      <c r="F51" s="119" t="n">
        <f aca="false">F48*(1+($J$15-1)*MIN(1,MAX(0,(F$4-$B$15)/($D$15-$B$15))))</f>
        <v>0</v>
      </c>
      <c r="G51" s="119" t="n">
        <f aca="false">G48*(1+($J$15-1)*MIN(1,MAX(0,(G$4-$B$15)/($D$15-$B$15))))</f>
        <v>0</v>
      </c>
      <c r="H51" s="119" t="n">
        <f aca="false">H48*(1+($J$15-1)*MIN(1,MAX(0,(H$4-$B$15)/($D$15-$B$15))))</f>
        <v>0</v>
      </c>
      <c r="I51" s="119" t="n">
        <f aca="false">I48*(1+($J$15-1)*MIN(1,MAX(0,(I$4-$B$15)/($D$15-$B$15))))</f>
        <v>0</v>
      </c>
      <c r="J51" s="119" t="n">
        <f aca="false">J48*(1+($J$15-1)*MIN(1,MAX(0,(J$4-$B$15)/($D$15-$B$15))))</f>
        <v>0</v>
      </c>
      <c r="K51" s="119" t="n">
        <f aca="false">K48*(1+($J$15-1)*MIN(1,MAX(0,(K$4-$B$15)/($D$15-$B$15))))</f>
        <v>0</v>
      </c>
      <c r="L51" s="119" t="n">
        <f aca="false">L48*(1+($J$15-1)*MIN(1,MAX(0,(L$4-$B$15)/($D$15-$B$15))))</f>
        <v>1582.64140105593</v>
      </c>
      <c r="M51" s="119" t="n">
        <f aca="false">M48*(1+($J$15-1)*MIN(1,MAX(0,(M$4-$B$15)/($D$15-$B$15))))</f>
        <v>1591.17532753226</v>
      </c>
      <c r="N51" s="119" t="n">
        <f aca="false">N48*(1+($J$15-1)*MIN(1,MAX(0,(N$4-$B$15)/($D$15-$B$15))))</f>
        <v>1599.52373386781</v>
      </c>
      <c r="O51" s="119" t="n">
        <f aca="false">O48*(1+($J$15-1)*MIN(1,MAX(0,(O$4-$B$15)/($D$15-$B$15))))</f>
        <v>1607.96490027376</v>
      </c>
      <c r="P51" s="120" t="n">
        <f aca="false">P48*(1+($J$15-1)*MIN(1,MAX(0,(P$4-$B$15)/($D$15-$B$15))))</f>
        <v>1616.4988267501</v>
      </c>
      <c r="Q51" s="120" t="n">
        <f aca="false">Q48*(1+($J$15-1)*MIN(1,MAX(0,(Q$4-$B$15)/($D$15-$B$15))))</f>
        <v>1625.03275322644</v>
      </c>
      <c r="R51" s="120" t="n">
        <f aca="false">R48*(1+($J$15-1)*MIN(1,MAX(0,(R$4-$B$15)/($D$15-$B$15))))</f>
        <v>1633.38115956199</v>
      </c>
      <c r="S51" s="120" t="n">
        <f aca="false">S48*(1+($J$15-1)*MIN(1,MAX(0,(S$4-$B$15)/($D$15-$B$15))))</f>
        <v>1641.82232596793</v>
      </c>
      <c r="T51" s="120" t="n">
        <f aca="false">T48*(1+($J$15-1)*MIN(1,MAX(0,(T$4-$B$15)/($D$15-$B$15))))</f>
        <v>1650.35625244427</v>
      </c>
      <c r="U51" s="120" t="n">
        <f aca="false">U48*(1+($J$15-1)*MIN(1,MAX(0,(U$4-$B$15)/($D$15-$B$15))))</f>
        <v>1658.89017892061</v>
      </c>
      <c r="V51" s="120" t="n">
        <f aca="false">V48*(1+($J$15-1)*MIN(1,MAX(0,(V$4-$B$15)/($D$15-$B$15))))</f>
        <v>1667.33134532655</v>
      </c>
      <c r="W51" s="120" t="n">
        <f aca="false">W48*(1+($J$15-1)*MIN(1,MAX(0,(W$4-$B$15)/($D$15-$B$15))))</f>
        <v>1675.7725117325</v>
      </c>
      <c r="X51" s="120" t="n">
        <f aca="false">X48*(1+($J$15-1)*MIN(1,MAX(0,(X$4-$B$15)/($D$15-$B$15))))</f>
        <v>1684.30643820884</v>
      </c>
      <c r="Y51" s="120" t="n">
        <f aca="false">Y48*(1+($J$15-1)*MIN(1,MAX(0,(Y$4-$B$15)/($D$15-$B$15))))</f>
        <v>1692.84036468518</v>
      </c>
      <c r="Z51" s="120" t="n">
        <f aca="false">Z48*(1+($J$15-1)*MIN(1,MAX(0,(Z$4-$B$15)/($D$15-$B$15))))</f>
        <v>1701.18877102073</v>
      </c>
      <c r="AA51" s="120" t="n">
        <f aca="false">AA48*(1+($J$15-1)*MIN(1,MAX(0,(AA$4-$B$15)/($D$15-$B$15))))</f>
        <v>1709.62993742667</v>
      </c>
      <c r="AB51" s="120" t="n">
        <f aca="false">AB48*(1+($J$15-1)*MIN(1,MAX(0,(AB$4-$B$15)/($D$15-$B$15))))</f>
        <v>1718.16386390301</v>
      </c>
      <c r="AC51" s="120" t="n">
        <f aca="false">AC48*(1+($J$15-1)*MIN(1,MAX(0,(AC$4-$B$15)/($D$15-$B$15))))</f>
        <v>1726.69779037935</v>
      </c>
      <c r="AD51" s="120" t="n">
        <f aca="false">AD48*(1+($J$15-1)*MIN(1,MAX(0,(AD$4-$B$15)/($D$15-$B$15))))</f>
        <v>1735.0461967149</v>
      </c>
      <c r="AE51" s="120" t="n">
        <f aca="false">AE48*(1+($J$15-1)*MIN(1,MAX(0,(AE$4-$B$15)/($D$15-$B$15))))</f>
        <v>1743.48736312084</v>
      </c>
      <c r="AF51" s="120" t="n">
        <f aca="false">AF48*(1+($J$15-1)*MIN(1,MAX(0,(AF$4-$B$15)/($D$15-$B$15))))</f>
        <v>1752.02128959718</v>
      </c>
      <c r="AG51" s="120" t="n">
        <f aca="false">AG48*(1+($J$15-1)*MIN(1,MAX(0,(AG$4-$B$15)/($D$15-$B$15))))</f>
        <v>1760.55521607352</v>
      </c>
      <c r="AI51" s="120" t="n">
        <f aca="false">INDEX($F51:$AG51,1,MATCH(AI$7,$F$7:$AG$7,1))</f>
        <v>0</v>
      </c>
      <c r="AJ51" s="120" t="n">
        <f aca="false">INDEX($F51:$AG51,1,MATCH(AJ$7,$F$7:$AG$7,1))</f>
        <v>1591.17532753226</v>
      </c>
      <c r="AK51" s="120" t="n">
        <f aca="false">INDEX($F51:$AG51,1,MATCH(AK$7,$F$7:$AG$7,1))</f>
        <v>1625.03275322644</v>
      </c>
      <c r="AL51" s="120" t="n">
        <f aca="false">INDEX($F51:$AG51,1,MATCH(AL$7,$F$7:$AG$7,1))</f>
        <v>1658.89017892061</v>
      </c>
      <c r="AM51" s="120" t="n">
        <f aca="false">INDEX($F51:$AG51,1,MATCH(AM$7,$F$7:$AG$7,1))</f>
        <v>1692.84036468518</v>
      </c>
      <c r="AN51" s="120" t="n">
        <f aca="false">INDEX($F51:$AG51,1,MATCH(AN$7,$F$7:$AG$7,1))</f>
        <v>1726.69779037935</v>
      </c>
      <c r="AO51" s="120" t="n">
        <f aca="false">INDEX($F51:$AG51,1,MATCH(AO$7,$F$7:$AG$7,1))</f>
        <v>1760.55521607352</v>
      </c>
    </row>
    <row r="52" customFormat="false" ht="15" hidden="false" customHeight="false" outlineLevel="0" collapsed="false">
      <c r="A52" s="101" t="s">
        <v>1774</v>
      </c>
      <c r="B52" s="18" t="s">
        <v>400</v>
      </c>
      <c r="C52" s="18" t="s">
        <v>389</v>
      </c>
      <c r="D52" s="18"/>
      <c r="F52" s="119" t="n">
        <f aca="false">IF(F$5=$N$15,E48*$J$15*(1-$O$15),0)</f>
        <v>0</v>
      </c>
      <c r="G52" s="119" t="n">
        <f aca="false">IF(G$5=$N$15,F48*$J$15*(1-$O$15),0)</f>
        <v>0</v>
      </c>
      <c r="H52" s="119" t="n">
        <f aca="false">IF(H$5=$N$15,G48*$J$15*(1-$O$15),0)</f>
        <v>0</v>
      </c>
      <c r="I52" s="119" t="n">
        <f aca="false">IF(I$5=$N$15,H48*$J$15*(1-$O$15),0)</f>
        <v>0</v>
      </c>
      <c r="J52" s="119" t="n">
        <f aca="false">IF(J$5=$N$15,I48*$J$15*(1-$O$15),0)</f>
        <v>0</v>
      </c>
      <c r="K52" s="119" t="n">
        <f aca="false">IF(K$5=$N$15,J48*$J$15*(1-$O$15),0)</f>
        <v>0</v>
      </c>
      <c r="L52" s="119" t="n">
        <f aca="false">IF(L$5=$N$15,K48*$J$15*(1-$O$15),0)</f>
        <v>0</v>
      </c>
      <c r="M52" s="119" t="n">
        <f aca="false">IF(M$5=$N$15,L48*$J$15*(1-$O$15),0)</f>
        <v>0</v>
      </c>
      <c r="N52" s="119" t="n">
        <f aca="false">IF(N$5=$N$15,M48*$J$15*(1-$O$15),0)</f>
        <v>0</v>
      </c>
      <c r="O52" s="119" t="n">
        <f aca="false">IF(O$5=$N$15,N48*$J$15*(1-$O$15),0)</f>
        <v>0</v>
      </c>
      <c r="P52" s="120" t="n">
        <f aca="false">IF(P$5=$N$15,O48*$J$15*(1-$O$15),0)</f>
        <v>0</v>
      </c>
      <c r="Q52" s="120" t="n">
        <f aca="false">IF(Q$5=$N$15,P48*$J$15*(1-$O$15),0)</f>
        <v>0</v>
      </c>
      <c r="R52" s="120" t="n">
        <f aca="false">IF(R$5=$N$15,Q48*$J$15*(1-$O$15),0)</f>
        <v>0</v>
      </c>
      <c r="S52" s="120" t="n">
        <f aca="false">IF(S$5=$N$15,R48*$J$15*(1-$O$15),0)</f>
        <v>0</v>
      </c>
      <c r="T52" s="120" t="n">
        <f aca="false">IF(T$5=$N$15,S48*$J$15*(1-$O$15),0)</f>
        <v>0</v>
      </c>
      <c r="U52" s="120" t="n">
        <f aca="false">IF(U$5=$N$15,T48*$J$15*(1-$O$15),0)</f>
        <v>0</v>
      </c>
      <c r="V52" s="120" t="n">
        <f aca="false">IF(V$5=$N$15,U48*$J$15*(1-$O$15),0)</f>
        <v>0</v>
      </c>
      <c r="W52" s="120" t="n">
        <f aca="false">IF(W$5=$N$15,V48*$J$15*(1-$O$15),0)</f>
        <v>0</v>
      </c>
      <c r="X52" s="120" t="n">
        <f aca="false">IF(X$5=$N$15,W48*$J$15*(1-$O$15),0)</f>
        <v>0</v>
      </c>
      <c r="Y52" s="120" t="n">
        <f aca="false">IF(Y$5=$N$15,X48*$J$15*(1-$O$15),0)</f>
        <v>0</v>
      </c>
      <c r="Z52" s="120" t="n">
        <f aca="false">IF(Z$5=$N$15,Y48*$J$15*(1-$O$15),0)</f>
        <v>0</v>
      </c>
      <c r="AA52" s="120" t="n">
        <f aca="false">IF(AA$5=$N$15,Z48*$J$15*(1-$O$15),0)</f>
        <v>0</v>
      </c>
      <c r="AB52" s="120" t="n">
        <f aca="false">IF(AB$5=$N$15,AA48*$J$15*(1-$O$15),0)</f>
        <v>0</v>
      </c>
      <c r="AC52" s="120" t="n">
        <f aca="false">IF(AC$5=$N$15,AB48*$J$15*(1-$O$15),0)</f>
        <v>0</v>
      </c>
      <c r="AD52" s="120" t="n">
        <f aca="false">IF(AD$5=$N$15,AC48*$J$15*(1-$O$15),0)</f>
        <v>0</v>
      </c>
      <c r="AE52" s="120" t="n">
        <f aca="false">IF(AE$5=$N$15,AD48*$J$15*(1-$O$15),0)</f>
        <v>0</v>
      </c>
      <c r="AF52" s="120" t="n">
        <f aca="false">IF(AF$5=$N$15,AE48*$J$15*(1-$O$15),0)</f>
        <v>0</v>
      </c>
      <c r="AG52" s="120" t="n">
        <f aca="false">IF(AG$5=$N$15,AF48*$J$15*(1-$O$15),0)</f>
        <v>0</v>
      </c>
      <c r="AI52" s="120" t="n">
        <f aca="false">SUMIF($F$7:$AG$7,AI$7,$F52:$AG52)</f>
        <v>0</v>
      </c>
      <c r="AJ52" s="120" t="n">
        <f aca="false">SUMIF($F$7:$AG$7,AJ$7,$F52:$AG52)</f>
        <v>0</v>
      </c>
      <c r="AK52" s="120" t="n">
        <f aca="false">SUMIF($F$7:$AG$7,AK$7,$F52:$AG52)</f>
        <v>0</v>
      </c>
      <c r="AL52" s="120" t="n">
        <f aca="false">SUMIF($F$7:$AG$7,AL$7,$F52:$AG52)</f>
        <v>0</v>
      </c>
      <c r="AM52" s="120" t="n">
        <f aca="false">SUMIF($F$7:$AG$7,AM$7,$F52:$AG52)</f>
        <v>0</v>
      </c>
      <c r="AN52" s="120" t="n">
        <f aca="false">SUMIF($F$7:$AG$7,AN$7,$F52:$AG52)</f>
        <v>0</v>
      </c>
      <c r="AO52" s="120" t="n">
        <f aca="false">SUMIF($F$7:$AG$7,AO$7,$F52:$AG52)</f>
        <v>0</v>
      </c>
    </row>
    <row r="53" customFormat="false" ht="15" hidden="false" customHeight="false" outlineLevel="0" collapsed="false">
      <c r="A53" s="101" t="s">
        <v>1775</v>
      </c>
      <c r="B53" s="18" t="s">
        <v>781</v>
      </c>
      <c r="C53" s="18" t="s">
        <v>389</v>
      </c>
      <c r="D53" s="18"/>
      <c r="F53" s="131" t="n">
        <f aca="false">IF(F$5=$N$15,E48*$K$15/1000*$O$15,0)</f>
        <v>0</v>
      </c>
      <c r="G53" s="131" t="n">
        <f aca="false">IF(G$5=$N$15,F48*$K$15/1000*$O$15,0)</f>
        <v>0</v>
      </c>
      <c r="H53" s="131" t="n">
        <f aca="false">IF(H$5=$N$15,G48*$K$15/1000*$O$15,0)</f>
        <v>0</v>
      </c>
      <c r="I53" s="131" t="n">
        <f aca="false">IF(I$5=$N$15,H48*$K$15/1000*$O$15,0)</f>
        <v>0</v>
      </c>
      <c r="J53" s="131" t="n">
        <f aca="false">IF(J$5=$N$15,I48*$K$15/1000*$O$15,0)</f>
        <v>0</v>
      </c>
      <c r="K53" s="131" t="n">
        <f aca="false">IF(K$5=$N$15,J48*$K$15/1000*$O$15,0)</f>
        <v>0</v>
      </c>
      <c r="L53" s="131" t="n">
        <f aca="false">IF(L$5=$N$15,K48*$K$15/1000*$O$15,0)</f>
        <v>0</v>
      </c>
      <c r="M53" s="131" t="n">
        <f aca="false">IF(M$5=$N$15,L48*$K$15/1000*$O$15,0)</f>
        <v>0</v>
      </c>
      <c r="N53" s="131" t="n">
        <f aca="false">IF(N$5=$N$15,M48*$K$15/1000*$O$15,0)</f>
        <v>0</v>
      </c>
      <c r="O53" s="131" t="n">
        <f aca="false">IF(O$5=$N$15,N48*$K$15/1000*$O$15,0)</f>
        <v>0</v>
      </c>
      <c r="P53" s="37" t="n">
        <f aca="false">IF(P$5=$N$15,O48*$K$15/1000*$O$15,0)</f>
        <v>0</v>
      </c>
      <c r="Q53" s="37" t="n">
        <f aca="false">IF(Q$5=$N$15,P48*$K$15/1000*$O$15,0)</f>
        <v>0</v>
      </c>
      <c r="R53" s="37" t="n">
        <f aca="false">IF(R$5=$N$15,Q48*$K$15/1000*$O$15,0)</f>
        <v>0</v>
      </c>
      <c r="S53" s="37" t="n">
        <f aca="false">IF(S$5=$N$15,R48*$K$15/1000*$O$15,0)</f>
        <v>0</v>
      </c>
      <c r="T53" s="37" t="n">
        <f aca="false">IF(T$5=$N$15,S48*$K$15/1000*$O$15,0)</f>
        <v>0</v>
      </c>
      <c r="U53" s="37" t="n">
        <f aca="false">IF(U$5=$N$15,T48*$K$15/1000*$O$15,0)</f>
        <v>0</v>
      </c>
      <c r="V53" s="37" t="n">
        <f aca="false">IF(V$5=$N$15,U48*$K$15/1000*$O$15,0)</f>
        <v>0</v>
      </c>
      <c r="W53" s="37" t="n">
        <f aca="false">IF(W$5=$N$15,V48*$K$15/1000*$O$15,0)</f>
        <v>0</v>
      </c>
      <c r="X53" s="37" t="n">
        <f aca="false">IF(X$5=$N$15,W48*$K$15/1000*$O$15,0)</f>
        <v>0</v>
      </c>
      <c r="Y53" s="37" t="n">
        <f aca="false">IF(Y$5=$N$15,X48*$K$15/1000*$O$15,0)</f>
        <v>0</v>
      </c>
      <c r="Z53" s="37" t="n">
        <f aca="false">IF(Z$5=$N$15,Y48*$K$15/1000*$O$15,0)</f>
        <v>0</v>
      </c>
      <c r="AA53" s="37" t="n">
        <f aca="false">IF(AA$5=$N$15,Z48*$K$15/1000*$O$15,0)</f>
        <v>0</v>
      </c>
      <c r="AB53" s="37" t="n">
        <f aca="false">IF(AB$5=$N$15,AA48*$K$15/1000*$O$15,0)</f>
        <v>0</v>
      </c>
      <c r="AC53" s="37" t="n">
        <f aca="false">IF(AC$5=$N$15,AB48*$K$15/1000*$O$15,0)</f>
        <v>0</v>
      </c>
      <c r="AD53" s="37" t="n">
        <f aca="false">IF(AD$5=$N$15,AC48*$K$15/1000*$O$15,0)</f>
        <v>0</v>
      </c>
      <c r="AE53" s="37" t="n">
        <f aca="false">IF(AE$5=$N$15,AD48*$K$15/1000*$O$15,0)</f>
        <v>0</v>
      </c>
      <c r="AF53" s="37" t="n">
        <f aca="false">IF(AF$5=$N$15,AE48*$K$15/1000*$O$15,0)</f>
        <v>0</v>
      </c>
      <c r="AG53" s="37" t="n">
        <f aca="false">IF(AG$5=$N$15,AF48*$K$15/1000*$O$15,0)</f>
        <v>0</v>
      </c>
      <c r="AI53" s="37" t="n">
        <f aca="false">SUMIF($F$7:$AG$7,AI$7,$F53:$AG53)</f>
        <v>0</v>
      </c>
      <c r="AJ53" s="37" t="n">
        <f aca="false">SUMIF($F$7:$AG$7,AJ$7,$F53:$AG53)</f>
        <v>0</v>
      </c>
      <c r="AK53" s="37" t="n">
        <f aca="false">SUMIF($F$7:$AG$7,AK$7,$F53:$AG53)</f>
        <v>0</v>
      </c>
      <c r="AL53" s="37" t="n">
        <f aca="false">SUMIF($F$7:$AG$7,AL$7,$F53:$AG53)</f>
        <v>0</v>
      </c>
      <c r="AM53" s="37" t="n">
        <f aca="false">SUMIF($F$7:$AG$7,AM$7,$F53:$AG53)</f>
        <v>0</v>
      </c>
      <c r="AN53" s="37" t="n">
        <f aca="false">SUMIF($F$7:$AG$7,AN$7,$F53:$AG53)</f>
        <v>0</v>
      </c>
      <c r="AO53" s="37" t="n">
        <f aca="false">SUMIF($F$7:$AG$7,AO$7,$F53:$AG53)</f>
        <v>0</v>
      </c>
    </row>
    <row r="54" customFormat="false" ht="15" hidden="false" customHeight="false" outlineLevel="0" collapsed="false">
      <c r="A54" s="101" t="s">
        <v>1776</v>
      </c>
      <c r="B54" s="18" t="s">
        <v>781</v>
      </c>
      <c r="C54" s="18" t="s">
        <v>336</v>
      </c>
      <c r="D54" s="18"/>
      <c r="F54" s="131" t="n">
        <f aca="false">IF(DilMethod=3,MAX(0,F48*$K$15/1000*DilPx-F51)/DilPx,F48*$K$15/1000*$P$15)</f>
        <v>0</v>
      </c>
      <c r="G54" s="131" t="n">
        <f aca="false">IF(DilMethod=3,MAX(0,G48*$K$15/1000*DilPx-G51)/DilPx,G48*$K$15/1000*$P$15)</f>
        <v>0</v>
      </c>
      <c r="H54" s="131" t="n">
        <f aca="false">IF(DilMethod=3,MAX(0,H48*$K$15/1000*DilPx-H51)/DilPx,H48*$K$15/1000*$P$15)</f>
        <v>0</v>
      </c>
      <c r="I54" s="131" t="n">
        <f aca="false">IF(DilMethod=3,MAX(0,I48*$K$15/1000*DilPx-I51)/DilPx,I48*$K$15/1000*$P$15)</f>
        <v>0</v>
      </c>
      <c r="J54" s="131" t="n">
        <f aca="false">IF(DilMethod=3,MAX(0,J48*$K$15/1000*DilPx-J51)/DilPx,J48*$K$15/1000*$P$15)</f>
        <v>0</v>
      </c>
      <c r="K54" s="131" t="n">
        <f aca="false">IF(DilMethod=3,MAX(0,K48*$K$15/1000*DilPx-K51)/DilPx,K48*$K$15/1000*$P$15)</f>
        <v>0</v>
      </c>
      <c r="L54" s="131" t="n">
        <f aca="false">IF(DilMethod=3,MAX(0,L48*$K$15/1000*DilPx-L51)/DilPx,L48*$K$15/1000*$P$15)</f>
        <v>0</v>
      </c>
      <c r="M54" s="131" t="n">
        <f aca="false">IF(DilMethod=3,MAX(0,M48*$K$15/1000*DilPx-M51)/DilPx,M48*$K$15/1000*$P$15)</f>
        <v>0</v>
      </c>
      <c r="N54" s="131" t="n">
        <f aca="false">IF(DilMethod=3,MAX(0,N48*$K$15/1000*DilPx-N51)/DilPx,N48*$K$15/1000*$P$15)</f>
        <v>0</v>
      </c>
      <c r="O54" s="131" t="n">
        <f aca="false">IF(DilMethod=3,MAX(0,O48*$K$15/1000*DilPx-O51)/DilPx,O48*$K$15/1000*$P$15)</f>
        <v>0</v>
      </c>
      <c r="P54" s="37" t="n">
        <f aca="false">IF(DilMethod=3,MAX(0,P48*$K$15/1000*DilPx-P51)/DilPx,P48*$K$15/1000*$P$15)</f>
        <v>0</v>
      </c>
      <c r="Q54" s="37" t="n">
        <f aca="false">IF(DilMethod=3,MAX(0,Q48*$K$15/1000*DilPx-Q51)/DilPx,Q48*$K$15/1000*$P$15)</f>
        <v>0</v>
      </c>
      <c r="R54" s="37" t="n">
        <f aca="false">IF(DilMethod=3,MAX(0,R48*$K$15/1000*DilPx-R51)/DilPx,R48*$K$15/1000*$P$15)</f>
        <v>0</v>
      </c>
      <c r="S54" s="37" t="n">
        <f aca="false">IF(DilMethod=3,MAX(0,S48*$K$15/1000*DilPx-S51)/DilPx,S48*$K$15/1000*$P$15)</f>
        <v>0</v>
      </c>
      <c r="T54" s="37" t="n">
        <f aca="false">IF(DilMethod=3,MAX(0,T48*$K$15/1000*DilPx-T51)/DilPx,T48*$K$15/1000*$P$15)</f>
        <v>0</v>
      </c>
      <c r="U54" s="37" t="n">
        <f aca="false">IF(DilMethod=3,MAX(0,U48*$K$15/1000*DilPx-U51)/DilPx,U48*$K$15/1000*$P$15)</f>
        <v>0</v>
      </c>
      <c r="V54" s="37" t="n">
        <f aca="false">IF(DilMethod=3,MAX(0,V48*$K$15/1000*DilPx-V51)/DilPx,V48*$K$15/1000*$P$15)</f>
        <v>0</v>
      </c>
      <c r="W54" s="37" t="n">
        <f aca="false">IF(DilMethod=3,MAX(0,W48*$K$15/1000*DilPx-W51)/DilPx,W48*$K$15/1000*$P$15)</f>
        <v>0</v>
      </c>
      <c r="X54" s="37" t="n">
        <f aca="false">IF(DilMethod=3,MAX(0,X48*$K$15/1000*DilPx-X51)/DilPx,X48*$K$15/1000*$P$15)</f>
        <v>0</v>
      </c>
      <c r="Y54" s="37" t="n">
        <f aca="false">IF(DilMethod=3,MAX(0,Y48*$K$15/1000*DilPx-Y51)/DilPx,Y48*$K$15/1000*$P$15)</f>
        <v>0</v>
      </c>
      <c r="Z54" s="37" t="n">
        <f aca="false">IF(DilMethod=3,MAX(0,Z48*$K$15/1000*DilPx-Z51)/DilPx,Z48*$K$15/1000*$P$15)</f>
        <v>0</v>
      </c>
      <c r="AA54" s="37" t="n">
        <f aca="false">IF(DilMethod=3,MAX(0,AA48*$K$15/1000*DilPx-AA51)/DilPx,AA48*$K$15/1000*$P$15)</f>
        <v>0</v>
      </c>
      <c r="AB54" s="37" t="n">
        <f aca="false">IF(DilMethod=3,MAX(0,AB48*$K$15/1000*DilPx-AB51)/DilPx,AB48*$K$15/1000*$P$15)</f>
        <v>0</v>
      </c>
      <c r="AC54" s="37" t="n">
        <f aca="false">IF(DilMethod=3,MAX(0,AC48*$K$15/1000*DilPx-AC51)/DilPx,AC48*$K$15/1000*$P$15)</f>
        <v>0</v>
      </c>
      <c r="AD54" s="37" t="n">
        <f aca="false">IF(DilMethod=3,MAX(0,AD48*$K$15/1000*DilPx-AD51)/DilPx,AD48*$K$15/1000*$P$15)</f>
        <v>0</v>
      </c>
      <c r="AE54" s="37" t="n">
        <f aca="false">IF(DilMethod=3,MAX(0,AE48*$K$15/1000*DilPx-AE51)/DilPx,AE48*$K$15/1000*$P$15)</f>
        <v>0</v>
      </c>
      <c r="AF54" s="37" t="n">
        <f aca="false">IF(DilMethod=3,MAX(0,AF48*$K$15/1000*DilPx-AF51)/DilPx,AF48*$K$15/1000*$P$15)</f>
        <v>0</v>
      </c>
      <c r="AG54" s="37" t="n">
        <f aca="false">IF(DilMethod=3,MAX(0,AG48*$K$15/1000*DilPx-AG51)/DilPx,AG48*$K$15/1000*$P$15)</f>
        <v>0</v>
      </c>
      <c r="AI54" s="37" t="n">
        <f aca="false">INDEX($F54:$AG54,1,MATCH(AI$7,$F$7:$AG$7,1))</f>
        <v>0</v>
      </c>
      <c r="AJ54" s="37" t="n">
        <f aca="false">INDEX($F54:$AG54,1,MATCH(AJ$7,$F$7:$AG$7,1))</f>
        <v>0</v>
      </c>
      <c r="AK54" s="37" t="n">
        <f aca="false">INDEX($F54:$AG54,1,MATCH(AK$7,$F$7:$AG$7,1))</f>
        <v>0</v>
      </c>
      <c r="AL54" s="37" t="n">
        <f aca="false">INDEX($F54:$AG54,1,MATCH(AL$7,$F$7:$AG$7,1))</f>
        <v>0</v>
      </c>
      <c r="AM54" s="37" t="n">
        <f aca="false">INDEX($F54:$AG54,1,MATCH(AM$7,$F$7:$AG$7,1))</f>
        <v>0</v>
      </c>
      <c r="AN54" s="37" t="n">
        <f aca="false">INDEX($F54:$AG54,1,MATCH(AN$7,$F$7:$AG$7,1))</f>
        <v>0</v>
      </c>
      <c r="AO54" s="37" t="n">
        <f aca="false">INDEX($F54:$AG54,1,MATCH(AO$7,$F$7:$AG$7,1))</f>
        <v>0</v>
      </c>
    </row>
    <row r="55" customFormat="false" ht="15" hidden="false" customHeight="false" outlineLevel="0" collapsed="false">
      <c r="A55" s="101" t="s">
        <v>1777</v>
      </c>
      <c r="B55" s="18" t="s">
        <v>400</v>
      </c>
      <c r="C55" s="18" t="s">
        <v>336</v>
      </c>
      <c r="D55" s="18"/>
      <c r="F55" s="119" t="n">
        <f aca="false">F51*IF(DilMethod=3,1,1-$P$15)</f>
        <v>0</v>
      </c>
      <c r="G55" s="119" t="n">
        <f aca="false">G51*IF(DilMethod=3,1,1-$P$15)</f>
        <v>0</v>
      </c>
      <c r="H55" s="119" t="n">
        <f aca="false">H51*IF(DilMethod=3,1,1-$P$15)</f>
        <v>0</v>
      </c>
      <c r="I55" s="119" t="n">
        <f aca="false">I51*IF(DilMethod=3,1,1-$P$15)</f>
        <v>0</v>
      </c>
      <c r="J55" s="119" t="n">
        <f aca="false">J51*IF(DilMethod=3,1,1-$P$15)</f>
        <v>0</v>
      </c>
      <c r="K55" s="119" t="n">
        <f aca="false">K51*IF(DilMethod=3,1,1-$P$15)</f>
        <v>0</v>
      </c>
      <c r="L55" s="119" t="n">
        <f aca="false">L51*IF(DilMethod=3,1,1-$P$15)</f>
        <v>1582.64140105593</v>
      </c>
      <c r="M55" s="119" t="n">
        <f aca="false">M51*IF(DilMethod=3,1,1-$P$15)</f>
        <v>1591.17532753226</v>
      </c>
      <c r="N55" s="119" t="n">
        <f aca="false">N51*IF(DilMethod=3,1,1-$P$15)</f>
        <v>1599.52373386781</v>
      </c>
      <c r="O55" s="119" t="n">
        <f aca="false">O51*IF(DilMethod=3,1,1-$P$15)</f>
        <v>1607.96490027376</v>
      </c>
      <c r="P55" s="120" t="n">
        <f aca="false">P51*IF(DilMethod=3,1,1-$P$15)</f>
        <v>1616.4988267501</v>
      </c>
      <c r="Q55" s="120" t="n">
        <f aca="false">Q51*IF(DilMethod=3,1,1-$P$15)</f>
        <v>1625.03275322644</v>
      </c>
      <c r="R55" s="120" t="n">
        <f aca="false">R51*IF(DilMethod=3,1,1-$P$15)</f>
        <v>1633.38115956199</v>
      </c>
      <c r="S55" s="120" t="n">
        <f aca="false">S51*IF(DilMethod=3,1,1-$P$15)</f>
        <v>1641.82232596793</v>
      </c>
      <c r="T55" s="120" t="n">
        <f aca="false">T51*IF(DilMethod=3,1,1-$P$15)</f>
        <v>1650.35625244427</v>
      </c>
      <c r="U55" s="120" t="n">
        <f aca="false">U51*IF(DilMethod=3,1,1-$P$15)</f>
        <v>1658.89017892061</v>
      </c>
      <c r="V55" s="120" t="n">
        <f aca="false">V51*IF(DilMethod=3,1,1-$P$15)</f>
        <v>1667.33134532655</v>
      </c>
      <c r="W55" s="120" t="n">
        <f aca="false">W51*IF(DilMethod=3,1,1-$P$15)</f>
        <v>1675.7725117325</v>
      </c>
      <c r="X55" s="120" t="n">
        <f aca="false">X51*IF(DilMethod=3,1,1-$P$15)</f>
        <v>1684.30643820884</v>
      </c>
      <c r="Y55" s="120" t="n">
        <f aca="false">Y51*IF(DilMethod=3,1,1-$P$15)</f>
        <v>1692.84036468518</v>
      </c>
      <c r="Z55" s="120" t="n">
        <f aca="false">Z51*IF(DilMethod=3,1,1-$P$15)</f>
        <v>1701.18877102073</v>
      </c>
      <c r="AA55" s="120" t="n">
        <f aca="false">AA51*IF(DilMethod=3,1,1-$P$15)</f>
        <v>1709.62993742667</v>
      </c>
      <c r="AB55" s="120" t="n">
        <f aca="false">AB51*IF(DilMethod=3,1,1-$P$15)</f>
        <v>1718.16386390301</v>
      </c>
      <c r="AC55" s="120" t="n">
        <f aca="false">AC51*IF(DilMethod=3,1,1-$P$15)</f>
        <v>1726.69779037935</v>
      </c>
      <c r="AD55" s="120" t="n">
        <f aca="false">AD51*IF(DilMethod=3,1,1-$P$15)</f>
        <v>1735.0461967149</v>
      </c>
      <c r="AE55" s="120" t="n">
        <f aca="false">AE51*IF(DilMethod=3,1,1-$P$15)</f>
        <v>1743.48736312084</v>
      </c>
      <c r="AF55" s="120" t="n">
        <f aca="false">AF51*IF(DilMethod=3,1,1-$P$15)</f>
        <v>1752.02128959718</v>
      </c>
      <c r="AG55" s="120" t="n">
        <f aca="false">AG51*IF(DilMethod=3,1,1-$P$15)</f>
        <v>1760.55521607352</v>
      </c>
      <c r="AI55" s="120" t="n">
        <f aca="false">INDEX($F55:$AG55,1,MATCH(AI$7,$F$7:$AG$7,1))</f>
        <v>0</v>
      </c>
      <c r="AJ55" s="120" t="n">
        <f aca="false">INDEX($F55:$AG55,1,MATCH(AJ$7,$F$7:$AG$7,1))</f>
        <v>1591.17532753226</v>
      </c>
      <c r="AK55" s="120" t="n">
        <f aca="false">INDEX($F55:$AG55,1,MATCH(AK$7,$F$7:$AG$7,1))</f>
        <v>1625.03275322644</v>
      </c>
      <c r="AL55" s="120" t="n">
        <f aca="false">INDEX($F55:$AG55,1,MATCH(AL$7,$F$7:$AG$7,1))</f>
        <v>1658.89017892061</v>
      </c>
      <c r="AM55" s="120" t="n">
        <f aca="false">INDEX($F55:$AG55,1,MATCH(AM$7,$F$7:$AG$7,1))</f>
        <v>1692.84036468518</v>
      </c>
      <c r="AN55" s="120" t="n">
        <f aca="false">INDEX($F55:$AG55,1,MATCH(AN$7,$F$7:$AG$7,1))</f>
        <v>1726.69779037935</v>
      </c>
      <c r="AO55" s="120" t="n">
        <f aca="false">INDEX($F55:$AG55,1,MATCH(AO$7,$F$7:$AG$7,1))</f>
        <v>1760.55521607352</v>
      </c>
    </row>
    <row r="56" customFormat="false" ht="15" hidden="false" customHeight="false" outlineLevel="0" collapsed="false">
      <c r="A56" s="101" t="s">
        <v>1778</v>
      </c>
      <c r="B56" s="18" t="s">
        <v>400</v>
      </c>
      <c r="C56" s="18" t="s">
        <v>389</v>
      </c>
      <c r="D56" s="18"/>
      <c r="F56" s="119" t="n">
        <f aca="false">IF(AND(F$5&gt;=$M$16,F$5&lt;$N$16),$E$16-$F$16-IF(F$5&gt;=$H$16,$G$16,0),0)*($H$16&lt;&gt;0)+IF(AND(F$5&gt;=$M$16,F$5&lt;$N$16),$E$16-$F$16,0)*($H$16=0)</f>
        <v>0</v>
      </c>
      <c r="G56" s="119" t="n">
        <f aca="false">IF(AND(G$5&gt;=$M$16,G$5&lt;$N$16),$E$16-$F$16-IF(G$5&gt;=$H$16,$G$16,0),0)*($H$16&lt;&gt;0)+IF(AND(G$5&gt;=$M$16,G$5&lt;$N$16),$E$16-$F$16,0)*($H$16=0)</f>
        <v>0</v>
      </c>
      <c r="H56" s="119" t="n">
        <f aca="false">IF(AND(H$5&gt;=$M$16,H$5&lt;$N$16),$E$16-$F$16-IF(H$5&gt;=$H$16,$G$16,0),0)*($H$16&lt;&gt;0)+IF(AND(H$5&gt;=$M$16,H$5&lt;$N$16),$E$16-$F$16,0)*($H$16=0)</f>
        <v>0</v>
      </c>
      <c r="I56" s="119" t="n">
        <f aca="false">IF(AND(I$5&gt;=$M$16,I$5&lt;$N$16),$E$16-$F$16-IF(I$5&gt;=$H$16,$G$16,0),0)*($H$16&lt;&gt;0)+IF(AND(I$5&gt;=$M$16,I$5&lt;$N$16),$E$16-$F$16,0)*($H$16=0)</f>
        <v>0</v>
      </c>
      <c r="J56" s="119" t="n">
        <f aca="false">IF(AND(J$5&gt;=$M$16,J$5&lt;$N$16),$E$16-$F$16-IF(J$5&gt;=$H$16,$G$16,0),0)*($H$16&lt;&gt;0)+IF(AND(J$5&gt;=$M$16,J$5&lt;$N$16),$E$16-$F$16,0)*($H$16=0)</f>
        <v>0</v>
      </c>
      <c r="K56" s="119" t="n">
        <f aca="false">IF(AND(K$5&gt;=$M$16,K$5&lt;$N$16),$E$16-$F$16-IF(K$5&gt;=$H$16,$G$16,0),0)*($H$16&lt;&gt;0)+IF(AND(K$5&gt;=$M$16,K$5&lt;$N$16),$E$16-$F$16,0)*($H$16=0)</f>
        <v>0</v>
      </c>
      <c r="L56" s="119" t="n">
        <f aca="false">IF(AND(L$5&gt;=$M$16,L$5&lt;$N$16),$E$16-$F$16-IF(L$5&gt;=$H$16,$G$16,0),0)*($H$16&lt;&gt;0)+IF(AND(L$5&gt;=$M$16,L$5&lt;$N$16),$E$16-$F$16,0)*($H$16=0)</f>
        <v>0</v>
      </c>
      <c r="M56" s="119" t="n">
        <f aca="false">IF(AND(M$5&gt;=$M$16,M$5&lt;$N$16),$E$16-$F$16-IF(M$5&gt;=$H$16,$G$16,0),0)*($H$16&lt;&gt;0)+IF(AND(M$5&gt;=$M$16,M$5&lt;$N$16),$E$16-$F$16,0)*($H$16=0)</f>
        <v>0</v>
      </c>
      <c r="N56" s="119" t="n">
        <f aca="false">IF(AND(N$5&gt;=$M$16,N$5&lt;$N$16),$E$16-$F$16-IF(N$5&gt;=$H$16,$G$16,0),0)*($H$16&lt;&gt;0)+IF(AND(N$5&gt;=$M$16,N$5&lt;$N$16),$E$16-$F$16,0)*($H$16=0)</f>
        <v>2587.5</v>
      </c>
      <c r="O56" s="119" t="n">
        <f aca="false">IF(AND(O$5&gt;=$M$16,O$5&lt;$N$16),$E$16-$F$16-IF(O$5&gt;=$H$16,$G$16,0),0)*($H$16&lt;&gt;0)+IF(AND(O$5&gt;=$M$16,O$5&lt;$N$16),$E$16-$F$16,0)*($H$16=0)</f>
        <v>2587.5</v>
      </c>
      <c r="P56" s="120" t="n">
        <f aca="false">IF(AND(P$5&gt;=$M$16,P$5&lt;$N$16),$E$16-$F$16-IF(P$5&gt;=$H$16,$G$16,0),0)*($H$16&lt;&gt;0)+IF(AND(P$5&gt;=$M$16,P$5&lt;$N$16),$E$16-$F$16,0)*($H$16=0)</f>
        <v>2587.5</v>
      </c>
      <c r="Q56" s="120" t="n">
        <f aca="false">IF(AND(Q$5&gt;=$M$16,Q$5&lt;$N$16),$E$16-$F$16-IF(Q$5&gt;=$H$16,$G$16,0),0)*($H$16&lt;&gt;0)+IF(AND(Q$5&gt;=$M$16,Q$5&lt;$N$16),$E$16-$F$16,0)*($H$16=0)</f>
        <v>2587.5</v>
      </c>
      <c r="R56" s="120" t="n">
        <f aca="false">IF(AND(R$5&gt;=$M$16,R$5&lt;$N$16),$E$16-$F$16-IF(R$5&gt;=$H$16,$G$16,0),0)*($H$16&lt;&gt;0)+IF(AND(R$5&gt;=$M$16,R$5&lt;$N$16),$E$16-$F$16,0)*($H$16=0)</f>
        <v>2587.5</v>
      </c>
      <c r="S56" s="120" t="n">
        <f aca="false">IF(AND(S$5&gt;=$M$16,S$5&lt;$N$16),$E$16-$F$16-IF(S$5&gt;=$H$16,$G$16,0),0)*($H$16&lt;&gt;0)+IF(AND(S$5&gt;=$M$16,S$5&lt;$N$16),$E$16-$F$16,0)*($H$16=0)</f>
        <v>2587.5</v>
      </c>
      <c r="T56" s="120" t="n">
        <f aca="false">IF(AND(T$5&gt;=$M$16,T$5&lt;$N$16),$E$16-$F$16-IF(T$5&gt;=$H$16,$G$16,0),0)*($H$16&lt;&gt;0)+IF(AND(T$5&gt;=$M$16,T$5&lt;$N$16),$E$16-$F$16,0)*($H$16=0)</f>
        <v>2587.5</v>
      </c>
      <c r="U56" s="120" t="n">
        <f aca="false">IF(AND(U$5&gt;=$M$16,U$5&lt;$N$16),$E$16-$F$16-IF(U$5&gt;=$H$16,$G$16,0),0)*($H$16&lt;&gt;0)+IF(AND(U$5&gt;=$M$16,U$5&lt;$N$16),$E$16-$F$16,0)*($H$16=0)</f>
        <v>2587.5</v>
      </c>
      <c r="V56" s="120" t="n">
        <f aca="false">IF(AND(V$5&gt;=$M$16,V$5&lt;$N$16),$E$16-$F$16-IF(V$5&gt;=$H$16,$G$16,0),0)*($H$16&lt;&gt;0)+IF(AND(V$5&gt;=$M$16,V$5&lt;$N$16),$E$16-$F$16,0)*($H$16=0)</f>
        <v>2587.5</v>
      </c>
      <c r="W56" s="120" t="n">
        <f aca="false">IF(AND(W$5&gt;=$M$16,W$5&lt;$N$16),$E$16-$F$16-IF(W$5&gt;=$H$16,$G$16,0),0)*($H$16&lt;&gt;0)+IF(AND(W$5&gt;=$M$16,W$5&lt;$N$16),$E$16-$F$16,0)*($H$16=0)</f>
        <v>2587.5</v>
      </c>
      <c r="X56" s="120" t="n">
        <f aca="false">IF(AND(X$5&gt;=$M$16,X$5&lt;$N$16),$E$16-$F$16-IF(X$5&gt;=$H$16,$G$16,0),0)*($H$16&lt;&gt;0)+IF(AND(X$5&gt;=$M$16,X$5&lt;$N$16),$E$16-$F$16,0)*($H$16=0)</f>
        <v>2587.5</v>
      </c>
      <c r="Y56" s="120" t="n">
        <f aca="false">IF(AND(Y$5&gt;=$M$16,Y$5&lt;$N$16),$E$16-$F$16-IF(Y$5&gt;=$H$16,$G$16,0),0)*($H$16&lt;&gt;0)+IF(AND(Y$5&gt;=$M$16,Y$5&lt;$N$16),$E$16-$F$16,0)*($H$16=0)</f>
        <v>2587.5</v>
      </c>
      <c r="Z56" s="120" t="n">
        <f aca="false">IF(AND(Z$5&gt;=$M$16,Z$5&lt;$N$16),$E$16-$F$16-IF(Z$5&gt;=$H$16,$G$16,0),0)*($H$16&lt;&gt;0)+IF(AND(Z$5&gt;=$M$16,Z$5&lt;$N$16),$E$16-$F$16,0)*($H$16=0)</f>
        <v>2587.5</v>
      </c>
      <c r="AA56" s="120" t="n">
        <f aca="false">IF(AND(AA$5&gt;=$M$16,AA$5&lt;$N$16),$E$16-$F$16-IF(AA$5&gt;=$H$16,$G$16,0),0)*($H$16&lt;&gt;0)+IF(AND(AA$5&gt;=$M$16,AA$5&lt;$N$16),$E$16-$F$16,0)*($H$16=0)</f>
        <v>2587.5</v>
      </c>
      <c r="AB56" s="120" t="n">
        <f aca="false">IF(AND(AB$5&gt;=$M$16,AB$5&lt;$N$16),$E$16-$F$16-IF(AB$5&gt;=$H$16,$G$16,0),0)*($H$16&lt;&gt;0)+IF(AND(AB$5&gt;=$M$16,AB$5&lt;$N$16),$E$16-$F$16,0)*($H$16=0)</f>
        <v>2587.5</v>
      </c>
      <c r="AC56" s="120" t="n">
        <f aca="false">IF(AND(AC$5&gt;=$M$16,AC$5&lt;$N$16),$E$16-$F$16-IF(AC$5&gt;=$H$16,$G$16,0),0)*($H$16&lt;&gt;0)+IF(AND(AC$5&gt;=$M$16,AC$5&lt;$N$16),$E$16-$F$16,0)*($H$16=0)</f>
        <v>2587.5</v>
      </c>
      <c r="AD56" s="120" t="n">
        <f aca="false">IF(AND(AD$5&gt;=$M$16,AD$5&lt;$N$16),$E$16-$F$16-IF(AD$5&gt;=$H$16,$G$16,0),0)*($H$16&lt;&gt;0)+IF(AND(AD$5&gt;=$M$16,AD$5&lt;$N$16),$E$16-$F$16,0)*($H$16=0)</f>
        <v>2587.5</v>
      </c>
      <c r="AE56" s="120" t="n">
        <f aca="false">IF(AND(AE$5&gt;=$M$16,AE$5&lt;$N$16),$E$16-$F$16-IF(AE$5&gt;=$H$16,$G$16,0),0)*($H$16&lt;&gt;0)+IF(AND(AE$5&gt;=$M$16,AE$5&lt;$N$16),$E$16-$F$16,0)*($H$16=0)</f>
        <v>2587.5</v>
      </c>
      <c r="AF56" s="120" t="n">
        <f aca="false">IF(AND(AF$5&gt;=$M$16,AF$5&lt;$N$16),$E$16-$F$16-IF(AF$5&gt;=$H$16,$G$16,0),0)*($H$16&lt;&gt;0)+IF(AND(AF$5&gt;=$M$16,AF$5&lt;$N$16),$E$16-$F$16,0)*($H$16=0)</f>
        <v>2587.5</v>
      </c>
      <c r="AG56" s="120" t="n">
        <f aca="false">IF(AND(AG$5&gt;=$M$16,AG$5&lt;$N$16),$E$16-$F$16-IF(AG$5&gt;=$H$16,$G$16,0),0)*($H$16&lt;&gt;0)+IF(AND(AG$5&gt;=$M$16,AG$5&lt;$N$16),$E$16-$F$16,0)*($H$16=0)</f>
        <v>2587.5</v>
      </c>
      <c r="AI56" s="120" t="n">
        <f aca="false">INDEX($F56:$AG56,1,MATCH(AI$7,$F$7:$AG$7,1))</f>
        <v>0</v>
      </c>
      <c r="AJ56" s="120" t="n">
        <f aca="false">INDEX($F56:$AG56,1,MATCH(AJ$7,$F$7:$AG$7,1))</f>
        <v>0</v>
      </c>
      <c r="AK56" s="120" t="n">
        <f aca="false">INDEX($F56:$AG56,1,MATCH(AK$7,$F$7:$AG$7,1))</f>
        <v>2587.5</v>
      </c>
      <c r="AL56" s="120" t="n">
        <f aca="false">INDEX($F56:$AG56,1,MATCH(AL$7,$F$7:$AG$7,1))</f>
        <v>2587.5</v>
      </c>
      <c r="AM56" s="120" t="n">
        <f aca="false">INDEX($F56:$AG56,1,MATCH(AM$7,$F$7:$AG$7,1))</f>
        <v>2587.5</v>
      </c>
      <c r="AN56" s="120" t="n">
        <f aca="false">INDEX($F56:$AG56,1,MATCH(AN$7,$F$7:$AG$7,1))</f>
        <v>2587.5</v>
      </c>
      <c r="AO56" s="120" t="n">
        <f aca="false">INDEX($F56:$AG56,1,MATCH(AO$7,$F$7:$AG$7,1))</f>
        <v>2587.5</v>
      </c>
    </row>
    <row r="57" customFormat="false" ht="15" hidden="false" customHeight="false" outlineLevel="0" collapsed="false">
      <c r="A57" s="101" t="s">
        <v>1779</v>
      </c>
      <c r="B57" s="18" t="s">
        <v>400</v>
      </c>
      <c r="C57" s="18" t="s">
        <v>389</v>
      </c>
      <c r="D57" s="18"/>
      <c r="F57" s="119" t="n">
        <f aca="false">F56*$C$16/4</f>
        <v>0</v>
      </c>
      <c r="G57" s="119" t="n">
        <f aca="false">G56*$C$16/4</f>
        <v>0</v>
      </c>
      <c r="H57" s="119" t="n">
        <f aca="false">H56*$C$16/4</f>
        <v>0</v>
      </c>
      <c r="I57" s="119" t="n">
        <f aca="false">I56*$C$16/4</f>
        <v>0</v>
      </c>
      <c r="J57" s="119" t="n">
        <f aca="false">J56*$C$16/4</f>
        <v>0</v>
      </c>
      <c r="K57" s="119" t="n">
        <f aca="false">K56*$C$16/4</f>
        <v>0</v>
      </c>
      <c r="L57" s="119" t="n">
        <f aca="false">L56*$C$16/4</f>
        <v>0</v>
      </c>
      <c r="M57" s="119" t="n">
        <f aca="false">M56*$C$16/4</f>
        <v>0</v>
      </c>
      <c r="N57" s="119" t="n">
        <f aca="false">N56*$C$16/4</f>
        <v>8.0859375</v>
      </c>
      <c r="O57" s="119" t="n">
        <f aca="false">O56*$C$16/4</f>
        <v>8.0859375</v>
      </c>
      <c r="P57" s="120" t="n">
        <f aca="false">P56*$C$16/4</f>
        <v>8.0859375</v>
      </c>
      <c r="Q57" s="120" t="n">
        <f aca="false">Q56*$C$16/4</f>
        <v>8.0859375</v>
      </c>
      <c r="R57" s="120" t="n">
        <f aca="false">R56*$C$16/4</f>
        <v>8.0859375</v>
      </c>
      <c r="S57" s="120" t="n">
        <f aca="false">S56*$C$16/4</f>
        <v>8.0859375</v>
      </c>
      <c r="T57" s="120" t="n">
        <f aca="false">T56*$C$16/4</f>
        <v>8.0859375</v>
      </c>
      <c r="U57" s="120" t="n">
        <f aca="false">U56*$C$16/4</f>
        <v>8.0859375</v>
      </c>
      <c r="V57" s="120" t="n">
        <f aca="false">V56*$C$16/4</f>
        <v>8.0859375</v>
      </c>
      <c r="W57" s="120" t="n">
        <f aca="false">W56*$C$16/4</f>
        <v>8.0859375</v>
      </c>
      <c r="X57" s="120" t="n">
        <f aca="false">X56*$C$16/4</f>
        <v>8.0859375</v>
      </c>
      <c r="Y57" s="120" t="n">
        <f aca="false">Y56*$C$16/4</f>
        <v>8.0859375</v>
      </c>
      <c r="Z57" s="120" t="n">
        <f aca="false">Z56*$C$16/4</f>
        <v>8.0859375</v>
      </c>
      <c r="AA57" s="120" t="n">
        <f aca="false">AA56*$C$16/4</f>
        <v>8.0859375</v>
      </c>
      <c r="AB57" s="120" t="n">
        <f aca="false">AB56*$C$16/4</f>
        <v>8.0859375</v>
      </c>
      <c r="AC57" s="120" t="n">
        <f aca="false">AC56*$C$16/4</f>
        <v>8.0859375</v>
      </c>
      <c r="AD57" s="120" t="n">
        <f aca="false">AD56*$C$16/4</f>
        <v>8.0859375</v>
      </c>
      <c r="AE57" s="120" t="n">
        <f aca="false">AE56*$C$16/4</f>
        <v>8.0859375</v>
      </c>
      <c r="AF57" s="120" t="n">
        <f aca="false">AF56*$C$16/4</f>
        <v>8.0859375</v>
      </c>
      <c r="AG57" s="120" t="n">
        <f aca="false">AG56*$C$16/4</f>
        <v>8.0859375</v>
      </c>
      <c r="AI57" s="120" t="n">
        <f aca="false">SUMIF($F$7:$AG$7,AI$7,$F57:$AG57)</f>
        <v>0</v>
      </c>
      <c r="AJ57" s="120" t="n">
        <f aca="false">SUMIF($F$7:$AG$7,AJ$7,$F57:$AG57)</f>
        <v>0</v>
      </c>
      <c r="AK57" s="120" t="n">
        <f aca="false">SUMIF($F$7:$AG$7,AK$7,$F57:$AG57)</f>
        <v>32.34375</v>
      </c>
      <c r="AL57" s="120" t="n">
        <f aca="false">SUMIF($F$7:$AG$7,AL$7,$F57:$AG57)</f>
        <v>32.34375</v>
      </c>
      <c r="AM57" s="120" t="n">
        <f aca="false">SUMIF($F$7:$AG$7,AM$7,$F57:$AG57)</f>
        <v>32.34375</v>
      </c>
      <c r="AN57" s="120" t="n">
        <f aca="false">SUMIF($F$7:$AG$7,AN$7,$F57:$AG57)</f>
        <v>32.34375</v>
      </c>
      <c r="AO57" s="120" t="n">
        <f aca="false">SUMIF($F$7:$AG$7,AO$7,$F57:$AG57)</f>
        <v>32.34375</v>
      </c>
    </row>
    <row r="58" customFormat="false" ht="15" hidden="false" customHeight="false" outlineLevel="0" collapsed="false">
      <c r="A58" s="101" t="s">
        <v>1780</v>
      </c>
      <c r="B58" s="18" t="s">
        <v>400</v>
      </c>
      <c r="C58" s="18" t="s">
        <v>389</v>
      </c>
      <c r="D58" s="18"/>
      <c r="F58" s="119" t="n">
        <f aca="false">F56*($J$16-1)/(($D$16-$B$16)/91.3125)</f>
        <v>0</v>
      </c>
      <c r="G58" s="119" t="n">
        <f aca="false">G56*($J$16-1)/(($D$16-$B$16)/91.3125)</f>
        <v>0</v>
      </c>
      <c r="H58" s="119" t="n">
        <f aca="false">H56*($J$16-1)/(($D$16-$B$16)/91.3125)</f>
        <v>0</v>
      </c>
      <c r="I58" s="119" t="n">
        <f aca="false">I56*($J$16-1)/(($D$16-$B$16)/91.3125)</f>
        <v>0</v>
      </c>
      <c r="J58" s="119" t="n">
        <f aca="false">J56*($J$16-1)/(($D$16-$B$16)/91.3125)</f>
        <v>0</v>
      </c>
      <c r="K58" s="119" t="n">
        <f aca="false">K56*($J$16-1)/(($D$16-$B$16)/91.3125)</f>
        <v>0</v>
      </c>
      <c r="L58" s="119" t="n">
        <f aca="false">L56*($J$16-1)/(($D$16-$B$16)/91.3125)</f>
        <v>0</v>
      </c>
      <c r="M58" s="119" t="n">
        <f aca="false">M56*($J$16-1)/(($D$16-$B$16)/91.3125)</f>
        <v>0</v>
      </c>
      <c r="N58" s="119" t="n">
        <f aca="false">N56*($J$16-1)/(($D$16-$B$16)/91.3125)</f>
        <v>25.9495984349259</v>
      </c>
      <c r="O58" s="119" t="n">
        <f aca="false">O56*($J$16-1)/(($D$16-$B$16)/91.3125)</f>
        <v>25.9495984349259</v>
      </c>
      <c r="P58" s="120" t="n">
        <f aca="false">P56*($J$16-1)/(($D$16-$B$16)/91.3125)</f>
        <v>25.9495984349259</v>
      </c>
      <c r="Q58" s="120" t="n">
        <f aca="false">Q56*($J$16-1)/(($D$16-$B$16)/91.3125)</f>
        <v>25.9495984349259</v>
      </c>
      <c r="R58" s="120" t="n">
        <f aca="false">R56*($J$16-1)/(($D$16-$B$16)/91.3125)</f>
        <v>25.9495984349259</v>
      </c>
      <c r="S58" s="120" t="n">
        <f aca="false">S56*($J$16-1)/(($D$16-$B$16)/91.3125)</f>
        <v>25.9495984349259</v>
      </c>
      <c r="T58" s="120" t="n">
        <f aca="false">T56*($J$16-1)/(($D$16-$B$16)/91.3125)</f>
        <v>25.9495984349259</v>
      </c>
      <c r="U58" s="120" t="n">
        <f aca="false">U56*($J$16-1)/(($D$16-$B$16)/91.3125)</f>
        <v>25.9495984349259</v>
      </c>
      <c r="V58" s="120" t="n">
        <f aca="false">V56*($J$16-1)/(($D$16-$B$16)/91.3125)</f>
        <v>25.9495984349259</v>
      </c>
      <c r="W58" s="120" t="n">
        <f aca="false">W56*($J$16-1)/(($D$16-$B$16)/91.3125)</f>
        <v>25.9495984349259</v>
      </c>
      <c r="X58" s="120" t="n">
        <f aca="false">X56*($J$16-1)/(($D$16-$B$16)/91.3125)</f>
        <v>25.9495984349259</v>
      </c>
      <c r="Y58" s="120" t="n">
        <f aca="false">Y56*($J$16-1)/(($D$16-$B$16)/91.3125)</f>
        <v>25.9495984349259</v>
      </c>
      <c r="Z58" s="120" t="n">
        <f aca="false">Z56*($J$16-1)/(($D$16-$B$16)/91.3125)</f>
        <v>25.9495984349259</v>
      </c>
      <c r="AA58" s="120" t="n">
        <f aca="false">AA56*($J$16-1)/(($D$16-$B$16)/91.3125)</f>
        <v>25.9495984349259</v>
      </c>
      <c r="AB58" s="120" t="n">
        <f aca="false">AB56*($J$16-1)/(($D$16-$B$16)/91.3125)</f>
        <v>25.9495984349259</v>
      </c>
      <c r="AC58" s="120" t="n">
        <f aca="false">AC56*($J$16-1)/(($D$16-$B$16)/91.3125)</f>
        <v>25.9495984349259</v>
      </c>
      <c r="AD58" s="120" t="n">
        <f aca="false">AD56*($J$16-1)/(($D$16-$B$16)/91.3125)</f>
        <v>25.9495984349259</v>
      </c>
      <c r="AE58" s="120" t="n">
        <f aca="false">AE56*($J$16-1)/(($D$16-$B$16)/91.3125)</f>
        <v>25.9495984349259</v>
      </c>
      <c r="AF58" s="120" t="n">
        <f aca="false">AF56*($J$16-1)/(($D$16-$B$16)/91.3125)</f>
        <v>25.9495984349259</v>
      </c>
      <c r="AG58" s="120" t="n">
        <f aca="false">AG56*($J$16-1)/(($D$16-$B$16)/91.3125)</f>
        <v>25.9495984349259</v>
      </c>
      <c r="AI58" s="120" t="n">
        <f aca="false">SUMIF($F$7:$AG$7,AI$7,$F58:$AG58)</f>
        <v>0</v>
      </c>
      <c r="AJ58" s="120" t="n">
        <f aca="false">SUMIF($F$7:$AG$7,AJ$7,$F58:$AG58)</f>
        <v>0</v>
      </c>
      <c r="AK58" s="120" t="n">
        <f aca="false">SUMIF($F$7:$AG$7,AK$7,$F58:$AG58)</f>
        <v>103.798393739703</v>
      </c>
      <c r="AL58" s="120" t="n">
        <f aca="false">SUMIF($F$7:$AG$7,AL$7,$F58:$AG58)</f>
        <v>103.798393739703</v>
      </c>
      <c r="AM58" s="120" t="n">
        <f aca="false">SUMIF($F$7:$AG$7,AM$7,$F58:$AG58)</f>
        <v>103.798393739703</v>
      </c>
      <c r="AN58" s="120" t="n">
        <f aca="false">SUMIF($F$7:$AG$7,AN$7,$F58:$AG58)</f>
        <v>103.798393739703</v>
      </c>
      <c r="AO58" s="120" t="n">
        <f aca="false">SUMIF($F$7:$AG$7,AO$7,$F58:$AG58)</f>
        <v>103.798393739703</v>
      </c>
    </row>
    <row r="59" customFormat="false" ht="15" hidden="false" customHeight="false" outlineLevel="0" collapsed="false">
      <c r="A59" s="101" t="s">
        <v>1781</v>
      </c>
      <c r="B59" s="18" t="s">
        <v>400</v>
      </c>
      <c r="C59" s="18" t="s">
        <v>389</v>
      </c>
      <c r="D59" s="18"/>
      <c r="F59" s="119" t="n">
        <f aca="false">F56*(1+($J$16-1)*MIN(1,MAX(0,(F$4-$B$16)/($D$16-$B$16))))</f>
        <v>0</v>
      </c>
      <c r="G59" s="119" t="n">
        <f aca="false">G56*(1+($J$16-1)*MIN(1,MAX(0,(G$4-$B$16)/($D$16-$B$16))))</f>
        <v>0</v>
      </c>
      <c r="H59" s="119" t="n">
        <f aca="false">H56*(1+($J$16-1)*MIN(1,MAX(0,(H$4-$B$16)/($D$16-$B$16))))</f>
        <v>0</v>
      </c>
      <c r="I59" s="119" t="n">
        <f aca="false">I56*(1+($J$16-1)*MIN(1,MAX(0,(I$4-$B$16)/($D$16-$B$16))))</f>
        <v>0</v>
      </c>
      <c r="J59" s="119" t="n">
        <f aca="false">J56*(1+($J$16-1)*MIN(1,MAX(0,(J$4-$B$16)/($D$16-$B$16))))</f>
        <v>0</v>
      </c>
      <c r="K59" s="119" t="n">
        <f aca="false">K56*(1+($J$16-1)*MIN(1,MAX(0,(K$4-$B$16)/($D$16-$B$16))))</f>
        <v>0</v>
      </c>
      <c r="L59" s="119" t="n">
        <f aca="false">L56*(1+($J$16-1)*MIN(1,MAX(0,(L$4-$B$16)/($D$16-$B$16))))</f>
        <v>0</v>
      </c>
      <c r="M59" s="119" t="n">
        <f aca="false">M56*(1+($J$16-1)*MIN(1,MAX(0,(M$4-$B$16)/($D$16-$B$16))))</f>
        <v>0</v>
      </c>
      <c r="N59" s="119" t="n">
        <f aca="false">N56*(1+($J$16-1)*MIN(1,MAX(0,(N$4-$B$16)/($D$16-$B$16))))</f>
        <v>2590.62602965404</v>
      </c>
      <c r="O59" s="119" t="n">
        <f aca="false">O56*(1+($J$16-1)*MIN(1,MAX(0,(O$4-$B$16)/($D$16-$B$16))))</f>
        <v>2616.48682042834</v>
      </c>
      <c r="P59" s="120" t="n">
        <f aca="false">P56*(1+($J$16-1)*MIN(1,MAX(0,(P$4-$B$16)/($D$16-$B$16))))</f>
        <v>2642.63179571664</v>
      </c>
      <c r="Q59" s="120" t="n">
        <f aca="false">Q56*(1+($J$16-1)*MIN(1,MAX(0,(Q$4-$B$16)/($D$16-$B$16))))</f>
        <v>2668.77677100494</v>
      </c>
      <c r="R59" s="120" t="n">
        <f aca="false">R56*(1+($J$16-1)*MIN(1,MAX(0,(R$4-$B$16)/($D$16-$B$16))))</f>
        <v>2694.35337726524</v>
      </c>
      <c r="S59" s="120" t="n">
        <f aca="false">S56*(1+($J$16-1)*MIN(1,MAX(0,(S$4-$B$16)/($D$16-$B$16))))</f>
        <v>2720.21416803954</v>
      </c>
      <c r="T59" s="120" t="n">
        <f aca="false">T56*(1+($J$16-1)*MIN(1,MAX(0,(T$4-$B$16)/($D$16-$B$16))))</f>
        <v>2746.35914332784</v>
      </c>
      <c r="U59" s="120" t="n">
        <f aca="false">U56*(1+($J$16-1)*MIN(1,MAX(0,(U$4-$B$16)/($D$16-$B$16))))</f>
        <v>2772.50411861614</v>
      </c>
      <c r="V59" s="120" t="n">
        <f aca="false">V56*(1+($J$16-1)*MIN(1,MAX(0,(V$4-$B$16)/($D$16-$B$16))))</f>
        <v>2798.36490939044</v>
      </c>
      <c r="W59" s="120" t="n">
        <f aca="false">W56*(1+($J$16-1)*MIN(1,MAX(0,(W$4-$B$16)/($D$16-$B$16))))</f>
        <v>2824.22570016474</v>
      </c>
      <c r="X59" s="120" t="n">
        <f aca="false">X56*(1+($J$16-1)*MIN(1,MAX(0,(X$4-$B$16)/($D$16-$B$16))))</f>
        <v>2850.37067545305</v>
      </c>
      <c r="Y59" s="120" t="n">
        <f aca="false">Y56*(1+($J$16-1)*MIN(1,MAX(0,(Y$4-$B$16)/($D$16-$B$16))))</f>
        <v>2876.51565074135</v>
      </c>
      <c r="Z59" s="120" t="n">
        <f aca="false">Z56*(1+($J$16-1)*MIN(1,MAX(0,(Z$4-$B$16)/($D$16-$B$16))))</f>
        <v>2902.09225700165</v>
      </c>
      <c r="AA59" s="120" t="n">
        <f aca="false">AA56*(1+($J$16-1)*MIN(1,MAX(0,(AA$4-$B$16)/($D$16-$B$16))))</f>
        <v>2927.95304777595</v>
      </c>
      <c r="AB59" s="120" t="n">
        <f aca="false">AB56*(1+($J$16-1)*MIN(1,MAX(0,(AB$4-$B$16)/($D$16-$B$16))))</f>
        <v>2954.09802306425</v>
      </c>
      <c r="AC59" s="120" t="n">
        <f aca="false">AC56*(1+($J$16-1)*MIN(1,MAX(0,(AC$4-$B$16)/($D$16-$B$16))))</f>
        <v>2980.24299835255</v>
      </c>
      <c r="AD59" s="120" t="n">
        <f aca="false">AD56*(1+($J$16-1)*MIN(1,MAX(0,(AD$4-$B$16)/($D$16-$B$16))))</f>
        <v>3005.81960461285</v>
      </c>
      <c r="AE59" s="120" t="n">
        <f aca="false">AE56*(1+($J$16-1)*MIN(1,MAX(0,(AE$4-$B$16)/($D$16-$B$16))))</f>
        <v>3031.68039538715</v>
      </c>
      <c r="AF59" s="120" t="n">
        <f aca="false">AF56*(1+($J$16-1)*MIN(1,MAX(0,(AF$4-$B$16)/($D$16-$B$16))))</f>
        <v>3057.82537067545</v>
      </c>
      <c r="AG59" s="120" t="n">
        <f aca="false">AG56*(1+($J$16-1)*MIN(1,MAX(0,(AG$4-$B$16)/($D$16-$B$16))))</f>
        <v>3083.97034596376</v>
      </c>
      <c r="AI59" s="120" t="n">
        <f aca="false">INDEX($F59:$AG59,1,MATCH(AI$7,$F$7:$AG$7,1))</f>
        <v>0</v>
      </c>
      <c r="AJ59" s="120" t="n">
        <f aca="false">INDEX($F59:$AG59,1,MATCH(AJ$7,$F$7:$AG$7,1))</f>
        <v>0</v>
      </c>
      <c r="AK59" s="120" t="n">
        <f aca="false">INDEX($F59:$AG59,1,MATCH(AK$7,$F$7:$AG$7,1))</f>
        <v>2668.77677100494</v>
      </c>
      <c r="AL59" s="120" t="n">
        <f aca="false">INDEX($F59:$AG59,1,MATCH(AL$7,$F$7:$AG$7,1))</f>
        <v>2772.50411861614</v>
      </c>
      <c r="AM59" s="120" t="n">
        <f aca="false">INDEX($F59:$AG59,1,MATCH(AM$7,$F$7:$AG$7,1))</f>
        <v>2876.51565074135</v>
      </c>
      <c r="AN59" s="120" t="n">
        <f aca="false">INDEX($F59:$AG59,1,MATCH(AN$7,$F$7:$AG$7,1))</f>
        <v>2980.24299835255</v>
      </c>
      <c r="AO59" s="120" t="n">
        <f aca="false">INDEX($F59:$AG59,1,MATCH(AO$7,$F$7:$AG$7,1))</f>
        <v>3083.97034596376</v>
      </c>
    </row>
    <row r="60" customFormat="false" ht="15" hidden="false" customHeight="false" outlineLevel="0" collapsed="false">
      <c r="A60" s="101" t="s">
        <v>1782</v>
      </c>
      <c r="B60" s="18" t="s">
        <v>400</v>
      </c>
      <c r="C60" s="18" t="s">
        <v>389</v>
      </c>
      <c r="D60" s="18"/>
      <c r="F60" s="119" t="n">
        <f aca="false">IF(F$5=$N$16,E56*$J$16*(1-$O$16),0)</f>
        <v>0</v>
      </c>
      <c r="G60" s="119" t="n">
        <f aca="false">IF(G$5=$N$16,F56*$J$16*(1-$O$16),0)</f>
        <v>0</v>
      </c>
      <c r="H60" s="119" t="n">
        <f aca="false">IF(H$5=$N$16,G56*$J$16*(1-$O$16),0)</f>
        <v>0</v>
      </c>
      <c r="I60" s="119" t="n">
        <f aca="false">IF(I$5=$N$16,H56*$J$16*(1-$O$16),0)</f>
        <v>0</v>
      </c>
      <c r="J60" s="119" t="n">
        <f aca="false">IF(J$5=$N$16,I56*$J$16*(1-$O$16),0)</f>
        <v>0</v>
      </c>
      <c r="K60" s="119" t="n">
        <f aca="false">IF(K$5=$N$16,J56*$J$16*(1-$O$16),0)</f>
        <v>0</v>
      </c>
      <c r="L60" s="119" t="n">
        <f aca="false">IF(L$5=$N$16,K56*$J$16*(1-$O$16),0)</f>
        <v>0</v>
      </c>
      <c r="M60" s="119" t="n">
        <f aca="false">IF(M$5=$N$16,L56*$J$16*(1-$O$16),0)</f>
        <v>0</v>
      </c>
      <c r="N60" s="119" t="n">
        <f aca="false">IF(N$5=$N$16,M56*$J$16*(1-$O$16),0)</f>
        <v>0</v>
      </c>
      <c r="O60" s="119" t="n">
        <f aca="false">IF(O$5=$N$16,N56*$J$16*(1-$O$16),0)</f>
        <v>0</v>
      </c>
      <c r="P60" s="120" t="n">
        <f aca="false">IF(P$5=$N$16,O56*$J$16*(1-$O$16),0)</f>
        <v>0</v>
      </c>
      <c r="Q60" s="120" t="n">
        <f aca="false">IF(Q$5=$N$16,P56*$J$16*(1-$O$16),0)</f>
        <v>0</v>
      </c>
      <c r="R60" s="120" t="n">
        <f aca="false">IF(R$5=$N$16,Q56*$J$16*(1-$O$16),0)</f>
        <v>0</v>
      </c>
      <c r="S60" s="120" t="n">
        <f aca="false">IF(S$5=$N$16,R56*$J$16*(1-$O$16),0)</f>
        <v>0</v>
      </c>
      <c r="T60" s="120" t="n">
        <f aca="false">IF(T$5=$N$16,S56*$J$16*(1-$O$16),0)</f>
        <v>0</v>
      </c>
      <c r="U60" s="120" t="n">
        <f aca="false">IF(U$5=$N$16,T56*$J$16*(1-$O$16),0)</f>
        <v>0</v>
      </c>
      <c r="V60" s="120" t="n">
        <f aca="false">IF(V$5=$N$16,U56*$J$16*(1-$O$16),0)</f>
        <v>0</v>
      </c>
      <c r="W60" s="120" t="n">
        <f aca="false">IF(W$5=$N$16,V56*$J$16*(1-$O$16),0)</f>
        <v>0</v>
      </c>
      <c r="X60" s="120" t="n">
        <f aca="false">IF(X$5=$N$16,W56*$J$16*(1-$O$16),0)</f>
        <v>0</v>
      </c>
      <c r="Y60" s="120" t="n">
        <f aca="false">IF(Y$5=$N$16,X56*$J$16*(1-$O$16),0)</f>
        <v>0</v>
      </c>
      <c r="Z60" s="120" t="n">
        <f aca="false">IF(Z$5=$N$16,Y56*$J$16*(1-$O$16),0)</f>
        <v>0</v>
      </c>
      <c r="AA60" s="120" t="n">
        <f aca="false">IF(AA$5=$N$16,Z56*$J$16*(1-$O$16),0)</f>
        <v>0</v>
      </c>
      <c r="AB60" s="120" t="n">
        <f aca="false">IF(AB$5=$N$16,AA56*$J$16*(1-$O$16),0)</f>
        <v>0</v>
      </c>
      <c r="AC60" s="120" t="n">
        <f aca="false">IF(AC$5=$N$16,AB56*$J$16*(1-$O$16),0)</f>
        <v>0</v>
      </c>
      <c r="AD60" s="120" t="n">
        <f aca="false">IF(AD$5=$N$16,AC56*$J$16*(1-$O$16),0)</f>
        <v>0</v>
      </c>
      <c r="AE60" s="120" t="n">
        <f aca="false">IF(AE$5=$N$16,AD56*$J$16*(1-$O$16),0)</f>
        <v>0</v>
      </c>
      <c r="AF60" s="120" t="n">
        <f aca="false">IF(AF$5=$N$16,AE56*$J$16*(1-$O$16),0)</f>
        <v>0</v>
      </c>
      <c r="AG60" s="120" t="n">
        <f aca="false">IF(AG$5=$N$16,AF56*$J$16*(1-$O$16),0)</f>
        <v>0</v>
      </c>
      <c r="AI60" s="120" t="n">
        <f aca="false">SUMIF($F$7:$AG$7,AI$7,$F60:$AG60)</f>
        <v>0</v>
      </c>
      <c r="AJ60" s="120" t="n">
        <f aca="false">SUMIF($F$7:$AG$7,AJ$7,$F60:$AG60)</f>
        <v>0</v>
      </c>
      <c r="AK60" s="120" t="n">
        <f aca="false">SUMIF($F$7:$AG$7,AK$7,$F60:$AG60)</f>
        <v>0</v>
      </c>
      <c r="AL60" s="120" t="n">
        <f aca="false">SUMIF($F$7:$AG$7,AL$7,$F60:$AG60)</f>
        <v>0</v>
      </c>
      <c r="AM60" s="120" t="n">
        <f aca="false">SUMIF($F$7:$AG$7,AM$7,$F60:$AG60)</f>
        <v>0</v>
      </c>
      <c r="AN60" s="120" t="n">
        <f aca="false">SUMIF($F$7:$AG$7,AN$7,$F60:$AG60)</f>
        <v>0</v>
      </c>
      <c r="AO60" s="120" t="n">
        <f aca="false">SUMIF($F$7:$AG$7,AO$7,$F60:$AG60)</f>
        <v>0</v>
      </c>
    </row>
    <row r="61" customFormat="false" ht="15" hidden="false" customHeight="false" outlineLevel="0" collapsed="false">
      <c r="A61" s="101" t="s">
        <v>1783</v>
      </c>
      <c r="B61" s="18" t="s">
        <v>781</v>
      </c>
      <c r="C61" s="18" t="s">
        <v>389</v>
      </c>
      <c r="D61" s="18"/>
      <c r="F61" s="131" t="n">
        <f aca="false">IF(F$5=$N$16,E56*$K$16/1000*$O$16,0)</f>
        <v>0</v>
      </c>
      <c r="G61" s="131" t="n">
        <f aca="false">IF(G$5=$N$16,F56*$K$16/1000*$O$16,0)</f>
        <v>0</v>
      </c>
      <c r="H61" s="131" t="n">
        <f aca="false">IF(H$5=$N$16,G56*$K$16/1000*$O$16,0)</f>
        <v>0</v>
      </c>
      <c r="I61" s="131" t="n">
        <f aca="false">IF(I$5=$N$16,H56*$K$16/1000*$O$16,0)</f>
        <v>0</v>
      </c>
      <c r="J61" s="131" t="n">
        <f aca="false">IF(J$5=$N$16,I56*$K$16/1000*$O$16,0)</f>
        <v>0</v>
      </c>
      <c r="K61" s="131" t="n">
        <f aca="false">IF(K$5=$N$16,J56*$K$16/1000*$O$16,0)</f>
        <v>0</v>
      </c>
      <c r="L61" s="131" t="n">
        <f aca="false">IF(L$5=$N$16,K56*$K$16/1000*$O$16,0)</f>
        <v>0</v>
      </c>
      <c r="M61" s="131" t="n">
        <f aca="false">IF(M$5=$N$16,L56*$K$16/1000*$O$16,0)</f>
        <v>0</v>
      </c>
      <c r="N61" s="131" t="n">
        <f aca="false">IF(N$5=$N$16,M56*$K$16/1000*$O$16,0)</f>
        <v>0</v>
      </c>
      <c r="O61" s="131" t="n">
        <f aca="false">IF(O$5=$N$16,N56*$K$16/1000*$O$16,0)</f>
        <v>0</v>
      </c>
      <c r="P61" s="37" t="n">
        <f aca="false">IF(P$5=$N$16,O56*$K$16/1000*$O$16,0)</f>
        <v>0</v>
      </c>
      <c r="Q61" s="37" t="n">
        <f aca="false">IF(Q$5=$N$16,P56*$K$16/1000*$O$16,0)</f>
        <v>0</v>
      </c>
      <c r="R61" s="37" t="n">
        <f aca="false">IF(R$5=$N$16,Q56*$K$16/1000*$O$16,0)</f>
        <v>0</v>
      </c>
      <c r="S61" s="37" t="n">
        <f aca="false">IF(S$5=$N$16,R56*$K$16/1000*$O$16,0)</f>
        <v>0</v>
      </c>
      <c r="T61" s="37" t="n">
        <f aca="false">IF(T$5=$N$16,S56*$K$16/1000*$O$16,0)</f>
        <v>0</v>
      </c>
      <c r="U61" s="37" t="n">
        <f aca="false">IF(U$5=$N$16,T56*$K$16/1000*$O$16,0)</f>
        <v>0</v>
      </c>
      <c r="V61" s="37" t="n">
        <f aca="false">IF(V$5=$N$16,U56*$K$16/1000*$O$16,0)</f>
        <v>0</v>
      </c>
      <c r="W61" s="37" t="n">
        <f aca="false">IF(W$5=$N$16,V56*$K$16/1000*$O$16,0)</f>
        <v>0</v>
      </c>
      <c r="X61" s="37" t="n">
        <f aca="false">IF(X$5=$N$16,W56*$K$16/1000*$O$16,0)</f>
        <v>0</v>
      </c>
      <c r="Y61" s="37" t="n">
        <f aca="false">IF(Y$5=$N$16,X56*$K$16/1000*$O$16,0)</f>
        <v>0</v>
      </c>
      <c r="Z61" s="37" t="n">
        <f aca="false">IF(Z$5=$N$16,Y56*$K$16/1000*$O$16,0)</f>
        <v>0</v>
      </c>
      <c r="AA61" s="37" t="n">
        <f aca="false">IF(AA$5=$N$16,Z56*$K$16/1000*$O$16,0)</f>
        <v>0</v>
      </c>
      <c r="AB61" s="37" t="n">
        <f aca="false">IF(AB$5=$N$16,AA56*$K$16/1000*$O$16,0)</f>
        <v>0</v>
      </c>
      <c r="AC61" s="37" t="n">
        <f aca="false">IF(AC$5=$N$16,AB56*$K$16/1000*$O$16,0)</f>
        <v>0</v>
      </c>
      <c r="AD61" s="37" t="n">
        <f aca="false">IF(AD$5=$N$16,AC56*$K$16/1000*$O$16,0)</f>
        <v>0</v>
      </c>
      <c r="AE61" s="37" t="n">
        <f aca="false">IF(AE$5=$N$16,AD56*$K$16/1000*$O$16,0)</f>
        <v>0</v>
      </c>
      <c r="AF61" s="37" t="n">
        <f aca="false">IF(AF$5=$N$16,AE56*$K$16/1000*$O$16,0)</f>
        <v>0</v>
      </c>
      <c r="AG61" s="37" t="n">
        <f aca="false">IF(AG$5=$N$16,AF56*$K$16/1000*$O$16,0)</f>
        <v>0</v>
      </c>
      <c r="AI61" s="37" t="n">
        <f aca="false">SUMIF($F$7:$AG$7,AI$7,$F61:$AG61)</f>
        <v>0</v>
      </c>
      <c r="AJ61" s="37" t="n">
        <f aca="false">SUMIF($F$7:$AG$7,AJ$7,$F61:$AG61)</f>
        <v>0</v>
      </c>
      <c r="AK61" s="37" t="n">
        <f aca="false">SUMIF($F$7:$AG$7,AK$7,$F61:$AG61)</f>
        <v>0</v>
      </c>
      <c r="AL61" s="37" t="n">
        <f aca="false">SUMIF($F$7:$AG$7,AL$7,$F61:$AG61)</f>
        <v>0</v>
      </c>
      <c r="AM61" s="37" t="n">
        <f aca="false">SUMIF($F$7:$AG$7,AM$7,$F61:$AG61)</f>
        <v>0</v>
      </c>
      <c r="AN61" s="37" t="n">
        <f aca="false">SUMIF($F$7:$AG$7,AN$7,$F61:$AG61)</f>
        <v>0</v>
      </c>
      <c r="AO61" s="37" t="n">
        <f aca="false">SUMIF($F$7:$AG$7,AO$7,$F61:$AG61)</f>
        <v>0</v>
      </c>
    </row>
    <row r="62" customFormat="false" ht="15" hidden="false" customHeight="false" outlineLevel="0" collapsed="false">
      <c r="A62" s="101" t="s">
        <v>1784</v>
      </c>
      <c r="B62" s="18" t="s">
        <v>781</v>
      </c>
      <c r="C62" s="18" t="s">
        <v>336</v>
      </c>
      <c r="D62" s="18"/>
      <c r="F62" s="131" t="n">
        <f aca="false">IF(DilMethod=3,MAX(0,F56*$K$16/1000*DilPx-F59)/DilPx,F56*$K$16/1000*$P$16)</f>
        <v>0</v>
      </c>
      <c r="G62" s="131" t="n">
        <f aca="false">IF(DilMethod=3,MAX(0,G56*$K$16/1000*DilPx-G59)/DilPx,G56*$K$16/1000*$P$16)</f>
        <v>0</v>
      </c>
      <c r="H62" s="131" t="n">
        <f aca="false">IF(DilMethod=3,MAX(0,H56*$K$16/1000*DilPx-H59)/DilPx,H56*$K$16/1000*$P$16)</f>
        <v>0</v>
      </c>
      <c r="I62" s="131" t="n">
        <f aca="false">IF(DilMethod=3,MAX(0,I56*$K$16/1000*DilPx-I59)/DilPx,I56*$K$16/1000*$P$16)</f>
        <v>0</v>
      </c>
      <c r="J62" s="131" t="n">
        <f aca="false">IF(DilMethod=3,MAX(0,J56*$K$16/1000*DilPx-J59)/DilPx,J56*$K$16/1000*$P$16)</f>
        <v>0</v>
      </c>
      <c r="K62" s="131" t="n">
        <f aca="false">IF(DilMethod=3,MAX(0,K56*$K$16/1000*DilPx-K59)/DilPx,K56*$K$16/1000*$P$16)</f>
        <v>0</v>
      </c>
      <c r="L62" s="131" t="n">
        <f aca="false">IF(DilMethod=3,MAX(0,L56*$K$16/1000*DilPx-L59)/DilPx,L56*$K$16/1000*$P$16)</f>
        <v>0</v>
      </c>
      <c r="M62" s="131" t="n">
        <f aca="false">IF(DilMethod=3,MAX(0,M56*$K$16/1000*DilPx-M59)/DilPx,M56*$K$16/1000*$P$16)</f>
        <v>0</v>
      </c>
      <c r="N62" s="131" t="n">
        <f aca="false">IF(DilMethod=3,MAX(0,N56*$K$16/1000*DilPx-N59)/DilPx,N56*$K$16/1000*$P$16)</f>
        <v>0</v>
      </c>
      <c r="O62" s="131" t="n">
        <f aca="false">IF(DilMethod=3,MAX(0,O56*$K$16/1000*DilPx-O59)/DilPx,O56*$K$16/1000*$P$16)</f>
        <v>0</v>
      </c>
      <c r="P62" s="37" t="n">
        <f aca="false">IF(DilMethod=3,MAX(0,P56*$K$16/1000*DilPx-P59)/DilPx,P56*$K$16/1000*$P$16)</f>
        <v>0</v>
      </c>
      <c r="Q62" s="37" t="n">
        <f aca="false">IF(DilMethod=3,MAX(0,Q56*$K$16/1000*DilPx-Q59)/DilPx,Q56*$K$16/1000*$P$16)</f>
        <v>0</v>
      </c>
      <c r="R62" s="37" t="n">
        <f aca="false">IF(DilMethod=3,MAX(0,R56*$K$16/1000*DilPx-R59)/DilPx,R56*$K$16/1000*$P$16)</f>
        <v>0</v>
      </c>
      <c r="S62" s="37" t="n">
        <f aca="false">IF(DilMethod=3,MAX(0,S56*$K$16/1000*DilPx-S59)/DilPx,S56*$K$16/1000*$P$16)</f>
        <v>0</v>
      </c>
      <c r="T62" s="37" t="n">
        <f aca="false">IF(DilMethod=3,MAX(0,T56*$K$16/1000*DilPx-T59)/DilPx,T56*$K$16/1000*$P$16)</f>
        <v>0</v>
      </c>
      <c r="U62" s="37" t="n">
        <f aca="false">IF(DilMethod=3,MAX(0,U56*$K$16/1000*DilPx-U59)/DilPx,U56*$K$16/1000*$P$16)</f>
        <v>0</v>
      </c>
      <c r="V62" s="37" t="n">
        <f aca="false">IF(DilMethod=3,MAX(0,V56*$K$16/1000*DilPx-V59)/DilPx,V56*$K$16/1000*$P$16)</f>
        <v>0</v>
      </c>
      <c r="W62" s="37" t="n">
        <f aca="false">IF(DilMethod=3,MAX(0,W56*$K$16/1000*DilPx-W59)/DilPx,W56*$K$16/1000*$P$16)</f>
        <v>0</v>
      </c>
      <c r="X62" s="37" t="n">
        <f aca="false">IF(DilMethod=3,MAX(0,X56*$K$16/1000*DilPx-X59)/DilPx,X56*$K$16/1000*$P$16)</f>
        <v>0</v>
      </c>
      <c r="Y62" s="37" t="n">
        <f aca="false">IF(DilMethod=3,MAX(0,Y56*$K$16/1000*DilPx-Y59)/DilPx,Y56*$K$16/1000*$P$16)</f>
        <v>0</v>
      </c>
      <c r="Z62" s="37" t="n">
        <f aca="false">IF(DilMethod=3,MAX(0,Z56*$K$16/1000*DilPx-Z59)/DilPx,Z56*$K$16/1000*$P$16)</f>
        <v>0</v>
      </c>
      <c r="AA62" s="37" t="n">
        <f aca="false">IF(DilMethod=3,MAX(0,AA56*$K$16/1000*DilPx-AA59)/DilPx,AA56*$K$16/1000*$P$16)</f>
        <v>0</v>
      </c>
      <c r="AB62" s="37" t="n">
        <f aca="false">IF(DilMethod=3,MAX(0,AB56*$K$16/1000*DilPx-AB59)/DilPx,AB56*$K$16/1000*$P$16)</f>
        <v>0</v>
      </c>
      <c r="AC62" s="37" t="n">
        <f aca="false">IF(DilMethod=3,MAX(0,AC56*$K$16/1000*DilPx-AC59)/DilPx,AC56*$K$16/1000*$P$16)</f>
        <v>0</v>
      </c>
      <c r="AD62" s="37" t="n">
        <f aca="false">IF(DilMethod=3,MAX(0,AD56*$K$16/1000*DilPx-AD59)/DilPx,AD56*$K$16/1000*$P$16)</f>
        <v>0</v>
      </c>
      <c r="AE62" s="37" t="n">
        <f aca="false">IF(DilMethod=3,MAX(0,AE56*$K$16/1000*DilPx-AE59)/DilPx,AE56*$K$16/1000*$P$16)</f>
        <v>0</v>
      </c>
      <c r="AF62" s="37" t="n">
        <f aca="false">IF(DilMethod=3,MAX(0,AF56*$K$16/1000*DilPx-AF59)/DilPx,AF56*$K$16/1000*$P$16)</f>
        <v>0</v>
      </c>
      <c r="AG62" s="37" t="n">
        <f aca="false">IF(DilMethod=3,MAX(0,AG56*$K$16/1000*DilPx-AG59)/DilPx,AG56*$K$16/1000*$P$16)</f>
        <v>0</v>
      </c>
      <c r="AI62" s="37" t="n">
        <f aca="false">INDEX($F62:$AG62,1,MATCH(AI$7,$F$7:$AG$7,1))</f>
        <v>0</v>
      </c>
      <c r="AJ62" s="37" t="n">
        <f aca="false">INDEX($F62:$AG62,1,MATCH(AJ$7,$F$7:$AG$7,1))</f>
        <v>0</v>
      </c>
      <c r="AK62" s="37" t="n">
        <f aca="false">INDEX($F62:$AG62,1,MATCH(AK$7,$F$7:$AG$7,1))</f>
        <v>0</v>
      </c>
      <c r="AL62" s="37" t="n">
        <f aca="false">INDEX($F62:$AG62,1,MATCH(AL$7,$F$7:$AG$7,1))</f>
        <v>0</v>
      </c>
      <c r="AM62" s="37" t="n">
        <f aca="false">INDEX($F62:$AG62,1,MATCH(AM$7,$F$7:$AG$7,1))</f>
        <v>0</v>
      </c>
      <c r="AN62" s="37" t="n">
        <f aca="false">INDEX($F62:$AG62,1,MATCH(AN$7,$F$7:$AG$7,1))</f>
        <v>0</v>
      </c>
      <c r="AO62" s="37" t="n">
        <f aca="false">INDEX($F62:$AG62,1,MATCH(AO$7,$F$7:$AG$7,1))</f>
        <v>0</v>
      </c>
    </row>
    <row r="63" customFormat="false" ht="15" hidden="false" customHeight="false" outlineLevel="0" collapsed="false">
      <c r="A63" s="101" t="s">
        <v>1785</v>
      </c>
      <c r="B63" s="18" t="s">
        <v>400</v>
      </c>
      <c r="C63" s="18" t="s">
        <v>336</v>
      </c>
      <c r="D63" s="18"/>
      <c r="F63" s="119" t="n">
        <f aca="false">F59*IF(DilMethod=3,1,1-$P$16)</f>
        <v>0</v>
      </c>
      <c r="G63" s="119" t="n">
        <f aca="false">G59*IF(DilMethod=3,1,1-$P$16)</f>
        <v>0</v>
      </c>
      <c r="H63" s="119" t="n">
        <f aca="false">H59*IF(DilMethod=3,1,1-$P$16)</f>
        <v>0</v>
      </c>
      <c r="I63" s="119" t="n">
        <f aca="false">I59*IF(DilMethod=3,1,1-$P$16)</f>
        <v>0</v>
      </c>
      <c r="J63" s="119" t="n">
        <f aca="false">J59*IF(DilMethod=3,1,1-$P$16)</f>
        <v>0</v>
      </c>
      <c r="K63" s="119" t="n">
        <f aca="false">K59*IF(DilMethod=3,1,1-$P$16)</f>
        <v>0</v>
      </c>
      <c r="L63" s="119" t="n">
        <f aca="false">L59*IF(DilMethod=3,1,1-$P$16)</f>
        <v>0</v>
      </c>
      <c r="M63" s="119" t="n">
        <f aca="false">M59*IF(DilMethod=3,1,1-$P$16)</f>
        <v>0</v>
      </c>
      <c r="N63" s="119" t="n">
        <f aca="false">N59*IF(DilMethod=3,1,1-$P$16)</f>
        <v>2590.62602965404</v>
      </c>
      <c r="O63" s="119" t="n">
        <f aca="false">O59*IF(DilMethod=3,1,1-$P$16)</f>
        <v>2616.48682042834</v>
      </c>
      <c r="P63" s="120" t="n">
        <f aca="false">P59*IF(DilMethod=3,1,1-$P$16)</f>
        <v>2642.63179571664</v>
      </c>
      <c r="Q63" s="120" t="n">
        <f aca="false">Q59*IF(DilMethod=3,1,1-$P$16)</f>
        <v>2668.77677100494</v>
      </c>
      <c r="R63" s="120" t="n">
        <f aca="false">R59*IF(DilMethod=3,1,1-$P$16)</f>
        <v>2694.35337726524</v>
      </c>
      <c r="S63" s="120" t="n">
        <f aca="false">S59*IF(DilMethod=3,1,1-$P$16)</f>
        <v>2720.21416803954</v>
      </c>
      <c r="T63" s="120" t="n">
        <f aca="false">T59*IF(DilMethod=3,1,1-$P$16)</f>
        <v>2746.35914332784</v>
      </c>
      <c r="U63" s="120" t="n">
        <f aca="false">U59*IF(DilMethod=3,1,1-$P$16)</f>
        <v>2772.50411861614</v>
      </c>
      <c r="V63" s="120" t="n">
        <f aca="false">V59*IF(DilMethod=3,1,1-$P$16)</f>
        <v>2798.36490939044</v>
      </c>
      <c r="W63" s="120" t="n">
        <f aca="false">W59*IF(DilMethod=3,1,1-$P$16)</f>
        <v>2824.22570016474</v>
      </c>
      <c r="X63" s="120" t="n">
        <f aca="false">X59*IF(DilMethod=3,1,1-$P$16)</f>
        <v>2850.37067545305</v>
      </c>
      <c r="Y63" s="120" t="n">
        <f aca="false">Y59*IF(DilMethod=3,1,1-$P$16)</f>
        <v>2876.51565074135</v>
      </c>
      <c r="Z63" s="120" t="n">
        <f aca="false">Z59*IF(DilMethod=3,1,1-$P$16)</f>
        <v>2902.09225700165</v>
      </c>
      <c r="AA63" s="120" t="n">
        <f aca="false">AA59*IF(DilMethod=3,1,1-$P$16)</f>
        <v>2927.95304777595</v>
      </c>
      <c r="AB63" s="120" t="n">
        <f aca="false">AB59*IF(DilMethod=3,1,1-$P$16)</f>
        <v>2954.09802306425</v>
      </c>
      <c r="AC63" s="120" t="n">
        <f aca="false">AC59*IF(DilMethod=3,1,1-$P$16)</f>
        <v>2980.24299835255</v>
      </c>
      <c r="AD63" s="120" t="n">
        <f aca="false">AD59*IF(DilMethod=3,1,1-$P$16)</f>
        <v>3005.81960461285</v>
      </c>
      <c r="AE63" s="120" t="n">
        <f aca="false">AE59*IF(DilMethod=3,1,1-$P$16)</f>
        <v>3031.68039538715</v>
      </c>
      <c r="AF63" s="120" t="n">
        <f aca="false">AF59*IF(DilMethod=3,1,1-$P$16)</f>
        <v>3057.82537067545</v>
      </c>
      <c r="AG63" s="120" t="n">
        <f aca="false">AG59*IF(DilMethod=3,1,1-$P$16)</f>
        <v>3083.97034596376</v>
      </c>
      <c r="AI63" s="120" t="n">
        <f aca="false">INDEX($F63:$AG63,1,MATCH(AI$7,$F$7:$AG$7,1))</f>
        <v>0</v>
      </c>
      <c r="AJ63" s="120" t="n">
        <f aca="false">INDEX($F63:$AG63,1,MATCH(AJ$7,$F$7:$AG$7,1))</f>
        <v>0</v>
      </c>
      <c r="AK63" s="120" t="n">
        <f aca="false">INDEX($F63:$AG63,1,MATCH(AK$7,$F$7:$AG$7,1))</f>
        <v>2668.77677100494</v>
      </c>
      <c r="AL63" s="120" t="n">
        <f aca="false">INDEX($F63:$AG63,1,MATCH(AL$7,$F$7:$AG$7,1))</f>
        <v>2772.50411861614</v>
      </c>
      <c r="AM63" s="120" t="n">
        <f aca="false">INDEX($F63:$AG63,1,MATCH(AM$7,$F$7:$AG$7,1))</f>
        <v>2876.51565074135</v>
      </c>
      <c r="AN63" s="120" t="n">
        <f aca="false">INDEX($F63:$AG63,1,MATCH(AN$7,$F$7:$AG$7,1))</f>
        <v>2980.24299835255</v>
      </c>
      <c r="AO63" s="120" t="n">
        <f aca="false">INDEX($F63:$AG63,1,MATCH(AO$7,$F$7:$AG$7,1))</f>
        <v>3083.97034596376</v>
      </c>
    </row>
    <row r="64" customFormat="false" ht="15" hidden="false" customHeight="false" outlineLevel="0" collapsed="false">
      <c r="A64" s="101" t="s">
        <v>1786</v>
      </c>
      <c r="B64" s="18" t="s">
        <v>400</v>
      </c>
      <c r="C64" s="18" t="s">
        <v>389</v>
      </c>
      <c r="D64" s="18"/>
      <c r="F64" s="119" t="n">
        <f aca="false">IF(AND(F$5&gt;=$M$17,F$5&lt;$N$17),$E$17-$F$17-IF(F$5&gt;=$H$17,$G$17,0),0)*($H$17&lt;&gt;0)+IF(AND(F$5&gt;=$M$17,F$5&lt;$N$17),$E$17-$F$17,0)*($H$17=0)</f>
        <v>0</v>
      </c>
      <c r="G64" s="119" t="n">
        <f aca="false">IF(AND(G$5&gt;=$M$17,G$5&lt;$N$17),$E$17-$F$17-IF(G$5&gt;=$H$17,$G$17,0),0)*($H$17&lt;&gt;0)+IF(AND(G$5&gt;=$M$17,G$5&lt;$N$17),$E$17-$F$17,0)*($H$17=0)</f>
        <v>0</v>
      </c>
      <c r="H64" s="119" t="n">
        <f aca="false">IF(AND(H$5&gt;=$M$17,H$5&lt;$N$17),$E$17-$F$17-IF(H$5&gt;=$H$17,$G$17,0),0)*($H$17&lt;&gt;0)+IF(AND(H$5&gt;=$M$17,H$5&lt;$N$17),$E$17-$F$17,0)*($H$17=0)</f>
        <v>0</v>
      </c>
      <c r="I64" s="119" t="n">
        <f aca="false">IF(AND(I$5&gt;=$M$17,I$5&lt;$N$17),$E$17-$F$17-IF(I$5&gt;=$H$17,$G$17,0),0)*($H$17&lt;&gt;0)+IF(AND(I$5&gt;=$M$17,I$5&lt;$N$17),$E$17-$F$17,0)*($H$17=0)</f>
        <v>0</v>
      </c>
      <c r="J64" s="119" t="n">
        <f aca="false">IF(AND(J$5&gt;=$M$17,J$5&lt;$N$17),$E$17-$F$17-IF(J$5&gt;=$H$17,$G$17,0),0)*($H$17&lt;&gt;0)+IF(AND(J$5&gt;=$M$17,J$5&lt;$N$17),$E$17-$F$17,0)*($H$17=0)</f>
        <v>0</v>
      </c>
      <c r="K64" s="119" t="n">
        <f aca="false">IF(AND(K$5&gt;=$M$17,K$5&lt;$N$17),$E$17-$F$17-IF(K$5&gt;=$H$17,$G$17,0),0)*($H$17&lt;&gt;0)+IF(AND(K$5&gt;=$M$17,K$5&lt;$N$17),$E$17-$F$17,0)*($H$17=0)</f>
        <v>0</v>
      </c>
      <c r="L64" s="119" t="n">
        <f aca="false">IF(AND(L$5&gt;=$M$17,L$5&lt;$N$17),$E$17-$F$17-IF(L$5&gt;=$H$17,$G$17,0),0)*($H$17&lt;&gt;0)+IF(AND(L$5&gt;=$M$17,L$5&lt;$N$17),$E$17-$F$17,0)*($H$17=0)</f>
        <v>0</v>
      </c>
      <c r="M64" s="119" t="n">
        <f aca="false">IF(AND(M$5&gt;=$M$17,M$5&lt;$N$17),$E$17-$F$17-IF(M$5&gt;=$H$17,$G$17,0),0)*($H$17&lt;&gt;0)+IF(AND(M$5&gt;=$M$17,M$5&lt;$N$17),$E$17-$F$17,0)*($H$17=0)</f>
        <v>0</v>
      </c>
      <c r="N64" s="119" t="n">
        <f aca="false">IF(AND(N$5&gt;=$M$17,N$5&lt;$N$17),$E$17-$F$17-IF(N$5&gt;=$H$17,$G$17,0),0)*($H$17&lt;&gt;0)+IF(AND(N$5&gt;=$M$17,N$5&lt;$N$17),$E$17-$F$17,0)*($H$17=0)</f>
        <v>1750</v>
      </c>
      <c r="O64" s="119" t="n">
        <f aca="false">IF(AND(O$5&gt;=$M$17,O$5&lt;$N$17),$E$17-$F$17-IF(O$5&gt;=$H$17,$G$17,0),0)*($H$17&lt;&gt;0)+IF(AND(O$5&gt;=$M$17,O$5&lt;$N$17),$E$17-$F$17,0)*($H$17=0)</f>
        <v>1750</v>
      </c>
      <c r="P64" s="120" t="n">
        <f aca="false">IF(AND(P$5&gt;=$M$17,P$5&lt;$N$17),$E$17-$F$17-IF(P$5&gt;=$H$17,$G$17,0),0)*($H$17&lt;&gt;0)+IF(AND(P$5&gt;=$M$17,P$5&lt;$N$17),$E$17-$F$17,0)*($H$17=0)</f>
        <v>1750</v>
      </c>
      <c r="Q64" s="120" t="n">
        <f aca="false">IF(AND(Q$5&gt;=$M$17,Q$5&lt;$N$17),$E$17-$F$17-IF(Q$5&gt;=$H$17,$G$17,0),0)*($H$17&lt;&gt;0)+IF(AND(Q$5&gt;=$M$17,Q$5&lt;$N$17),$E$17-$F$17,0)*($H$17=0)</f>
        <v>1750</v>
      </c>
      <c r="R64" s="120" t="n">
        <f aca="false">IF(AND(R$5&gt;=$M$17,R$5&lt;$N$17),$E$17-$F$17-IF(R$5&gt;=$H$17,$G$17,0),0)*($H$17&lt;&gt;0)+IF(AND(R$5&gt;=$M$17,R$5&lt;$N$17),$E$17-$F$17,0)*($H$17=0)</f>
        <v>1750</v>
      </c>
      <c r="S64" s="120" t="n">
        <f aca="false">IF(AND(S$5&gt;=$M$17,S$5&lt;$N$17),$E$17-$F$17-IF(S$5&gt;=$H$17,$G$17,0),0)*($H$17&lt;&gt;0)+IF(AND(S$5&gt;=$M$17,S$5&lt;$N$17),$E$17-$F$17,0)*($H$17=0)</f>
        <v>1750</v>
      </c>
      <c r="T64" s="120" t="n">
        <f aca="false">IF(AND(T$5&gt;=$M$17,T$5&lt;$N$17),$E$17-$F$17-IF(T$5&gt;=$H$17,$G$17,0),0)*($H$17&lt;&gt;0)+IF(AND(T$5&gt;=$M$17,T$5&lt;$N$17),$E$17-$F$17,0)*($H$17=0)</f>
        <v>1750</v>
      </c>
      <c r="U64" s="120" t="n">
        <f aca="false">IF(AND(U$5&gt;=$M$17,U$5&lt;$N$17),$E$17-$F$17-IF(U$5&gt;=$H$17,$G$17,0),0)*($H$17&lt;&gt;0)+IF(AND(U$5&gt;=$M$17,U$5&lt;$N$17),$E$17-$F$17,0)*($H$17=0)</f>
        <v>1750</v>
      </c>
      <c r="V64" s="120" t="n">
        <f aca="false">IF(AND(V$5&gt;=$M$17,V$5&lt;$N$17),$E$17-$F$17-IF(V$5&gt;=$H$17,$G$17,0),0)*($H$17&lt;&gt;0)+IF(AND(V$5&gt;=$M$17,V$5&lt;$N$17),$E$17-$F$17,0)*($H$17=0)</f>
        <v>1750</v>
      </c>
      <c r="W64" s="120" t="n">
        <f aca="false">IF(AND(W$5&gt;=$M$17,W$5&lt;$N$17),$E$17-$F$17-IF(W$5&gt;=$H$17,$G$17,0),0)*($H$17&lt;&gt;0)+IF(AND(W$5&gt;=$M$17,W$5&lt;$N$17),$E$17-$F$17,0)*($H$17=0)</f>
        <v>1750</v>
      </c>
      <c r="X64" s="120" t="n">
        <f aca="false">IF(AND(X$5&gt;=$M$17,X$5&lt;$N$17),$E$17-$F$17-IF(X$5&gt;=$H$17,$G$17,0),0)*($H$17&lt;&gt;0)+IF(AND(X$5&gt;=$M$17,X$5&lt;$N$17),$E$17-$F$17,0)*($H$17=0)</f>
        <v>1750</v>
      </c>
      <c r="Y64" s="120" t="n">
        <f aca="false">IF(AND(Y$5&gt;=$M$17,Y$5&lt;$N$17),$E$17-$F$17-IF(Y$5&gt;=$H$17,$G$17,0),0)*($H$17&lt;&gt;0)+IF(AND(Y$5&gt;=$M$17,Y$5&lt;$N$17),$E$17-$F$17,0)*($H$17=0)</f>
        <v>1750</v>
      </c>
      <c r="Z64" s="120" t="n">
        <f aca="false">IF(AND(Z$5&gt;=$M$17,Z$5&lt;$N$17),$E$17-$F$17-IF(Z$5&gt;=$H$17,$G$17,0),0)*($H$17&lt;&gt;0)+IF(AND(Z$5&gt;=$M$17,Z$5&lt;$N$17),$E$17-$F$17,0)*($H$17=0)</f>
        <v>1750</v>
      </c>
      <c r="AA64" s="120" t="n">
        <f aca="false">IF(AND(AA$5&gt;=$M$17,AA$5&lt;$N$17),$E$17-$F$17-IF(AA$5&gt;=$H$17,$G$17,0),0)*($H$17&lt;&gt;0)+IF(AND(AA$5&gt;=$M$17,AA$5&lt;$N$17),$E$17-$F$17,0)*($H$17=0)</f>
        <v>1750</v>
      </c>
      <c r="AB64" s="120" t="n">
        <f aca="false">IF(AND(AB$5&gt;=$M$17,AB$5&lt;$N$17),$E$17-$F$17-IF(AB$5&gt;=$H$17,$G$17,0),0)*($H$17&lt;&gt;0)+IF(AND(AB$5&gt;=$M$17,AB$5&lt;$N$17),$E$17-$F$17,0)*($H$17=0)</f>
        <v>1750</v>
      </c>
      <c r="AC64" s="120" t="n">
        <f aca="false">IF(AND(AC$5&gt;=$M$17,AC$5&lt;$N$17),$E$17-$F$17-IF(AC$5&gt;=$H$17,$G$17,0),0)*($H$17&lt;&gt;0)+IF(AND(AC$5&gt;=$M$17,AC$5&lt;$N$17),$E$17-$F$17,0)*($H$17=0)</f>
        <v>1750</v>
      </c>
      <c r="AD64" s="120" t="n">
        <f aca="false">IF(AND(AD$5&gt;=$M$17,AD$5&lt;$N$17),$E$17-$F$17-IF(AD$5&gt;=$H$17,$G$17,0),0)*($H$17&lt;&gt;0)+IF(AND(AD$5&gt;=$M$17,AD$5&lt;$N$17),$E$17-$F$17,0)*($H$17=0)</f>
        <v>1750</v>
      </c>
      <c r="AE64" s="120" t="n">
        <f aca="false">IF(AND(AE$5&gt;=$M$17,AE$5&lt;$N$17),$E$17-$F$17-IF(AE$5&gt;=$H$17,$G$17,0),0)*($H$17&lt;&gt;0)+IF(AND(AE$5&gt;=$M$17,AE$5&lt;$N$17),$E$17-$F$17,0)*($H$17=0)</f>
        <v>1750</v>
      </c>
      <c r="AF64" s="120" t="n">
        <f aca="false">IF(AND(AF$5&gt;=$M$17,AF$5&lt;$N$17),$E$17-$F$17-IF(AF$5&gt;=$H$17,$G$17,0),0)*($H$17&lt;&gt;0)+IF(AND(AF$5&gt;=$M$17,AF$5&lt;$N$17),$E$17-$F$17,0)*($H$17=0)</f>
        <v>1750</v>
      </c>
      <c r="AG64" s="120" t="n">
        <f aca="false">IF(AND(AG$5&gt;=$M$17,AG$5&lt;$N$17),$E$17-$F$17-IF(AG$5&gt;=$H$17,$G$17,0),0)*($H$17&lt;&gt;0)+IF(AND(AG$5&gt;=$M$17,AG$5&lt;$N$17),$E$17-$F$17,0)*($H$17=0)</f>
        <v>1750</v>
      </c>
      <c r="AI64" s="120" t="n">
        <f aca="false">INDEX($F64:$AG64,1,MATCH(AI$7,$F$7:$AG$7,1))</f>
        <v>0</v>
      </c>
      <c r="AJ64" s="120" t="n">
        <f aca="false">INDEX($F64:$AG64,1,MATCH(AJ$7,$F$7:$AG$7,1))</f>
        <v>0</v>
      </c>
      <c r="AK64" s="120" t="n">
        <f aca="false">INDEX($F64:$AG64,1,MATCH(AK$7,$F$7:$AG$7,1))</f>
        <v>1750</v>
      </c>
      <c r="AL64" s="120" t="n">
        <f aca="false">INDEX($F64:$AG64,1,MATCH(AL$7,$F$7:$AG$7,1))</f>
        <v>1750</v>
      </c>
      <c r="AM64" s="120" t="n">
        <f aca="false">INDEX($F64:$AG64,1,MATCH(AM$7,$F$7:$AG$7,1))</f>
        <v>1750</v>
      </c>
      <c r="AN64" s="120" t="n">
        <f aca="false">INDEX($F64:$AG64,1,MATCH(AN$7,$F$7:$AG$7,1))</f>
        <v>1750</v>
      </c>
      <c r="AO64" s="120" t="n">
        <f aca="false">INDEX($F64:$AG64,1,MATCH(AO$7,$F$7:$AG$7,1))</f>
        <v>1750</v>
      </c>
    </row>
    <row r="65" customFormat="false" ht="15" hidden="false" customHeight="false" outlineLevel="0" collapsed="false">
      <c r="A65" s="101" t="s">
        <v>1787</v>
      </c>
      <c r="B65" s="18" t="s">
        <v>400</v>
      </c>
      <c r="C65" s="18" t="s">
        <v>389</v>
      </c>
      <c r="D65" s="18"/>
      <c r="F65" s="119" t="n">
        <f aca="false">F64*$C$17/4</f>
        <v>0</v>
      </c>
      <c r="G65" s="119" t="n">
        <f aca="false">G64*$C$17/4</f>
        <v>0</v>
      </c>
      <c r="H65" s="119" t="n">
        <f aca="false">H64*$C$17/4</f>
        <v>0</v>
      </c>
      <c r="I65" s="119" t="n">
        <f aca="false">I64*$C$17/4</f>
        <v>0</v>
      </c>
      <c r="J65" s="119" t="n">
        <f aca="false">J64*$C$17/4</f>
        <v>0</v>
      </c>
      <c r="K65" s="119" t="n">
        <f aca="false">K64*$C$17/4</f>
        <v>0</v>
      </c>
      <c r="L65" s="119" t="n">
        <f aca="false">L64*$C$17/4</f>
        <v>0</v>
      </c>
      <c r="M65" s="119" t="n">
        <f aca="false">M64*$C$17/4</f>
        <v>0</v>
      </c>
      <c r="N65" s="119" t="n">
        <f aca="false">N64*$C$17/4</f>
        <v>11.484375</v>
      </c>
      <c r="O65" s="119" t="n">
        <f aca="false">O64*$C$17/4</f>
        <v>11.484375</v>
      </c>
      <c r="P65" s="120" t="n">
        <f aca="false">P64*$C$17/4</f>
        <v>11.484375</v>
      </c>
      <c r="Q65" s="120" t="n">
        <f aca="false">Q64*$C$17/4</f>
        <v>11.484375</v>
      </c>
      <c r="R65" s="120" t="n">
        <f aca="false">R64*$C$17/4</f>
        <v>11.484375</v>
      </c>
      <c r="S65" s="120" t="n">
        <f aca="false">S64*$C$17/4</f>
        <v>11.484375</v>
      </c>
      <c r="T65" s="120" t="n">
        <f aca="false">T64*$C$17/4</f>
        <v>11.484375</v>
      </c>
      <c r="U65" s="120" t="n">
        <f aca="false">U64*$C$17/4</f>
        <v>11.484375</v>
      </c>
      <c r="V65" s="120" t="n">
        <f aca="false">V64*$C$17/4</f>
        <v>11.484375</v>
      </c>
      <c r="W65" s="120" t="n">
        <f aca="false">W64*$C$17/4</f>
        <v>11.484375</v>
      </c>
      <c r="X65" s="120" t="n">
        <f aca="false">X64*$C$17/4</f>
        <v>11.484375</v>
      </c>
      <c r="Y65" s="120" t="n">
        <f aca="false">Y64*$C$17/4</f>
        <v>11.484375</v>
      </c>
      <c r="Z65" s="120" t="n">
        <f aca="false">Z64*$C$17/4</f>
        <v>11.484375</v>
      </c>
      <c r="AA65" s="120" t="n">
        <f aca="false">AA64*$C$17/4</f>
        <v>11.484375</v>
      </c>
      <c r="AB65" s="120" t="n">
        <f aca="false">AB64*$C$17/4</f>
        <v>11.484375</v>
      </c>
      <c r="AC65" s="120" t="n">
        <f aca="false">AC64*$C$17/4</f>
        <v>11.484375</v>
      </c>
      <c r="AD65" s="120" t="n">
        <f aca="false">AD64*$C$17/4</f>
        <v>11.484375</v>
      </c>
      <c r="AE65" s="120" t="n">
        <f aca="false">AE64*$C$17/4</f>
        <v>11.484375</v>
      </c>
      <c r="AF65" s="120" t="n">
        <f aca="false">AF64*$C$17/4</f>
        <v>11.484375</v>
      </c>
      <c r="AG65" s="120" t="n">
        <f aca="false">AG64*$C$17/4</f>
        <v>11.484375</v>
      </c>
      <c r="AI65" s="120" t="n">
        <f aca="false">SUMIF($F$7:$AG$7,AI$7,$F65:$AG65)</f>
        <v>0</v>
      </c>
      <c r="AJ65" s="120" t="n">
        <f aca="false">SUMIF($F$7:$AG$7,AJ$7,$F65:$AG65)</f>
        <v>0</v>
      </c>
      <c r="AK65" s="120" t="n">
        <f aca="false">SUMIF($F$7:$AG$7,AK$7,$F65:$AG65)</f>
        <v>45.9375</v>
      </c>
      <c r="AL65" s="120" t="n">
        <f aca="false">SUMIF($F$7:$AG$7,AL$7,$F65:$AG65)</f>
        <v>45.9375</v>
      </c>
      <c r="AM65" s="120" t="n">
        <f aca="false">SUMIF($F$7:$AG$7,AM$7,$F65:$AG65)</f>
        <v>45.9375</v>
      </c>
      <c r="AN65" s="120" t="n">
        <f aca="false">SUMIF($F$7:$AG$7,AN$7,$F65:$AG65)</f>
        <v>45.9375</v>
      </c>
      <c r="AO65" s="120" t="n">
        <f aca="false">SUMIF($F$7:$AG$7,AO$7,$F65:$AG65)</f>
        <v>45.9375</v>
      </c>
    </row>
    <row r="66" customFormat="false" ht="15" hidden="false" customHeight="false" outlineLevel="0" collapsed="false">
      <c r="A66" s="101" t="s">
        <v>1788</v>
      </c>
      <c r="B66" s="18" t="s">
        <v>400</v>
      </c>
      <c r="C66" s="18" t="s">
        <v>389</v>
      </c>
      <c r="D66" s="18"/>
      <c r="F66" s="119" t="n">
        <f aca="false">F64*($J$17-1)/(($D$17-$B$17)/91.3125)</f>
        <v>0</v>
      </c>
      <c r="G66" s="119" t="n">
        <f aca="false">G64*($J$17-1)/(($D$17-$B$17)/91.3125)</f>
        <v>0</v>
      </c>
      <c r="H66" s="119" t="n">
        <f aca="false">H64*($J$17-1)/(($D$17-$B$17)/91.3125)</f>
        <v>0</v>
      </c>
      <c r="I66" s="119" t="n">
        <f aca="false">I64*($J$17-1)/(($D$17-$B$17)/91.3125)</f>
        <v>0</v>
      </c>
      <c r="J66" s="119" t="n">
        <f aca="false">J64*($J$17-1)/(($D$17-$B$17)/91.3125)</f>
        <v>0</v>
      </c>
      <c r="K66" s="119" t="n">
        <f aca="false">K64*($J$17-1)/(($D$17-$B$17)/91.3125)</f>
        <v>0</v>
      </c>
      <c r="L66" s="119" t="n">
        <f aca="false">L64*($J$17-1)/(($D$17-$B$17)/91.3125)</f>
        <v>0</v>
      </c>
      <c r="M66" s="119" t="n">
        <f aca="false">M64*($J$17-1)/(($D$17-$B$17)/91.3125)</f>
        <v>0</v>
      </c>
      <c r="N66" s="119" t="n">
        <f aca="false">N64*($J$17-1)/(($D$17-$B$17)/91.3125)</f>
        <v>12.5232660658307</v>
      </c>
      <c r="O66" s="119" t="n">
        <f aca="false">O64*($J$17-1)/(($D$17-$B$17)/91.3125)</f>
        <v>12.5232660658307</v>
      </c>
      <c r="P66" s="120" t="n">
        <f aca="false">P64*($J$17-1)/(($D$17-$B$17)/91.3125)</f>
        <v>12.5232660658307</v>
      </c>
      <c r="Q66" s="120" t="n">
        <f aca="false">Q64*($J$17-1)/(($D$17-$B$17)/91.3125)</f>
        <v>12.5232660658307</v>
      </c>
      <c r="R66" s="120" t="n">
        <f aca="false">R64*($J$17-1)/(($D$17-$B$17)/91.3125)</f>
        <v>12.5232660658307</v>
      </c>
      <c r="S66" s="120" t="n">
        <f aca="false">S64*($J$17-1)/(($D$17-$B$17)/91.3125)</f>
        <v>12.5232660658307</v>
      </c>
      <c r="T66" s="120" t="n">
        <f aca="false">T64*($J$17-1)/(($D$17-$B$17)/91.3125)</f>
        <v>12.5232660658307</v>
      </c>
      <c r="U66" s="120" t="n">
        <f aca="false">U64*($J$17-1)/(($D$17-$B$17)/91.3125)</f>
        <v>12.5232660658307</v>
      </c>
      <c r="V66" s="120" t="n">
        <f aca="false">V64*($J$17-1)/(($D$17-$B$17)/91.3125)</f>
        <v>12.5232660658307</v>
      </c>
      <c r="W66" s="120" t="n">
        <f aca="false">W64*($J$17-1)/(($D$17-$B$17)/91.3125)</f>
        <v>12.5232660658307</v>
      </c>
      <c r="X66" s="120" t="n">
        <f aca="false">X64*($J$17-1)/(($D$17-$B$17)/91.3125)</f>
        <v>12.5232660658307</v>
      </c>
      <c r="Y66" s="120" t="n">
        <f aca="false">Y64*($J$17-1)/(($D$17-$B$17)/91.3125)</f>
        <v>12.5232660658307</v>
      </c>
      <c r="Z66" s="120" t="n">
        <f aca="false">Z64*($J$17-1)/(($D$17-$B$17)/91.3125)</f>
        <v>12.5232660658307</v>
      </c>
      <c r="AA66" s="120" t="n">
        <f aca="false">AA64*($J$17-1)/(($D$17-$B$17)/91.3125)</f>
        <v>12.5232660658307</v>
      </c>
      <c r="AB66" s="120" t="n">
        <f aca="false">AB64*($J$17-1)/(($D$17-$B$17)/91.3125)</f>
        <v>12.5232660658307</v>
      </c>
      <c r="AC66" s="120" t="n">
        <f aca="false">AC64*($J$17-1)/(($D$17-$B$17)/91.3125)</f>
        <v>12.5232660658307</v>
      </c>
      <c r="AD66" s="120" t="n">
        <f aca="false">AD64*($J$17-1)/(($D$17-$B$17)/91.3125)</f>
        <v>12.5232660658307</v>
      </c>
      <c r="AE66" s="120" t="n">
        <f aca="false">AE64*($J$17-1)/(($D$17-$B$17)/91.3125)</f>
        <v>12.5232660658307</v>
      </c>
      <c r="AF66" s="120" t="n">
        <f aca="false">AF64*($J$17-1)/(($D$17-$B$17)/91.3125)</f>
        <v>12.5232660658307</v>
      </c>
      <c r="AG66" s="120" t="n">
        <f aca="false">AG64*($J$17-1)/(($D$17-$B$17)/91.3125)</f>
        <v>12.5232660658307</v>
      </c>
      <c r="AI66" s="120" t="n">
        <f aca="false">SUMIF($F$7:$AG$7,AI$7,$F66:$AG66)</f>
        <v>0</v>
      </c>
      <c r="AJ66" s="120" t="n">
        <f aca="false">SUMIF($F$7:$AG$7,AJ$7,$F66:$AG66)</f>
        <v>0</v>
      </c>
      <c r="AK66" s="120" t="n">
        <f aca="false">SUMIF($F$7:$AG$7,AK$7,$F66:$AG66)</f>
        <v>50.0930642633229</v>
      </c>
      <c r="AL66" s="120" t="n">
        <f aca="false">SUMIF($F$7:$AG$7,AL$7,$F66:$AG66)</f>
        <v>50.0930642633229</v>
      </c>
      <c r="AM66" s="120" t="n">
        <f aca="false">SUMIF($F$7:$AG$7,AM$7,$F66:$AG66)</f>
        <v>50.0930642633229</v>
      </c>
      <c r="AN66" s="120" t="n">
        <f aca="false">SUMIF($F$7:$AG$7,AN$7,$F66:$AG66)</f>
        <v>50.0930642633229</v>
      </c>
      <c r="AO66" s="120" t="n">
        <f aca="false">SUMIF($F$7:$AG$7,AO$7,$F66:$AG66)</f>
        <v>50.0930642633229</v>
      </c>
    </row>
    <row r="67" customFormat="false" ht="15" hidden="false" customHeight="false" outlineLevel="0" collapsed="false">
      <c r="A67" s="101" t="s">
        <v>1789</v>
      </c>
      <c r="B67" s="18" t="s">
        <v>400</v>
      </c>
      <c r="C67" s="18" t="s">
        <v>389</v>
      </c>
      <c r="D67" s="18"/>
      <c r="F67" s="119" t="n">
        <f aca="false">F64*(1+($J$17-1)*MIN(1,MAX(0,(F$4-$B$17)/($D$17-$B$17))))</f>
        <v>0</v>
      </c>
      <c r="G67" s="119" t="n">
        <f aca="false">G64*(1+($J$17-1)*MIN(1,MAX(0,(G$4-$B$17)/($D$17-$B$17))))</f>
        <v>0</v>
      </c>
      <c r="H67" s="119" t="n">
        <f aca="false">H64*(1+($J$17-1)*MIN(1,MAX(0,(H$4-$B$17)/($D$17-$B$17))))</f>
        <v>0</v>
      </c>
      <c r="I67" s="119" t="n">
        <f aca="false">I64*(1+($J$17-1)*MIN(1,MAX(0,(I$4-$B$17)/($D$17-$B$17))))</f>
        <v>0</v>
      </c>
      <c r="J67" s="119" t="n">
        <f aca="false">J64*(1+($J$17-1)*MIN(1,MAX(0,(J$4-$B$17)/($D$17-$B$17))))</f>
        <v>0</v>
      </c>
      <c r="K67" s="119" t="n">
        <f aca="false">K64*(1+($J$17-1)*MIN(1,MAX(0,(K$4-$B$17)/($D$17-$B$17))))</f>
        <v>0</v>
      </c>
      <c r="L67" s="119" t="n">
        <f aca="false">L64*(1+($J$17-1)*MIN(1,MAX(0,(L$4-$B$17)/($D$17-$B$17))))</f>
        <v>0</v>
      </c>
      <c r="M67" s="119" t="n">
        <f aca="false">M64*(1+($J$17-1)*MIN(1,MAX(0,(M$4-$B$17)/($D$17-$B$17))))</f>
        <v>0</v>
      </c>
      <c r="N67" s="119" t="n">
        <f aca="false">N64*(1+($J$17-1)*MIN(1,MAX(0,(N$4-$B$17)/($D$17-$B$17))))</f>
        <v>1751.50862068966</v>
      </c>
      <c r="O67" s="119" t="n">
        <f aca="false">O64*(1+($J$17-1)*MIN(1,MAX(0,(O$4-$B$17)/($D$17-$B$17))))</f>
        <v>1763.98902821317</v>
      </c>
      <c r="P67" s="120" t="n">
        <f aca="false">P64*(1+($J$17-1)*MIN(1,MAX(0,(P$4-$B$17)/($D$17-$B$17))))</f>
        <v>1776.6065830721</v>
      </c>
      <c r="Q67" s="120" t="n">
        <f aca="false">Q64*(1+($J$17-1)*MIN(1,MAX(0,(Q$4-$B$17)/($D$17-$B$17))))</f>
        <v>1789.22413793103</v>
      </c>
      <c r="R67" s="120" t="n">
        <f aca="false">R64*(1+($J$17-1)*MIN(1,MAX(0,(R$4-$B$17)/($D$17-$B$17))))</f>
        <v>1801.56739811912</v>
      </c>
      <c r="S67" s="120" t="n">
        <f aca="false">S64*(1+($J$17-1)*MIN(1,MAX(0,(S$4-$B$17)/($D$17-$B$17))))</f>
        <v>1814.04780564263</v>
      </c>
      <c r="T67" s="120" t="n">
        <f aca="false">T64*(1+($J$17-1)*MIN(1,MAX(0,(T$4-$B$17)/($D$17-$B$17))))</f>
        <v>1826.66536050157</v>
      </c>
      <c r="U67" s="120" t="n">
        <f aca="false">U64*(1+($J$17-1)*MIN(1,MAX(0,(U$4-$B$17)/($D$17-$B$17))))</f>
        <v>1839.2829153605</v>
      </c>
      <c r="V67" s="120" t="n">
        <f aca="false">V64*(1+($J$17-1)*MIN(1,MAX(0,(V$4-$B$17)/($D$17-$B$17))))</f>
        <v>1851.76332288401</v>
      </c>
      <c r="W67" s="120" t="n">
        <f aca="false">W64*(1+($J$17-1)*MIN(1,MAX(0,(W$4-$B$17)/($D$17-$B$17))))</f>
        <v>1864.24373040752</v>
      </c>
      <c r="X67" s="120" t="n">
        <f aca="false">X64*(1+($J$17-1)*MIN(1,MAX(0,(X$4-$B$17)/($D$17-$B$17))))</f>
        <v>1876.86128526646</v>
      </c>
      <c r="Y67" s="120" t="n">
        <f aca="false">Y64*(1+($J$17-1)*MIN(1,MAX(0,(Y$4-$B$17)/($D$17-$B$17))))</f>
        <v>1889.47884012539</v>
      </c>
      <c r="Z67" s="120" t="n">
        <f aca="false">Z64*(1+($J$17-1)*MIN(1,MAX(0,(Z$4-$B$17)/($D$17-$B$17))))</f>
        <v>1901.82210031348</v>
      </c>
      <c r="AA67" s="120" t="n">
        <f aca="false">AA64*(1+($J$17-1)*MIN(1,MAX(0,(AA$4-$B$17)/($D$17-$B$17))))</f>
        <v>1914.30250783699</v>
      </c>
      <c r="AB67" s="120" t="n">
        <f aca="false">AB64*(1+($J$17-1)*MIN(1,MAX(0,(AB$4-$B$17)/($D$17-$B$17))))</f>
        <v>1926.92006269592</v>
      </c>
      <c r="AC67" s="120" t="n">
        <f aca="false">AC64*(1+($J$17-1)*MIN(1,MAX(0,(AC$4-$B$17)/($D$17-$B$17))))</f>
        <v>1939.53761755486</v>
      </c>
      <c r="AD67" s="120" t="n">
        <f aca="false">AD64*(1+($J$17-1)*MIN(1,MAX(0,(AD$4-$B$17)/($D$17-$B$17))))</f>
        <v>1951.88087774295</v>
      </c>
      <c r="AE67" s="120" t="n">
        <f aca="false">AE64*(1+($J$17-1)*MIN(1,MAX(0,(AE$4-$B$17)/($D$17-$B$17))))</f>
        <v>1964.36128526646</v>
      </c>
      <c r="AF67" s="120" t="n">
        <f aca="false">AF64*(1+($J$17-1)*MIN(1,MAX(0,(AF$4-$B$17)/($D$17-$B$17))))</f>
        <v>1976.97884012539</v>
      </c>
      <c r="AG67" s="120" t="n">
        <f aca="false">AG64*(1+($J$17-1)*MIN(1,MAX(0,(AG$4-$B$17)/($D$17-$B$17))))</f>
        <v>1989.59639498433</v>
      </c>
      <c r="AI67" s="120" t="n">
        <f aca="false">INDEX($F67:$AG67,1,MATCH(AI$7,$F$7:$AG$7,1))</f>
        <v>0</v>
      </c>
      <c r="AJ67" s="120" t="n">
        <f aca="false">INDEX($F67:$AG67,1,MATCH(AJ$7,$F$7:$AG$7,1))</f>
        <v>0</v>
      </c>
      <c r="AK67" s="120" t="n">
        <f aca="false">INDEX($F67:$AG67,1,MATCH(AK$7,$F$7:$AG$7,1))</f>
        <v>1789.22413793103</v>
      </c>
      <c r="AL67" s="120" t="n">
        <f aca="false">INDEX($F67:$AG67,1,MATCH(AL$7,$F$7:$AG$7,1))</f>
        <v>1839.2829153605</v>
      </c>
      <c r="AM67" s="120" t="n">
        <f aca="false">INDEX($F67:$AG67,1,MATCH(AM$7,$F$7:$AG$7,1))</f>
        <v>1889.47884012539</v>
      </c>
      <c r="AN67" s="120" t="n">
        <f aca="false">INDEX($F67:$AG67,1,MATCH(AN$7,$F$7:$AG$7,1))</f>
        <v>1939.53761755486</v>
      </c>
      <c r="AO67" s="120" t="n">
        <f aca="false">INDEX($F67:$AG67,1,MATCH(AO$7,$F$7:$AG$7,1))</f>
        <v>1989.59639498433</v>
      </c>
    </row>
    <row r="68" customFormat="false" ht="15" hidden="false" customHeight="false" outlineLevel="0" collapsed="false">
      <c r="A68" s="101" t="s">
        <v>1790</v>
      </c>
      <c r="B68" s="18" t="s">
        <v>400</v>
      </c>
      <c r="C68" s="18" t="s">
        <v>389</v>
      </c>
      <c r="D68" s="18"/>
      <c r="F68" s="119" t="n">
        <f aca="false">IF(F$5=$N$17,E64*$J$17*(1-$O$17),0)</f>
        <v>0</v>
      </c>
      <c r="G68" s="119" t="n">
        <f aca="false">IF(G$5=$N$17,F64*$J$17*(1-$O$17),0)</f>
        <v>0</v>
      </c>
      <c r="H68" s="119" t="n">
        <f aca="false">IF(H$5=$N$17,G64*$J$17*(1-$O$17),0)</f>
        <v>0</v>
      </c>
      <c r="I68" s="119" t="n">
        <f aca="false">IF(I$5=$N$17,H64*$J$17*(1-$O$17),0)</f>
        <v>0</v>
      </c>
      <c r="J68" s="119" t="n">
        <f aca="false">IF(J$5=$N$17,I64*$J$17*(1-$O$17),0)</f>
        <v>0</v>
      </c>
      <c r="K68" s="119" t="n">
        <f aca="false">IF(K$5=$N$17,J64*$J$17*(1-$O$17),0)</f>
        <v>0</v>
      </c>
      <c r="L68" s="119" t="n">
        <f aca="false">IF(L$5=$N$17,K64*$J$17*(1-$O$17),0)</f>
        <v>0</v>
      </c>
      <c r="M68" s="119" t="n">
        <f aca="false">IF(M$5=$N$17,L64*$J$17*(1-$O$17),0)</f>
        <v>0</v>
      </c>
      <c r="N68" s="119" t="n">
        <f aca="false">IF(N$5=$N$17,M64*$J$17*(1-$O$17),0)</f>
        <v>0</v>
      </c>
      <c r="O68" s="119" t="n">
        <f aca="false">IF(O$5=$N$17,N64*$J$17*(1-$O$17),0)</f>
        <v>0</v>
      </c>
      <c r="P68" s="120" t="n">
        <f aca="false">IF(P$5=$N$17,O64*$J$17*(1-$O$17),0)</f>
        <v>0</v>
      </c>
      <c r="Q68" s="120" t="n">
        <f aca="false">IF(Q$5=$N$17,P64*$J$17*(1-$O$17),0)</f>
        <v>0</v>
      </c>
      <c r="R68" s="120" t="n">
        <f aca="false">IF(R$5=$N$17,Q64*$J$17*(1-$O$17),0)</f>
        <v>0</v>
      </c>
      <c r="S68" s="120" t="n">
        <f aca="false">IF(S$5=$N$17,R64*$J$17*(1-$O$17),0)</f>
        <v>0</v>
      </c>
      <c r="T68" s="120" t="n">
        <f aca="false">IF(T$5=$N$17,S64*$J$17*(1-$O$17),0)</f>
        <v>0</v>
      </c>
      <c r="U68" s="120" t="n">
        <f aca="false">IF(U$5=$N$17,T64*$J$17*(1-$O$17),0)</f>
        <v>0</v>
      </c>
      <c r="V68" s="120" t="n">
        <f aca="false">IF(V$5=$N$17,U64*$J$17*(1-$O$17),0)</f>
        <v>0</v>
      </c>
      <c r="W68" s="120" t="n">
        <f aca="false">IF(W$5=$N$17,V64*$J$17*(1-$O$17),0)</f>
        <v>0</v>
      </c>
      <c r="X68" s="120" t="n">
        <f aca="false">IF(X$5=$N$17,W64*$J$17*(1-$O$17),0)</f>
        <v>0</v>
      </c>
      <c r="Y68" s="120" t="n">
        <f aca="false">IF(Y$5=$N$17,X64*$J$17*(1-$O$17),0)</f>
        <v>0</v>
      </c>
      <c r="Z68" s="120" t="n">
        <f aca="false">IF(Z$5=$N$17,Y64*$J$17*(1-$O$17),0)</f>
        <v>0</v>
      </c>
      <c r="AA68" s="120" t="n">
        <f aca="false">IF(AA$5=$N$17,Z64*$J$17*(1-$O$17),0)</f>
        <v>0</v>
      </c>
      <c r="AB68" s="120" t="n">
        <f aca="false">IF(AB$5=$N$17,AA64*$J$17*(1-$O$17),0)</f>
        <v>0</v>
      </c>
      <c r="AC68" s="120" t="n">
        <f aca="false">IF(AC$5=$N$17,AB64*$J$17*(1-$O$17),0)</f>
        <v>0</v>
      </c>
      <c r="AD68" s="120" t="n">
        <f aca="false">IF(AD$5=$N$17,AC64*$J$17*(1-$O$17),0)</f>
        <v>0</v>
      </c>
      <c r="AE68" s="120" t="n">
        <f aca="false">IF(AE$5=$N$17,AD64*$J$17*(1-$O$17),0)</f>
        <v>0</v>
      </c>
      <c r="AF68" s="120" t="n">
        <f aca="false">IF(AF$5=$N$17,AE64*$J$17*(1-$O$17),0)</f>
        <v>0</v>
      </c>
      <c r="AG68" s="120" t="n">
        <f aca="false">IF(AG$5=$N$17,AF64*$J$17*(1-$O$17),0)</f>
        <v>0</v>
      </c>
      <c r="AI68" s="120" t="n">
        <f aca="false">SUMIF($F$7:$AG$7,AI$7,$F68:$AG68)</f>
        <v>0</v>
      </c>
      <c r="AJ68" s="120" t="n">
        <f aca="false">SUMIF($F$7:$AG$7,AJ$7,$F68:$AG68)</f>
        <v>0</v>
      </c>
      <c r="AK68" s="120" t="n">
        <f aca="false">SUMIF($F$7:$AG$7,AK$7,$F68:$AG68)</f>
        <v>0</v>
      </c>
      <c r="AL68" s="120" t="n">
        <f aca="false">SUMIF($F$7:$AG$7,AL$7,$F68:$AG68)</f>
        <v>0</v>
      </c>
      <c r="AM68" s="120" t="n">
        <f aca="false">SUMIF($F$7:$AG$7,AM$7,$F68:$AG68)</f>
        <v>0</v>
      </c>
      <c r="AN68" s="120" t="n">
        <f aca="false">SUMIF($F$7:$AG$7,AN$7,$F68:$AG68)</f>
        <v>0</v>
      </c>
      <c r="AO68" s="120" t="n">
        <f aca="false">SUMIF($F$7:$AG$7,AO$7,$F68:$AG68)</f>
        <v>0</v>
      </c>
    </row>
    <row r="69" customFormat="false" ht="15" hidden="false" customHeight="false" outlineLevel="0" collapsed="false">
      <c r="A69" s="101" t="s">
        <v>1791</v>
      </c>
      <c r="B69" s="18" t="s">
        <v>781</v>
      </c>
      <c r="C69" s="18" t="s">
        <v>389</v>
      </c>
      <c r="D69" s="18"/>
      <c r="F69" s="131" t="n">
        <f aca="false">IF(F$5=$N$17,E64*$K$17/1000*$O$17,0)</f>
        <v>0</v>
      </c>
      <c r="G69" s="131" t="n">
        <f aca="false">IF(G$5=$N$17,F64*$K$17/1000*$O$17,0)</f>
        <v>0</v>
      </c>
      <c r="H69" s="131" t="n">
        <f aca="false">IF(H$5=$N$17,G64*$K$17/1000*$O$17,0)</f>
        <v>0</v>
      </c>
      <c r="I69" s="131" t="n">
        <f aca="false">IF(I$5=$N$17,H64*$K$17/1000*$O$17,0)</f>
        <v>0</v>
      </c>
      <c r="J69" s="131" t="n">
        <f aca="false">IF(J$5=$N$17,I64*$K$17/1000*$O$17,0)</f>
        <v>0</v>
      </c>
      <c r="K69" s="131" t="n">
        <f aca="false">IF(K$5=$N$17,J64*$K$17/1000*$O$17,0)</f>
        <v>0</v>
      </c>
      <c r="L69" s="131" t="n">
        <f aca="false">IF(L$5=$N$17,K64*$K$17/1000*$O$17,0)</f>
        <v>0</v>
      </c>
      <c r="M69" s="131" t="n">
        <f aca="false">IF(M$5=$N$17,L64*$K$17/1000*$O$17,0)</f>
        <v>0</v>
      </c>
      <c r="N69" s="131" t="n">
        <f aca="false">IF(N$5=$N$17,M64*$K$17/1000*$O$17,0)</f>
        <v>0</v>
      </c>
      <c r="O69" s="131" t="n">
        <f aca="false">IF(O$5=$N$17,N64*$K$17/1000*$O$17,0)</f>
        <v>0</v>
      </c>
      <c r="P69" s="37" t="n">
        <f aca="false">IF(P$5=$N$17,O64*$K$17/1000*$O$17,0)</f>
        <v>0</v>
      </c>
      <c r="Q69" s="37" t="n">
        <f aca="false">IF(Q$5=$N$17,P64*$K$17/1000*$O$17,0)</f>
        <v>0</v>
      </c>
      <c r="R69" s="37" t="n">
        <f aca="false">IF(R$5=$N$17,Q64*$K$17/1000*$O$17,0)</f>
        <v>0</v>
      </c>
      <c r="S69" s="37" t="n">
        <f aca="false">IF(S$5=$N$17,R64*$K$17/1000*$O$17,0)</f>
        <v>0</v>
      </c>
      <c r="T69" s="37" t="n">
        <f aca="false">IF(T$5=$N$17,S64*$K$17/1000*$O$17,0)</f>
        <v>0</v>
      </c>
      <c r="U69" s="37" t="n">
        <f aca="false">IF(U$5=$N$17,T64*$K$17/1000*$O$17,0)</f>
        <v>0</v>
      </c>
      <c r="V69" s="37" t="n">
        <f aca="false">IF(V$5=$N$17,U64*$K$17/1000*$O$17,0)</f>
        <v>0</v>
      </c>
      <c r="W69" s="37" t="n">
        <f aca="false">IF(W$5=$N$17,V64*$K$17/1000*$O$17,0)</f>
        <v>0</v>
      </c>
      <c r="X69" s="37" t="n">
        <f aca="false">IF(X$5=$N$17,W64*$K$17/1000*$O$17,0)</f>
        <v>0</v>
      </c>
      <c r="Y69" s="37" t="n">
        <f aca="false">IF(Y$5=$N$17,X64*$K$17/1000*$O$17,0)</f>
        <v>0</v>
      </c>
      <c r="Z69" s="37" t="n">
        <f aca="false">IF(Z$5=$N$17,Y64*$K$17/1000*$O$17,0)</f>
        <v>0</v>
      </c>
      <c r="AA69" s="37" t="n">
        <f aca="false">IF(AA$5=$N$17,Z64*$K$17/1000*$O$17,0)</f>
        <v>0</v>
      </c>
      <c r="AB69" s="37" t="n">
        <f aca="false">IF(AB$5=$N$17,AA64*$K$17/1000*$O$17,0)</f>
        <v>0</v>
      </c>
      <c r="AC69" s="37" t="n">
        <f aca="false">IF(AC$5=$N$17,AB64*$K$17/1000*$O$17,0)</f>
        <v>0</v>
      </c>
      <c r="AD69" s="37" t="n">
        <f aca="false">IF(AD$5=$N$17,AC64*$K$17/1000*$O$17,0)</f>
        <v>0</v>
      </c>
      <c r="AE69" s="37" t="n">
        <f aca="false">IF(AE$5=$N$17,AD64*$K$17/1000*$O$17,0)</f>
        <v>0</v>
      </c>
      <c r="AF69" s="37" t="n">
        <f aca="false">IF(AF$5=$N$17,AE64*$K$17/1000*$O$17,0)</f>
        <v>0</v>
      </c>
      <c r="AG69" s="37" t="n">
        <f aca="false">IF(AG$5=$N$17,AF64*$K$17/1000*$O$17,0)</f>
        <v>0</v>
      </c>
      <c r="AI69" s="37" t="n">
        <f aca="false">SUMIF($F$7:$AG$7,AI$7,$F69:$AG69)</f>
        <v>0</v>
      </c>
      <c r="AJ69" s="37" t="n">
        <f aca="false">SUMIF($F$7:$AG$7,AJ$7,$F69:$AG69)</f>
        <v>0</v>
      </c>
      <c r="AK69" s="37" t="n">
        <f aca="false">SUMIF($F$7:$AG$7,AK$7,$F69:$AG69)</f>
        <v>0</v>
      </c>
      <c r="AL69" s="37" t="n">
        <f aca="false">SUMIF($F$7:$AG$7,AL$7,$F69:$AG69)</f>
        <v>0</v>
      </c>
      <c r="AM69" s="37" t="n">
        <f aca="false">SUMIF($F$7:$AG$7,AM$7,$F69:$AG69)</f>
        <v>0</v>
      </c>
      <c r="AN69" s="37" t="n">
        <f aca="false">SUMIF($F$7:$AG$7,AN$7,$F69:$AG69)</f>
        <v>0</v>
      </c>
      <c r="AO69" s="37" t="n">
        <f aca="false">SUMIF($F$7:$AG$7,AO$7,$F69:$AG69)</f>
        <v>0</v>
      </c>
    </row>
    <row r="70" customFormat="false" ht="15" hidden="false" customHeight="false" outlineLevel="0" collapsed="false">
      <c r="A70" s="101" t="s">
        <v>1792</v>
      </c>
      <c r="B70" s="18" t="s">
        <v>781</v>
      </c>
      <c r="C70" s="18" t="s">
        <v>336</v>
      </c>
      <c r="D70" s="18"/>
      <c r="F70" s="131" t="n">
        <f aca="false">IF(DilMethod=3,MAX(0,F64*$K$17/1000*DilPx-F67)/DilPx,F64*$K$17/1000*$P$17)</f>
        <v>0</v>
      </c>
      <c r="G70" s="131" t="n">
        <f aca="false">IF(DilMethod=3,MAX(0,G64*$K$17/1000*DilPx-G67)/DilPx,G64*$K$17/1000*$P$17)</f>
        <v>0</v>
      </c>
      <c r="H70" s="131" t="n">
        <f aca="false">IF(DilMethod=3,MAX(0,H64*$K$17/1000*DilPx-H67)/DilPx,H64*$K$17/1000*$P$17)</f>
        <v>0</v>
      </c>
      <c r="I70" s="131" t="n">
        <f aca="false">IF(DilMethod=3,MAX(0,I64*$K$17/1000*DilPx-I67)/DilPx,I64*$K$17/1000*$P$17)</f>
        <v>0</v>
      </c>
      <c r="J70" s="131" t="n">
        <f aca="false">IF(DilMethod=3,MAX(0,J64*$K$17/1000*DilPx-J67)/DilPx,J64*$K$17/1000*$P$17)</f>
        <v>0</v>
      </c>
      <c r="K70" s="131" t="n">
        <f aca="false">IF(DilMethod=3,MAX(0,K64*$K$17/1000*DilPx-K67)/DilPx,K64*$K$17/1000*$P$17)</f>
        <v>0</v>
      </c>
      <c r="L70" s="131" t="n">
        <f aca="false">IF(DilMethod=3,MAX(0,L64*$K$17/1000*DilPx-L67)/DilPx,L64*$K$17/1000*$P$17)</f>
        <v>0</v>
      </c>
      <c r="M70" s="131" t="n">
        <f aca="false">IF(DilMethod=3,MAX(0,M64*$K$17/1000*DilPx-M67)/DilPx,M64*$K$17/1000*$P$17)</f>
        <v>0</v>
      </c>
      <c r="N70" s="131" t="n">
        <f aca="false">IF(DilMethod=3,MAX(0,N64*$K$17/1000*DilPx-N67)/DilPx,N64*$K$17/1000*$P$17)</f>
        <v>0</v>
      </c>
      <c r="O70" s="131" t="n">
        <f aca="false">IF(DilMethod=3,MAX(0,O64*$K$17/1000*DilPx-O67)/DilPx,O64*$K$17/1000*$P$17)</f>
        <v>0</v>
      </c>
      <c r="P70" s="37" t="n">
        <f aca="false">IF(DilMethod=3,MAX(0,P64*$K$17/1000*DilPx-P67)/DilPx,P64*$K$17/1000*$P$17)</f>
        <v>0</v>
      </c>
      <c r="Q70" s="37" t="n">
        <f aca="false">IF(DilMethod=3,MAX(0,Q64*$K$17/1000*DilPx-Q67)/DilPx,Q64*$K$17/1000*$P$17)</f>
        <v>0</v>
      </c>
      <c r="R70" s="37" t="n">
        <f aca="false">IF(DilMethod=3,MAX(0,R64*$K$17/1000*DilPx-R67)/DilPx,R64*$K$17/1000*$P$17)</f>
        <v>0</v>
      </c>
      <c r="S70" s="37" t="n">
        <f aca="false">IF(DilMethod=3,MAX(0,S64*$K$17/1000*DilPx-S67)/DilPx,S64*$K$17/1000*$P$17)</f>
        <v>0</v>
      </c>
      <c r="T70" s="37" t="n">
        <f aca="false">IF(DilMethod=3,MAX(0,T64*$K$17/1000*DilPx-T67)/DilPx,T64*$K$17/1000*$P$17)</f>
        <v>0</v>
      </c>
      <c r="U70" s="37" t="n">
        <f aca="false">IF(DilMethod=3,MAX(0,U64*$K$17/1000*DilPx-U67)/DilPx,U64*$K$17/1000*$P$17)</f>
        <v>0</v>
      </c>
      <c r="V70" s="37" t="n">
        <f aca="false">IF(DilMethod=3,MAX(0,V64*$K$17/1000*DilPx-V67)/DilPx,V64*$K$17/1000*$P$17)</f>
        <v>0</v>
      </c>
      <c r="W70" s="37" t="n">
        <f aca="false">IF(DilMethod=3,MAX(0,W64*$K$17/1000*DilPx-W67)/DilPx,W64*$K$17/1000*$P$17)</f>
        <v>0</v>
      </c>
      <c r="X70" s="37" t="n">
        <f aca="false">IF(DilMethod=3,MAX(0,X64*$K$17/1000*DilPx-X67)/DilPx,X64*$K$17/1000*$P$17)</f>
        <v>0</v>
      </c>
      <c r="Y70" s="37" t="n">
        <f aca="false">IF(DilMethod=3,MAX(0,Y64*$K$17/1000*DilPx-Y67)/DilPx,Y64*$K$17/1000*$P$17)</f>
        <v>0</v>
      </c>
      <c r="Z70" s="37" t="n">
        <f aca="false">IF(DilMethod=3,MAX(0,Z64*$K$17/1000*DilPx-Z67)/DilPx,Z64*$K$17/1000*$P$17)</f>
        <v>0</v>
      </c>
      <c r="AA70" s="37" t="n">
        <f aca="false">IF(DilMethod=3,MAX(0,AA64*$K$17/1000*DilPx-AA67)/DilPx,AA64*$K$17/1000*$P$17)</f>
        <v>0</v>
      </c>
      <c r="AB70" s="37" t="n">
        <f aca="false">IF(DilMethod=3,MAX(0,AB64*$K$17/1000*DilPx-AB67)/DilPx,AB64*$K$17/1000*$P$17)</f>
        <v>0</v>
      </c>
      <c r="AC70" s="37" t="n">
        <f aca="false">IF(DilMethod=3,MAX(0,AC64*$K$17/1000*DilPx-AC67)/DilPx,AC64*$K$17/1000*$P$17)</f>
        <v>0</v>
      </c>
      <c r="AD70" s="37" t="n">
        <f aca="false">IF(DilMethod=3,MAX(0,AD64*$K$17/1000*DilPx-AD67)/DilPx,AD64*$K$17/1000*$P$17)</f>
        <v>0</v>
      </c>
      <c r="AE70" s="37" t="n">
        <f aca="false">IF(DilMethod=3,MAX(0,AE64*$K$17/1000*DilPx-AE67)/DilPx,AE64*$K$17/1000*$P$17)</f>
        <v>0</v>
      </c>
      <c r="AF70" s="37" t="n">
        <f aca="false">IF(DilMethod=3,MAX(0,AF64*$K$17/1000*DilPx-AF67)/DilPx,AF64*$K$17/1000*$P$17)</f>
        <v>0</v>
      </c>
      <c r="AG70" s="37" t="n">
        <f aca="false">IF(DilMethod=3,MAX(0,AG64*$K$17/1000*DilPx-AG67)/DilPx,AG64*$K$17/1000*$P$17)</f>
        <v>0</v>
      </c>
      <c r="AI70" s="37" t="n">
        <f aca="false">INDEX($F70:$AG70,1,MATCH(AI$7,$F$7:$AG$7,1))</f>
        <v>0</v>
      </c>
      <c r="AJ70" s="37" t="n">
        <f aca="false">INDEX($F70:$AG70,1,MATCH(AJ$7,$F$7:$AG$7,1))</f>
        <v>0</v>
      </c>
      <c r="AK70" s="37" t="n">
        <f aca="false">INDEX($F70:$AG70,1,MATCH(AK$7,$F$7:$AG$7,1))</f>
        <v>0</v>
      </c>
      <c r="AL70" s="37" t="n">
        <f aca="false">INDEX($F70:$AG70,1,MATCH(AL$7,$F$7:$AG$7,1))</f>
        <v>0</v>
      </c>
      <c r="AM70" s="37" t="n">
        <f aca="false">INDEX($F70:$AG70,1,MATCH(AM$7,$F$7:$AG$7,1))</f>
        <v>0</v>
      </c>
      <c r="AN70" s="37" t="n">
        <f aca="false">INDEX($F70:$AG70,1,MATCH(AN$7,$F$7:$AG$7,1))</f>
        <v>0</v>
      </c>
      <c r="AO70" s="37" t="n">
        <f aca="false">INDEX($F70:$AG70,1,MATCH(AO$7,$F$7:$AG$7,1))</f>
        <v>0</v>
      </c>
    </row>
    <row r="71" customFormat="false" ht="15" hidden="false" customHeight="false" outlineLevel="0" collapsed="false">
      <c r="A71" s="101" t="s">
        <v>1793</v>
      </c>
      <c r="B71" s="18" t="s">
        <v>400</v>
      </c>
      <c r="C71" s="18" t="s">
        <v>336</v>
      </c>
      <c r="D71" s="18"/>
      <c r="F71" s="119" t="n">
        <f aca="false">F67*IF(DilMethod=3,1,1-$P$17)</f>
        <v>0</v>
      </c>
      <c r="G71" s="119" t="n">
        <f aca="false">G67*IF(DilMethod=3,1,1-$P$17)</f>
        <v>0</v>
      </c>
      <c r="H71" s="119" t="n">
        <f aca="false">H67*IF(DilMethod=3,1,1-$P$17)</f>
        <v>0</v>
      </c>
      <c r="I71" s="119" t="n">
        <f aca="false">I67*IF(DilMethod=3,1,1-$P$17)</f>
        <v>0</v>
      </c>
      <c r="J71" s="119" t="n">
        <f aca="false">J67*IF(DilMethod=3,1,1-$P$17)</f>
        <v>0</v>
      </c>
      <c r="K71" s="119" t="n">
        <f aca="false">K67*IF(DilMethod=3,1,1-$P$17)</f>
        <v>0</v>
      </c>
      <c r="L71" s="119" t="n">
        <f aca="false">L67*IF(DilMethod=3,1,1-$P$17)</f>
        <v>0</v>
      </c>
      <c r="M71" s="119" t="n">
        <f aca="false">M67*IF(DilMethod=3,1,1-$P$17)</f>
        <v>0</v>
      </c>
      <c r="N71" s="119" t="n">
        <f aca="false">N67*IF(DilMethod=3,1,1-$P$17)</f>
        <v>1751.50862068966</v>
      </c>
      <c r="O71" s="119" t="n">
        <f aca="false">O67*IF(DilMethod=3,1,1-$P$17)</f>
        <v>1763.98902821317</v>
      </c>
      <c r="P71" s="120" t="n">
        <f aca="false">P67*IF(DilMethod=3,1,1-$P$17)</f>
        <v>1776.6065830721</v>
      </c>
      <c r="Q71" s="120" t="n">
        <f aca="false">Q67*IF(DilMethod=3,1,1-$P$17)</f>
        <v>1789.22413793103</v>
      </c>
      <c r="R71" s="120" t="n">
        <f aca="false">R67*IF(DilMethod=3,1,1-$P$17)</f>
        <v>1801.56739811912</v>
      </c>
      <c r="S71" s="120" t="n">
        <f aca="false">S67*IF(DilMethod=3,1,1-$P$17)</f>
        <v>1814.04780564263</v>
      </c>
      <c r="T71" s="120" t="n">
        <f aca="false">T67*IF(DilMethod=3,1,1-$P$17)</f>
        <v>1826.66536050157</v>
      </c>
      <c r="U71" s="120" t="n">
        <f aca="false">U67*IF(DilMethod=3,1,1-$P$17)</f>
        <v>1839.2829153605</v>
      </c>
      <c r="V71" s="120" t="n">
        <f aca="false">V67*IF(DilMethod=3,1,1-$P$17)</f>
        <v>1851.76332288401</v>
      </c>
      <c r="W71" s="120" t="n">
        <f aca="false">W67*IF(DilMethod=3,1,1-$P$17)</f>
        <v>1864.24373040752</v>
      </c>
      <c r="X71" s="120" t="n">
        <f aca="false">X67*IF(DilMethod=3,1,1-$P$17)</f>
        <v>1876.86128526646</v>
      </c>
      <c r="Y71" s="120" t="n">
        <f aca="false">Y67*IF(DilMethod=3,1,1-$P$17)</f>
        <v>1889.47884012539</v>
      </c>
      <c r="Z71" s="120" t="n">
        <f aca="false">Z67*IF(DilMethod=3,1,1-$P$17)</f>
        <v>1901.82210031348</v>
      </c>
      <c r="AA71" s="120" t="n">
        <f aca="false">AA67*IF(DilMethod=3,1,1-$P$17)</f>
        <v>1914.30250783699</v>
      </c>
      <c r="AB71" s="120" t="n">
        <f aca="false">AB67*IF(DilMethod=3,1,1-$P$17)</f>
        <v>1926.92006269592</v>
      </c>
      <c r="AC71" s="120" t="n">
        <f aca="false">AC67*IF(DilMethod=3,1,1-$P$17)</f>
        <v>1939.53761755486</v>
      </c>
      <c r="AD71" s="120" t="n">
        <f aca="false">AD67*IF(DilMethod=3,1,1-$P$17)</f>
        <v>1951.88087774295</v>
      </c>
      <c r="AE71" s="120" t="n">
        <f aca="false">AE67*IF(DilMethod=3,1,1-$P$17)</f>
        <v>1964.36128526646</v>
      </c>
      <c r="AF71" s="120" t="n">
        <f aca="false">AF67*IF(DilMethod=3,1,1-$P$17)</f>
        <v>1976.97884012539</v>
      </c>
      <c r="AG71" s="120" t="n">
        <f aca="false">AG67*IF(DilMethod=3,1,1-$P$17)</f>
        <v>1989.59639498433</v>
      </c>
      <c r="AI71" s="120" t="n">
        <f aca="false">INDEX($F71:$AG71,1,MATCH(AI$7,$F$7:$AG$7,1))</f>
        <v>0</v>
      </c>
      <c r="AJ71" s="120" t="n">
        <f aca="false">INDEX($F71:$AG71,1,MATCH(AJ$7,$F$7:$AG$7,1))</f>
        <v>0</v>
      </c>
      <c r="AK71" s="120" t="n">
        <f aca="false">INDEX($F71:$AG71,1,MATCH(AK$7,$F$7:$AG$7,1))</f>
        <v>1789.22413793103</v>
      </c>
      <c r="AL71" s="120" t="n">
        <f aca="false">INDEX($F71:$AG71,1,MATCH(AL$7,$F$7:$AG$7,1))</f>
        <v>1839.2829153605</v>
      </c>
      <c r="AM71" s="120" t="n">
        <f aca="false">INDEX($F71:$AG71,1,MATCH(AM$7,$F$7:$AG$7,1))</f>
        <v>1889.47884012539</v>
      </c>
      <c r="AN71" s="120" t="n">
        <f aca="false">INDEX($F71:$AG71,1,MATCH(AN$7,$F$7:$AG$7,1))</f>
        <v>1939.53761755486</v>
      </c>
      <c r="AO71" s="120" t="n">
        <f aca="false">INDEX($F71:$AG71,1,MATCH(AO$7,$F$7:$AG$7,1))</f>
        <v>1989.59639498433</v>
      </c>
    </row>
    <row r="72" customFormat="false" ht="15" hidden="false" customHeight="false" outlineLevel="0" collapsed="false">
      <c r="A72" s="101" t="s">
        <v>1794</v>
      </c>
      <c r="B72" s="18" t="s">
        <v>400</v>
      </c>
      <c r="C72" s="18" t="s">
        <v>389</v>
      </c>
      <c r="D72" s="18"/>
      <c r="F72" s="119" t="n">
        <f aca="false">IF(AND(F$5&gt;=$M$18,F$5&lt;$N$18),$E$18-$F$18-IF(F$5&gt;=$H$18,$G$18,0),0)*($H$18&lt;&gt;0)+IF(AND(F$5&gt;=$M$18,F$5&lt;$N$18),$E$18-$F$18,0)*($H$18=0)</f>
        <v>0</v>
      </c>
      <c r="G72" s="119" t="n">
        <f aca="false">IF(AND(G$5&gt;=$M$18,G$5&lt;$N$18),$E$18-$F$18-IF(G$5&gt;=$H$18,$G$18,0),0)*($H$18&lt;&gt;0)+IF(AND(G$5&gt;=$M$18,G$5&lt;$N$18),$E$18-$F$18,0)*($H$18=0)</f>
        <v>0</v>
      </c>
      <c r="H72" s="119" t="n">
        <f aca="false">IF(AND(H$5&gt;=$M$18,H$5&lt;$N$18),$E$18-$F$18-IF(H$5&gt;=$H$18,$G$18,0),0)*($H$18&lt;&gt;0)+IF(AND(H$5&gt;=$M$18,H$5&lt;$N$18),$E$18-$F$18,0)*($H$18=0)</f>
        <v>0</v>
      </c>
      <c r="I72" s="119" t="n">
        <f aca="false">IF(AND(I$5&gt;=$M$18,I$5&lt;$N$18),$E$18-$F$18-IF(I$5&gt;=$H$18,$G$18,0),0)*($H$18&lt;&gt;0)+IF(AND(I$5&gt;=$M$18,I$5&lt;$N$18),$E$18-$F$18,0)*($H$18=0)</f>
        <v>0</v>
      </c>
      <c r="J72" s="119" t="n">
        <f aca="false">IF(AND(J$5&gt;=$M$18,J$5&lt;$N$18),$E$18-$F$18-IF(J$5&gt;=$H$18,$G$18,0),0)*($H$18&lt;&gt;0)+IF(AND(J$5&gt;=$M$18,J$5&lt;$N$18),$E$18-$F$18,0)*($H$18=0)</f>
        <v>0</v>
      </c>
      <c r="K72" s="119" t="n">
        <f aca="false">IF(AND(K$5&gt;=$M$18,K$5&lt;$N$18),$E$18-$F$18-IF(K$5&gt;=$H$18,$G$18,0),0)*($H$18&lt;&gt;0)+IF(AND(K$5&gt;=$M$18,K$5&lt;$N$18),$E$18-$F$18,0)*($H$18=0)</f>
        <v>0</v>
      </c>
      <c r="L72" s="119" t="n">
        <f aca="false">IF(AND(L$5&gt;=$M$18,L$5&lt;$N$18),$E$18-$F$18-IF(L$5&gt;=$H$18,$G$18,0),0)*($H$18&lt;&gt;0)+IF(AND(L$5&gt;=$M$18,L$5&lt;$N$18),$E$18-$F$18,0)*($H$18=0)</f>
        <v>0</v>
      </c>
      <c r="M72" s="119" t="n">
        <f aca="false">IF(AND(M$5&gt;=$M$18,M$5&lt;$N$18),$E$18-$F$18-IF(M$5&gt;=$H$18,$G$18,0),0)*($H$18&lt;&gt;0)+IF(AND(M$5&gt;=$M$18,M$5&lt;$N$18),$E$18-$F$18,0)*($H$18=0)</f>
        <v>0</v>
      </c>
      <c r="N72" s="119" t="n">
        <f aca="false">IF(AND(N$5&gt;=$M$18,N$5&lt;$N$18),$E$18-$F$18-IF(N$5&gt;=$H$18,$G$18,0),0)*($H$18&lt;&gt;0)+IF(AND(N$5&gt;=$M$18,N$5&lt;$N$18),$E$18-$F$18,0)*($H$18=0)</f>
        <v>0</v>
      </c>
      <c r="O72" s="119" t="n">
        <f aca="false">IF(AND(O$5&gt;=$M$18,O$5&lt;$N$18),$E$18-$F$18-IF(O$5&gt;=$H$18,$G$18,0),0)*($H$18&lt;&gt;0)+IF(AND(O$5&gt;=$M$18,O$5&lt;$N$18),$E$18-$F$18,0)*($H$18=0)</f>
        <v>0</v>
      </c>
      <c r="P72" s="120" t="n">
        <f aca="false">IF(AND(P$5&gt;=$M$18,P$5&lt;$N$18),$E$18-$F$18-IF(P$5&gt;=$H$18,$G$18,0),0)*($H$18&lt;&gt;0)+IF(AND(P$5&gt;=$M$18,P$5&lt;$N$18),$E$18-$F$18,0)*($H$18=0)</f>
        <v>3450</v>
      </c>
      <c r="Q72" s="120" t="n">
        <f aca="false">IF(AND(Q$5&gt;=$M$18,Q$5&lt;$N$18),$E$18-$F$18-IF(Q$5&gt;=$H$18,$G$18,0),0)*($H$18&lt;&gt;0)+IF(AND(Q$5&gt;=$M$18,Q$5&lt;$N$18),$E$18-$F$18,0)*($H$18=0)</f>
        <v>3450</v>
      </c>
      <c r="R72" s="120" t="n">
        <f aca="false">IF(AND(R$5&gt;=$M$18,R$5&lt;$N$18),$E$18-$F$18-IF(R$5&gt;=$H$18,$G$18,0),0)*($H$18&lt;&gt;0)+IF(AND(R$5&gt;=$M$18,R$5&lt;$N$18),$E$18-$F$18,0)*($H$18=0)</f>
        <v>3450</v>
      </c>
      <c r="S72" s="120" t="n">
        <f aca="false">IF(AND(S$5&gt;=$M$18,S$5&lt;$N$18),$E$18-$F$18-IF(S$5&gt;=$H$18,$G$18,0),0)*($H$18&lt;&gt;0)+IF(AND(S$5&gt;=$M$18,S$5&lt;$N$18),$E$18-$F$18,0)*($H$18=0)</f>
        <v>3450</v>
      </c>
      <c r="T72" s="120" t="n">
        <f aca="false">IF(AND(T$5&gt;=$M$18,T$5&lt;$N$18),$E$18-$F$18-IF(T$5&gt;=$H$18,$G$18,0),0)*($H$18&lt;&gt;0)+IF(AND(T$5&gt;=$M$18,T$5&lt;$N$18),$E$18-$F$18,0)*($H$18=0)</f>
        <v>3450</v>
      </c>
      <c r="U72" s="120" t="n">
        <f aca="false">IF(AND(U$5&gt;=$M$18,U$5&lt;$N$18),$E$18-$F$18-IF(U$5&gt;=$H$18,$G$18,0),0)*($H$18&lt;&gt;0)+IF(AND(U$5&gt;=$M$18,U$5&lt;$N$18),$E$18-$F$18,0)*($H$18=0)</f>
        <v>3450</v>
      </c>
      <c r="V72" s="120" t="n">
        <f aca="false">IF(AND(V$5&gt;=$M$18,V$5&lt;$N$18),$E$18-$F$18-IF(V$5&gt;=$H$18,$G$18,0),0)*($H$18&lt;&gt;0)+IF(AND(V$5&gt;=$M$18,V$5&lt;$N$18),$E$18-$F$18,0)*($H$18=0)</f>
        <v>3450</v>
      </c>
      <c r="W72" s="120" t="n">
        <f aca="false">IF(AND(W$5&gt;=$M$18,W$5&lt;$N$18),$E$18-$F$18-IF(W$5&gt;=$H$18,$G$18,0),0)*($H$18&lt;&gt;0)+IF(AND(W$5&gt;=$M$18,W$5&lt;$N$18),$E$18-$F$18,0)*($H$18=0)</f>
        <v>3450</v>
      </c>
      <c r="X72" s="120" t="n">
        <f aca="false">IF(AND(X$5&gt;=$M$18,X$5&lt;$N$18),$E$18-$F$18-IF(X$5&gt;=$H$18,$G$18,0),0)*($H$18&lt;&gt;0)+IF(AND(X$5&gt;=$M$18,X$5&lt;$N$18),$E$18-$F$18,0)*($H$18=0)</f>
        <v>3450</v>
      </c>
      <c r="Y72" s="120" t="n">
        <f aca="false">IF(AND(Y$5&gt;=$M$18,Y$5&lt;$N$18),$E$18-$F$18-IF(Y$5&gt;=$H$18,$G$18,0),0)*($H$18&lt;&gt;0)+IF(AND(Y$5&gt;=$M$18,Y$5&lt;$N$18),$E$18-$F$18,0)*($H$18=0)</f>
        <v>3450</v>
      </c>
      <c r="Z72" s="120" t="n">
        <f aca="false">IF(AND(Z$5&gt;=$M$18,Z$5&lt;$N$18),$E$18-$F$18-IF(Z$5&gt;=$H$18,$G$18,0),0)*($H$18&lt;&gt;0)+IF(AND(Z$5&gt;=$M$18,Z$5&lt;$N$18),$E$18-$F$18,0)*($H$18=0)</f>
        <v>3450</v>
      </c>
      <c r="AA72" s="120" t="n">
        <f aca="false">IF(AND(AA$5&gt;=$M$18,AA$5&lt;$N$18),$E$18-$F$18-IF(AA$5&gt;=$H$18,$G$18,0),0)*($H$18&lt;&gt;0)+IF(AND(AA$5&gt;=$M$18,AA$5&lt;$N$18),$E$18-$F$18,0)*($H$18=0)</f>
        <v>3450</v>
      </c>
      <c r="AB72" s="120" t="n">
        <f aca="false">IF(AND(AB$5&gt;=$M$18,AB$5&lt;$N$18),$E$18-$F$18-IF(AB$5&gt;=$H$18,$G$18,0),0)*($H$18&lt;&gt;0)+IF(AND(AB$5&gt;=$M$18,AB$5&lt;$N$18),$E$18-$F$18,0)*($H$18=0)</f>
        <v>3450</v>
      </c>
      <c r="AC72" s="120" t="n">
        <f aca="false">IF(AND(AC$5&gt;=$M$18,AC$5&lt;$N$18),$E$18-$F$18-IF(AC$5&gt;=$H$18,$G$18,0),0)*($H$18&lt;&gt;0)+IF(AND(AC$5&gt;=$M$18,AC$5&lt;$N$18),$E$18-$F$18,0)*($H$18=0)</f>
        <v>3450</v>
      </c>
      <c r="AD72" s="120" t="n">
        <f aca="false">IF(AND(AD$5&gt;=$M$18,AD$5&lt;$N$18),$E$18-$F$18-IF(AD$5&gt;=$H$18,$G$18,0),0)*($H$18&lt;&gt;0)+IF(AND(AD$5&gt;=$M$18,AD$5&lt;$N$18),$E$18-$F$18,0)*($H$18=0)</f>
        <v>0</v>
      </c>
      <c r="AE72" s="120" t="n">
        <f aca="false">IF(AND(AE$5&gt;=$M$18,AE$5&lt;$N$18),$E$18-$F$18-IF(AE$5&gt;=$H$18,$G$18,0),0)*($H$18&lt;&gt;0)+IF(AND(AE$5&gt;=$M$18,AE$5&lt;$N$18),$E$18-$F$18,0)*($H$18=0)</f>
        <v>0</v>
      </c>
      <c r="AF72" s="120" t="n">
        <f aca="false">IF(AND(AF$5&gt;=$M$18,AF$5&lt;$N$18),$E$18-$F$18-IF(AF$5&gt;=$H$18,$G$18,0),0)*($H$18&lt;&gt;0)+IF(AND(AF$5&gt;=$M$18,AF$5&lt;$N$18),$E$18-$F$18,0)*($H$18=0)</f>
        <v>0</v>
      </c>
      <c r="AG72" s="120" t="n">
        <f aca="false">IF(AND(AG$5&gt;=$M$18,AG$5&lt;$N$18),$E$18-$F$18-IF(AG$5&gt;=$H$18,$G$18,0),0)*($H$18&lt;&gt;0)+IF(AND(AG$5&gt;=$M$18,AG$5&lt;$N$18),$E$18-$F$18,0)*($H$18=0)</f>
        <v>0</v>
      </c>
      <c r="AI72" s="120" t="n">
        <f aca="false">INDEX($F72:$AG72,1,MATCH(AI$7,$F$7:$AG$7,1))</f>
        <v>0</v>
      </c>
      <c r="AJ72" s="120" t="n">
        <f aca="false">INDEX($F72:$AG72,1,MATCH(AJ$7,$F$7:$AG$7,1))</f>
        <v>0</v>
      </c>
      <c r="AK72" s="120" t="n">
        <f aca="false">INDEX($F72:$AG72,1,MATCH(AK$7,$F$7:$AG$7,1))</f>
        <v>3450</v>
      </c>
      <c r="AL72" s="120" t="n">
        <f aca="false">INDEX($F72:$AG72,1,MATCH(AL$7,$F$7:$AG$7,1))</f>
        <v>3450</v>
      </c>
      <c r="AM72" s="120" t="n">
        <f aca="false">INDEX($F72:$AG72,1,MATCH(AM$7,$F$7:$AG$7,1))</f>
        <v>3450</v>
      </c>
      <c r="AN72" s="120" t="n">
        <f aca="false">INDEX($F72:$AG72,1,MATCH(AN$7,$F$7:$AG$7,1))</f>
        <v>3450</v>
      </c>
      <c r="AO72" s="120" t="n">
        <f aca="false">INDEX($F72:$AG72,1,MATCH(AO$7,$F$7:$AG$7,1))</f>
        <v>0</v>
      </c>
    </row>
    <row r="73" customFormat="false" ht="15" hidden="false" customHeight="false" outlineLevel="0" collapsed="false">
      <c r="A73" s="101" t="s">
        <v>1795</v>
      </c>
      <c r="B73" s="18" t="s">
        <v>400</v>
      </c>
      <c r="C73" s="18" t="s">
        <v>389</v>
      </c>
      <c r="D73" s="18"/>
      <c r="F73" s="119" t="n">
        <f aca="false">F72*$C$18/4</f>
        <v>0</v>
      </c>
      <c r="G73" s="119" t="n">
        <f aca="false">G72*$C$18/4</f>
        <v>0</v>
      </c>
      <c r="H73" s="119" t="n">
        <f aca="false">H72*$C$18/4</f>
        <v>0</v>
      </c>
      <c r="I73" s="119" t="n">
        <f aca="false">I72*$C$18/4</f>
        <v>0</v>
      </c>
      <c r="J73" s="119" t="n">
        <f aca="false">J72*$C$18/4</f>
        <v>0</v>
      </c>
      <c r="K73" s="119" t="n">
        <f aca="false">K72*$C$18/4</f>
        <v>0</v>
      </c>
      <c r="L73" s="119" t="n">
        <f aca="false">L72*$C$18/4</f>
        <v>0</v>
      </c>
      <c r="M73" s="119" t="n">
        <f aca="false">M72*$C$18/4</f>
        <v>0</v>
      </c>
      <c r="N73" s="119" t="n">
        <f aca="false">N72*$C$18/4</f>
        <v>0</v>
      </c>
      <c r="O73" s="119" t="n">
        <f aca="false">O72*$C$18/4</f>
        <v>0</v>
      </c>
      <c r="P73" s="120" t="n">
        <f aca="false">P72*$C$18/4</f>
        <v>4.3125</v>
      </c>
      <c r="Q73" s="120" t="n">
        <f aca="false">Q72*$C$18/4</f>
        <v>4.3125</v>
      </c>
      <c r="R73" s="120" t="n">
        <f aca="false">R72*$C$18/4</f>
        <v>4.3125</v>
      </c>
      <c r="S73" s="120" t="n">
        <f aca="false">S72*$C$18/4</f>
        <v>4.3125</v>
      </c>
      <c r="T73" s="120" t="n">
        <f aca="false">T72*$C$18/4</f>
        <v>4.3125</v>
      </c>
      <c r="U73" s="120" t="n">
        <f aca="false">U72*$C$18/4</f>
        <v>4.3125</v>
      </c>
      <c r="V73" s="120" t="n">
        <f aca="false">V72*$C$18/4</f>
        <v>4.3125</v>
      </c>
      <c r="W73" s="120" t="n">
        <f aca="false">W72*$C$18/4</f>
        <v>4.3125</v>
      </c>
      <c r="X73" s="120" t="n">
        <f aca="false">X72*$C$18/4</f>
        <v>4.3125</v>
      </c>
      <c r="Y73" s="120" t="n">
        <f aca="false">Y72*$C$18/4</f>
        <v>4.3125</v>
      </c>
      <c r="Z73" s="120" t="n">
        <f aca="false">Z72*$C$18/4</f>
        <v>4.3125</v>
      </c>
      <c r="AA73" s="120" t="n">
        <f aca="false">AA72*$C$18/4</f>
        <v>4.3125</v>
      </c>
      <c r="AB73" s="120" t="n">
        <f aca="false">AB72*$C$18/4</f>
        <v>4.3125</v>
      </c>
      <c r="AC73" s="120" t="n">
        <f aca="false">AC72*$C$18/4</f>
        <v>4.3125</v>
      </c>
      <c r="AD73" s="120" t="n">
        <f aca="false">AD72*$C$18/4</f>
        <v>0</v>
      </c>
      <c r="AE73" s="120" t="n">
        <f aca="false">AE72*$C$18/4</f>
        <v>0</v>
      </c>
      <c r="AF73" s="120" t="n">
        <f aca="false">AF72*$C$18/4</f>
        <v>0</v>
      </c>
      <c r="AG73" s="120" t="n">
        <f aca="false">AG72*$C$18/4</f>
        <v>0</v>
      </c>
      <c r="AI73" s="120" t="n">
        <f aca="false">SUMIF($F$7:$AG$7,AI$7,$F73:$AG73)</f>
        <v>0</v>
      </c>
      <c r="AJ73" s="120" t="n">
        <f aca="false">SUMIF($F$7:$AG$7,AJ$7,$F73:$AG73)</f>
        <v>0</v>
      </c>
      <c r="AK73" s="120" t="n">
        <f aca="false">SUMIF($F$7:$AG$7,AK$7,$F73:$AG73)</f>
        <v>8.625</v>
      </c>
      <c r="AL73" s="120" t="n">
        <f aca="false">SUMIF($F$7:$AG$7,AL$7,$F73:$AG73)</f>
        <v>17.25</v>
      </c>
      <c r="AM73" s="120" t="n">
        <f aca="false">SUMIF($F$7:$AG$7,AM$7,$F73:$AG73)</f>
        <v>17.25</v>
      </c>
      <c r="AN73" s="120" t="n">
        <f aca="false">SUMIF($F$7:$AG$7,AN$7,$F73:$AG73)</f>
        <v>17.25</v>
      </c>
      <c r="AO73" s="120" t="n">
        <f aca="false">SUMIF($F$7:$AG$7,AO$7,$F73:$AG73)</f>
        <v>0</v>
      </c>
    </row>
    <row r="74" customFormat="false" ht="15" hidden="false" customHeight="false" outlineLevel="0" collapsed="false">
      <c r="A74" s="101" t="s">
        <v>1796</v>
      </c>
      <c r="B74" s="18" t="s">
        <v>400</v>
      </c>
      <c r="C74" s="18" t="s">
        <v>389</v>
      </c>
      <c r="D74" s="18"/>
      <c r="F74" s="119" t="n">
        <f aca="false">F72*($J$18-1)/(($D$18-$B$18)/91.3125)</f>
        <v>0</v>
      </c>
      <c r="G74" s="119" t="n">
        <f aca="false">G72*($J$18-1)/(($D$18-$B$18)/91.3125)</f>
        <v>0</v>
      </c>
      <c r="H74" s="119" t="n">
        <f aca="false">H72*($J$18-1)/(($D$18-$B$18)/91.3125)</f>
        <v>0</v>
      </c>
      <c r="I74" s="119" t="n">
        <f aca="false">I72*($J$18-1)/(($D$18-$B$18)/91.3125)</f>
        <v>0</v>
      </c>
      <c r="J74" s="119" t="n">
        <f aca="false">J72*($J$18-1)/(($D$18-$B$18)/91.3125)</f>
        <v>0</v>
      </c>
      <c r="K74" s="119" t="n">
        <f aca="false">K72*($J$18-1)/(($D$18-$B$18)/91.3125)</f>
        <v>0</v>
      </c>
      <c r="L74" s="119" t="n">
        <f aca="false">L72*($J$18-1)/(($D$18-$B$18)/91.3125)</f>
        <v>0</v>
      </c>
      <c r="M74" s="119" t="n">
        <f aca="false">M72*($J$18-1)/(($D$18-$B$18)/91.3125)</f>
        <v>0</v>
      </c>
      <c r="N74" s="119" t="n">
        <f aca="false">N72*($J$18-1)/(($D$18-$B$18)/91.3125)</f>
        <v>0</v>
      </c>
      <c r="O74" s="119" t="n">
        <f aca="false">O72*($J$18-1)/(($D$18-$B$18)/91.3125)</f>
        <v>0</v>
      </c>
      <c r="P74" s="120" t="n">
        <f aca="false">P72*($J$18-1)/(($D$18-$B$18)/91.3125)</f>
        <v>24.7858477576711</v>
      </c>
      <c r="Q74" s="120" t="n">
        <f aca="false">Q72*($J$18-1)/(($D$18-$B$18)/91.3125)</f>
        <v>24.7858477576711</v>
      </c>
      <c r="R74" s="120" t="n">
        <f aca="false">R72*($J$18-1)/(($D$18-$B$18)/91.3125)</f>
        <v>24.7858477576711</v>
      </c>
      <c r="S74" s="120" t="n">
        <f aca="false">S72*($J$18-1)/(($D$18-$B$18)/91.3125)</f>
        <v>24.7858477576711</v>
      </c>
      <c r="T74" s="120" t="n">
        <f aca="false">T72*($J$18-1)/(($D$18-$B$18)/91.3125)</f>
        <v>24.7858477576711</v>
      </c>
      <c r="U74" s="120" t="n">
        <f aca="false">U72*($J$18-1)/(($D$18-$B$18)/91.3125)</f>
        <v>24.7858477576711</v>
      </c>
      <c r="V74" s="120" t="n">
        <f aca="false">V72*($J$18-1)/(($D$18-$B$18)/91.3125)</f>
        <v>24.7858477576711</v>
      </c>
      <c r="W74" s="120" t="n">
        <f aca="false">W72*($J$18-1)/(($D$18-$B$18)/91.3125)</f>
        <v>24.7858477576711</v>
      </c>
      <c r="X74" s="120" t="n">
        <f aca="false">X72*($J$18-1)/(($D$18-$B$18)/91.3125)</f>
        <v>24.7858477576711</v>
      </c>
      <c r="Y74" s="120" t="n">
        <f aca="false">Y72*($J$18-1)/(($D$18-$B$18)/91.3125)</f>
        <v>24.7858477576711</v>
      </c>
      <c r="Z74" s="120" t="n">
        <f aca="false">Z72*($J$18-1)/(($D$18-$B$18)/91.3125)</f>
        <v>24.7858477576711</v>
      </c>
      <c r="AA74" s="120" t="n">
        <f aca="false">AA72*($J$18-1)/(($D$18-$B$18)/91.3125)</f>
        <v>24.7858477576711</v>
      </c>
      <c r="AB74" s="120" t="n">
        <f aca="false">AB72*($J$18-1)/(($D$18-$B$18)/91.3125)</f>
        <v>24.7858477576711</v>
      </c>
      <c r="AC74" s="120" t="n">
        <f aca="false">AC72*($J$18-1)/(($D$18-$B$18)/91.3125)</f>
        <v>24.7858477576711</v>
      </c>
      <c r="AD74" s="120" t="n">
        <f aca="false">AD72*($J$18-1)/(($D$18-$B$18)/91.3125)</f>
        <v>0</v>
      </c>
      <c r="AE74" s="120" t="n">
        <f aca="false">AE72*($J$18-1)/(($D$18-$B$18)/91.3125)</f>
        <v>0</v>
      </c>
      <c r="AF74" s="120" t="n">
        <f aca="false">AF72*($J$18-1)/(($D$18-$B$18)/91.3125)</f>
        <v>0</v>
      </c>
      <c r="AG74" s="120" t="n">
        <f aca="false">AG72*($J$18-1)/(($D$18-$B$18)/91.3125)</f>
        <v>0</v>
      </c>
      <c r="AI74" s="120" t="n">
        <f aca="false">SUMIF($F$7:$AG$7,AI$7,$F74:$AG74)</f>
        <v>0</v>
      </c>
      <c r="AJ74" s="120" t="n">
        <f aca="false">SUMIF($F$7:$AG$7,AJ$7,$F74:$AG74)</f>
        <v>0</v>
      </c>
      <c r="AK74" s="120" t="n">
        <f aca="false">SUMIF($F$7:$AG$7,AK$7,$F74:$AG74)</f>
        <v>49.5716955153423</v>
      </c>
      <c r="AL74" s="120" t="n">
        <f aca="false">SUMIF($F$7:$AG$7,AL$7,$F74:$AG74)</f>
        <v>99.1433910306846</v>
      </c>
      <c r="AM74" s="120" t="n">
        <f aca="false">SUMIF($F$7:$AG$7,AM$7,$F74:$AG74)</f>
        <v>99.1433910306846</v>
      </c>
      <c r="AN74" s="120" t="n">
        <f aca="false">SUMIF($F$7:$AG$7,AN$7,$F74:$AG74)</f>
        <v>99.1433910306846</v>
      </c>
      <c r="AO74" s="120" t="n">
        <f aca="false">SUMIF($F$7:$AG$7,AO$7,$F74:$AG74)</f>
        <v>0</v>
      </c>
    </row>
    <row r="75" customFormat="false" ht="15" hidden="false" customHeight="false" outlineLevel="0" collapsed="false">
      <c r="A75" s="101" t="s">
        <v>1797</v>
      </c>
      <c r="B75" s="18" t="s">
        <v>400</v>
      </c>
      <c r="C75" s="18" t="s">
        <v>389</v>
      </c>
      <c r="D75" s="18"/>
      <c r="F75" s="119" t="n">
        <f aca="false">F72*(1+($J$18-1)*MIN(1,MAX(0,(F$4-$B$18)/($D$18-$B$18))))</f>
        <v>0</v>
      </c>
      <c r="G75" s="119" t="n">
        <f aca="false">G72*(1+($J$18-1)*MIN(1,MAX(0,(G$4-$B$18)/($D$18-$B$18))))</f>
        <v>0</v>
      </c>
      <c r="H75" s="119" t="n">
        <f aca="false">H72*(1+($J$18-1)*MIN(1,MAX(0,(H$4-$B$18)/($D$18-$B$18))))</f>
        <v>0</v>
      </c>
      <c r="I75" s="119" t="n">
        <f aca="false">I72*(1+($J$18-1)*MIN(1,MAX(0,(I$4-$B$18)/($D$18-$B$18))))</f>
        <v>0</v>
      </c>
      <c r="J75" s="119" t="n">
        <f aca="false">J72*(1+($J$18-1)*MIN(1,MAX(0,(J$4-$B$18)/($D$18-$B$18))))</f>
        <v>0</v>
      </c>
      <c r="K75" s="119" t="n">
        <f aca="false">K72*(1+($J$18-1)*MIN(1,MAX(0,(K$4-$B$18)/($D$18-$B$18))))</f>
        <v>0</v>
      </c>
      <c r="L75" s="119" t="n">
        <f aca="false">L72*(1+($J$18-1)*MIN(1,MAX(0,(L$4-$B$18)/($D$18-$B$18))))</f>
        <v>0</v>
      </c>
      <c r="M75" s="119" t="n">
        <f aca="false">M72*(1+($J$18-1)*MIN(1,MAX(0,(M$4-$B$18)/($D$18-$B$18))))</f>
        <v>0</v>
      </c>
      <c r="N75" s="119" t="n">
        <f aca="false">N72*(1+($J$18-1)*MIN(1,MAX(0,(N$4-$B$18)/($D$18-$B$18))))</f>
        <v>0</v>
      </c>
      <c r="O75" s="119" t="n">
        <f aca="false">O72*(1+($J$18-1)*MIN(1,MAX(0,(O$4-$B$18)/($D$18-$B$18))))</f>
        <v>0</v>
      </c>
      <c r="P75" s="120" t="n">
        <f aca="false">P72*(1+($J$18-1)*MIN(1,MAX(0,(P$4-$B$18)/($D$18-$B$18))))</f>
        <v>3460.04327301338</v>
      </c>
      <c r="Q75" s="120" t="n">
        <f aca="false">Q72*(1+($J$18-1)*MIN(1,MAX(0,(Q$4-$B$18)/($D$18-$B$18))))</f>
        <v>3485.01573564123</v>
      </c>
      <c r="R75" s="120" t="n">
        <f aca="false">R72*(1+($J$18-1)*MIN(1,MAX(0,(R$4-$B$18)/($D$18-$B$18))))</f>
        <v>3509.44531864674</v>
      </c>
      <c r="S75" s="120" t="n">
        <f aca="false">S72*(1+($J$18-1)*MIN(1,MAX(0,(S$4-$B$18)/($D$18-$B$18))))</f>
        <v>3534.14634146341</v>
      </c>
      <c r="T75" s="120" t="n">
        <f aca="false">T72*(1+($J$18-1)*MIN(1,MAX(0,(T$4-$B$18)/($D$18-$B$18))))</f>
        <v>3559.11880409127</v>
      </c>
      <c r="U75" s="120" t="n">
        <f aca="false">U72*(1+($J$18-1)*MIN(1,MAX(0,(U$4-$B$18)/($D$18-$B$18))))</f>
        <v>3584.09126671912</v>
      </c>
      <c r="V75" s="120" t="n">
        <f aca="false">V72*(1+($J$18-1)*MIN(1,MAX(0,(V$4-$B$18)/($D$18-$B$18))))</f>
        <v>3608.7922895358</v>
      </c>
      <c r="W75" s="120" t="n">
        <f aca="false">W72*(1+($J$18-1)*MIN(1,MAX(0,(W$4-$B$18)/($D$18-$B$18))))</f>
        <v>3633.49331235248</v>
      </c>
      <c r="X75" s="120" t="n">
        <f aca="false">X72*(1+($J$18-1)*MIN(1,MAX(0,(X$4-$B$18)/($D$18-$B$18))))</f>
        <v>3658.46577498033</v>
      </c>
      <c r="Y75" s="120" t="n">
        <f aca="false">Y72*(1+($J$18-1)*MIN(1,MAX(0,(Y$4-$B$18)/($D$18-$B$18))))</f>
        <v>3683.43823760818</v>
      </c>
      <c r="Z75" s="120" t="n">
        <f aca="false">Z72*(1+($J$18-1)*MIN(1,MAX(0,(Z$4-$B$18)/($D$18-$B$18))))</f>
        <v>3707.86782061369</v>
      </c>
      <c r="AA75" s="120" t="n">
        <f aca="false">AA72*(1+($J$18-1)*MIN(1,MAX(0,(AA$4-$B$18)/($D$18-$B$18))))</f>
        <v>3732.56884343037</v>
      </c>
      <c r="AB75" s="120" t="n">
        <f aca="false">AB72*(1+($J$18-1)*MIN(1,MAX(0,(AB$4-$B$18)/($D$18-$B$18))))</f>
        <v>3757.54130605822</v>
      </c>
      <c r="AC75" s="120" t="n">
        <f aca="false">AC72*(1+($J$18-1)*MIN(1,MAX(0,(AC$4-$B$18)/($D$18-$B$18))))</f>
        <v>3782.51376868607</v>
      </c>
      <c r="AD75" s="120" t="n">
        <f aca="false">AD72*(1+($J$18-1)*MIN(1,MAX(0,(AD$4-$B$18)/($D$18-$B$18))))</f>
        <v>0</v>
      </c>
      <c r="AE75" s="120" t="n">
        <f aca="false">AE72*(1+($J$18-1)*MIN(1,MAX(0,(AE$4-$B$18)/($D$18-$B$18))))</f>
        <v>0</v>
      </c>
      <c r="AF75" s="120" t="n">
        <f aca="false">AF72*(1+($J$18-1)*MIN(1,MAX(0,(AF$4-$B$18)/($D$18-$B$18))))</f>
        <v>0</v>
      </c>
      <c r="AG75" s="120" t="n">
        <f aca="false">AG72*(1+($J$18-1)*MIN(1,MAX(0,(AG$4-$B$18)/($D$18-$B$18))))</f>
        <v>0</v>
      </c>
      <c r="AI75" s="120" t="n">
        <f aca="false">INDEX($F75:$AG75,1,MATCH(AI$7,$F$7:$AG$7,1))</f>
        <v>0</v>
      </c>
      <c r="AJ75" s="120" t="n">
        <f aca="false">INDEX($F75:$AG75,1,MATCH(AJ$7,$F$7:$AG$7,1))</f>
        <v>0</v>
      </c>
      <c r="AK75" s="120" t="n">
        <f aca="false">INDEX($F75:$AG75,1,MATCH(AK$7,$F$7:$AG$7,1))</f>
        <v>3485.01573564123</v>
      </c>
      <c r="AL75" s="120" t="n">
        <f aca="false">INDEX($F75:$AG75,1,MATCH(AL$7,$F$7:$AG$7,1))</f>
        <v>3584.09126671912</v>
      </c>
      <c r="AM75" s="120" t="n">
        <f aca="false">INDEX($F75:$AG75,1,MATCH(AM$7,$F$7:$AG$7,1))</f>
        <v>3683.43823760818</v>
      </c>
      <c r="AN75" s="120" t="n">
        <f aca="false">INDEX($F75:$AG75,1,MATCH(AN$7,$F$7:$AG$7,1))</f>
        <v>3782.51376868607</v>
      </c>
      <c r="AO75" s="120" t="n">
        <f aca="false">INDEX($F75:$AG75,1,MATCH(AO$7,$F$7:$AG$7,1))</f>
        <v>0</v>
      </c>
    </row>
    <row r="76" customFormat="false" ht="15" hidden="false" customHeight="false" outlineLevel="0" collapsed="false">
      <c r="A76" s="101" t="s">
        <v>1798</v>
      </c>
      <c r="B76" s="18" t="s">
        <v>400</v>
      </c>
      <c r="C76" s="18" t="s">
        <v>389</v>
      </c>
      <c r="D76" s="18"/>
      <c r="F76" s="119" t="n">
        <f aca="false">IF(F$5=$N$18,E72*$J$18*(1-$O$18),0)</f>
        <v>0</v>
      </c>
      <c r="G76" s="119" t="n">
        <f aca="false">IF(G$5=$N$18,F72*$J$18*(1-$O$18),0)</f>
        <v>0</v>
      </c>
      <c r="H76" s="119" t="n">
        <f aca="false">IF(H$5=$N$18,G72*$J$18*(1-$O$18),0)</f>
        <v>0</v>
      </c>
      <c r="I76" s="119" t="n">
        <f aca="false">IF(I$5=$N$18,H72*$J$18*(1-$O$18),0)</f>
        <v>0</v>
      </c>
      <c r="J76" s="119" t="n">
        <f aca="false">IF(J$5=$N$18,I72*$J$18*(1-$O$18),0)</f>
        <v>0</v>
      </c>
      <c r="K76" s="119" t="n">
        <f aca="false">IF(K$5=$N$18,J72*$J$18*(1-$O$18),0)</f>
        <v>0</v>
      </c>
      <c r="L76" s="119" t="n">
        <f aca="false">IF(L$5=$N$18,K72*$J$18*(1-$O$18),0)</f>
        <v>0</v>
      </c>
      <c r="M76" s="119" t="n">
        <f aca="false">IF(M$5=$N$18,L72*$J$18*(1-$O$18),0)</f>
        <v>0</v>
      </c>
      <c r="N76" s="119" t="n">
        <f aca="false">IF(N$5=$N$18,M72*$J$18*(1-$O$18),0)</f>
        <v>0</v>
      </c>
      <c r="O76" s="119" t="n">
        <f aca="false">IF(O$5=$N$18,N72*$J$18*(1-$O$18),0)</f>
        <v>0</v>
      </c>
      <c r="P76" s="120" t="n">
        <f aca="false">IF(P$5=$N$18,O72*$J$18*(1-$O$18),0)</f>
        <v>0</v>
      </c>
      <c r="Q76" s="120" t="n">
        <f aca="false">IF(Q$5=$N$18,P72*$J$18*(1-$O$18),0)</f>
        <v>0</v>
      </c>
      <c r="R76" s="120" t="n">
        <f aca="false">IF(R$5=$N$18,Q72*$J$18*(1-$O$18),0)</f>
        <v>0</v>
      </c>
      <c r="S76" s="120" t="n">
        <f aca="false">IF(S$5=$N$18,R72*$J$18*(1-$O$18),0)</f>
        <v>0</v>
      </c>
      <c r="T76" s="120" t="n">
        <f aca="false">IF(T$5=$N$18,S72*$J$18*(1-$O$18),0)</f>
        <v>0</v>
      </c>
      <c r="U76" s="120" t="n">
        <f aca="false">IF(U$5=$N$18,T72*$J$18*(1-$O$18),0)</f>
        <v>0</v>
      </c>
      <c r="V76" s="120" t="n">
        <f aca="false">IF(V$5=$N$18,U72*$J$18*(1-$O$18),0)</f>
        <v>0</v>
      </c>
      <c r="W76" s="120" t="n">
        <f aca="false">IF(W$5=$N$18,V72*$J$18*(1-$O$18),0)</f>
        <v>0</v>
      </c>
      <c r="X76" s="120" t="n">
        <f aca="false">IF(X$5=$N$18,W72*$J$18*(1-$O$18),0)</f>
        <v>0</v>
      </c>
      <c r="Y76" s="120" t="n">
        <f aca="false">IF(Y$5=$N$18,X72*$J$18*(1-$O$18),0)</f>
        <v>0</v>
      </c>
      <c r="Z76" s="120" t="n">
        <f aca="false">IF(Z$5=$N$18,Y72*$J$18*(1-$O$18),0)</f>
        <v>0</v>
      </c>
      <c r="AA76" s="120" t="n">
        <f aca="false">IF(AA$5=$N$18,Z72*$J$18*(1-$O$18),0)</f>
        <v>0</v>
      </c>
      <c r="AB76" s="120" t="n">
        <f aca="false">IF(AB$5=$N$18,AA72*$J$18*(1-$O$18),0)</f>
        <v>0</v>
      </c>
      <c r="AC76" s="120" t="n">
        <f aca="false">IF(AC$5=$N$18,AB72*$J$18*(1-$O$18),0)</f>
        <v>0</v>
      </c>
      <c r="AD76" s="120" t="n">
        <f aca="false">IF(AD$5=$N$18,AC72*$J$18*(1-$O$18),0)</f>
        <v>3795</v>
      </c>
      <c r="AE76" s="120" t="n">
        <f aca="false">IF(AE$5=$N$18,AD72*$J$18*(1-$O$18),0)</f>
        <v>0</v>
      </c>
      <c r="AF76" s="120" t="n">
        <f aca="false">IF(AF$5=$N$18,AE72*$J$18*(1-$O$18),0)</f>
        <v>0</v>
      </c>
      <c r="AG76" s="120" t="n">
        <f aca="false">IF(AG$5=$N$18,AF72*$J$18*(1-$O$18),0)</f>
        <v>0</v>
      </c>
      <c r="AI76" s="120" t="n">
        <f aca="false">SUMIF($F$7:$AG$7,AI$7,$F76:$AG76)</f>
        <v>0</v>
      </c>
      <c r="AJ76" s="120" t="n">
        <f aca="false">SUMIF($F$7:$AG$7,AJ$7,$F76:$AG76)</f>
        <v>0</v>
      </c>
      <c r="AK76" s="120" t="n">
        <f aca="false">SUMIF($F$7:$AG$7,AK$7,$F76:$AG76)</f>
        <v>0</v>
      </c>
      <c r="AL76" s="120" t="n">
        <f aca="false">SUMIF($F$7:$AG$7,AL$7,$F76:$AG76)</f>
        <v>0</v>
      </c>
      <c r="AM76" s="120" t="n">
        <f aca="false">SUMIF($F$7:$AG$7,AM$7,$F76:$AG76)</f>
        <v>0</v>
      </c>
      <c r="AN76" s="120" t="n">
        <f aca="false">SUMIF($F$7:$AG$7,AN$7,$F76:$AG76)</f>
        <v>0</v>
      </c>
      <c r="AO76" s="120" t="n">
        <f aca="false">SUMIF($F$7:$AG$7,AO$7,$F76:$AG76)</f>
        <v>3795</v>
      </c>
    </row>
    <row r="77" customFormat="false" ht="15" hidden="false" customHeight="false" outlineLevel="0" collapsed="false">
      <c r="A77" s="101" t="s">
        <v>1799</v>
      </c>
      <c r="B77" s="18" t="s">
        <v>781</v>
      </c>
      <c r="C77" s="18" t="s">
        <v>389</v>
      </c>
      <c r="D77" s="18"/>
      <c r="F77" s="131" t="n">
        <f aca="false">IF(F$5=$N$18,E72*$K$18/1000*$O$18,0)</f>
        <v>0</v>
      </c>
      <c r="G77" s="131" t="n">
        <f aca="false">IF(G$5=$N$18,F72*$K$18/1000*$O$18,0)</f>
        <v>0</v>
      </c>
      <c r="H77" s="131" t="n">
        <f aca="false">IF(H$5=$N$18,G72*$K$18/1000*$O$18,0)</f>
        <v>0</v>
      </c>
      <c r="I77" s="131" t="n">
        <f aca="false">IF(I$5=$N$18,H72*$K$18/1000*$O$18,0)</f>
        <v>0</v>
      </c>
      <c r="J77" s="131" t="n">
        <f aca="false">IF(J$5=$N$18,I72*$K$18/1000*$O$18,0)</f>
        <v>0</v>
      </c>
      <c r="K77" s="131" t="n">
        <f aca="false">IF(K$5=$N$18,J72*$K$18/1000*$O$18,0)</f>
        <v>0</v>
      </c>
      <c r="L77" s="131" t="n">
        <f aca="false">IF(L$5=$N$18,K72*$K$18/1000*$O$18,0)</f>
        <v>0</v>
      </c>
      <c r="M77" s="131" t="n">
        <f aca="false">IF(M$5=$N$18,L72*$K$18/1000*$O$18,0)</f>
        <v>0</v>
      </c>
      <c r="N77" s="131" t="n">
        <f aca="false">IF(N$5=$N$18,M72*$K$18/1000*$O$18,0)</f>
        <v>0</v>
      </c>
      <c r="O77" s="131" t="n">
        <f aca="false">IF(O$5=$N$18,N72*$K$18/1000*$O$18,0)</f>
        <v>0</v>
      </c>
      <c r="P77" s="37" t="n">
        <f aca="false">IF(P$5=$N$18,O72*$K$18/1000*$O$18,0)</f>
        <v>0</v>
      </c>
      <c r="Q77" s="37" t="n">
        <f aca="false">IF(Q$5=$N$18,P72*$K$18/1000*$O$18,0)</f>
        <v>0</v>
      </c>
      <c r="R77" s="37" t="n">
        <f aca="false">IF(R$5=$N$18,Q72*$K$18/1000*$O$18,0)</f>
        <v>0</v>
      </c>
      <c r="S77" s="37" t="n">
        <f aca="false">IF(S$5=$N$18,R72*$K$18/1000*$O$18,0)</f>
        <v>0</v>
      </c>
      <c r="T77" s="37" t="n">
        <f aca="false">IF(T$5=$N$18,S72*$K$18/1000*$O$18,0)</f>
        <v>0</v>
      </c>
      <c r="U77" s="37" t="n">
        <f aca="false">IF(U$5=$N$18,T72*$K$18/1000*$O$18,0)</f>
        <v>0</v>
      </c>
      <c r="V77" s="37" t="n">
        <f aca="false">IF(V$5=$N$18,U72*$K$18/1000*$O$18,0)</f>
        <v>0</v>
      </c>
      <c r="W77" s="37" t="n">
        <f aca="false">IF(W$5=$N$18,V72*$K$18/1000*$O$18,0)</f>
        <v>0</v>
      </c>
      <c r="X77" s="37" t="n">
        <f aca="false">IF(X$5=$N$18,W72*$K$18/1000*$O$18,0)</f>
        <v>0</v>
      </c>
      <c r="Y77" s="37" t="n">
        <f aca="false">IF(Y$5=$N$18,X72*$K$18/1000*$O$18,0)</f>
        <v>0</v>
      </c>
      <c r="Z77" s="37" t="n">
        <f aca="false">IF(Z$5=$N$18,Y72*$K$18/1000*$O$18,0)</f>
        <v>0</v>
      </c>
      <c r="AA77" s="37" t="n">
        <f aca="false">IF(AA$5=$N$18,Z72*$K$18/1000*$O$18,0)</f>
        <v>0</v>
      </c>
      <c r="AB77" s="37" t="n">
        <f aca="false">IF(AB$5=$N$18,AA72*$K$18/1000*$O$18,0)</f>
        <v>0</v>
      </c>
      <c r="AC77" s="37" t="n">
        <f aca="false">IF(AC$5=$N$18,AB72*$K$18/1000*$O$18,0)</f>
        <v>0</v>
      </c>
      <c r="AD77" s="37" t="n">
        <f aca="false">IF(AD$5=$N$18,AC72*$K$18/1000*$O$18,0)</f>
        <v>0</v>
      </c>
      <c r="AE77" s="37" t="n">
        <f aca="false">IF(AE$5=$N$18,AD72*$K$18/1000*$O$18,0)</f>
        <v>0</v>
      </c>
      <c r="AF77" s="37" t="n">
        <f aca="false">IF(AF$5=$N$18,AE72*$K$18/1000*$O$18,0)</f>
        <v>0</v>
      </c>
      <c r="AG77" s="37" t="n">
        <f aca="false">IF(AG$5=$N$18,AF72*$K$18/1000*$O$18,0)</f>
        <v>0</v>
      </c>
      <c r="AI77" s="37" t="n">
        <f aca="false">SUMIF($F$7:$AG$7,AI$7,$F77:$AG77)</f>
        <v>0</v>
      </c>
      <c r="AJ77" s="37" t="n">
        <f aca="false">SUMIF($F$7:$AG$7,AJ$7,$F77:$AG77)</f>
        <v>0</v>
      </c>
      <c r="AK77" s="37" t="n">
        <f aca="false">SUMIF($F$7:$AG$7,AK$7,$F77:$AG77)</f>
        <v>0</v>
      </c>
      <c r="AL77" s="37" t="n">
        <f aca="false">SUMIF($F$7:$AG$7,AL$7,$F77:$AG77)</f>
        <v>0</v>
      </c>
      <c r="AM77" s="37" t="n">
        <f aca="false">SUMIF($F$7:$AG$7,AM$7,$F77:$AG77)</f>
        <v>0</v>
      </c>
      <c r="AN77" s="37" t="n">
        <f aca="false">SUMIF($F$7:$AG$7,AN$7,$F77:$AG77)</f>
        <v>0</v>
      </c>
      <c r="AO77" s="37" t="n">
        <f aca="false">SUMIF($F$7:$AG$7,AO$7,$F77:$AG77)</f>
        <v>0</v>
      </c>
    </row>
    <row r="78" customFormat="false" ht="15" hidden="false" customHeight="false" outlineLevel="0" collapsed="false">
      <c r="A78" s="101" t="s">
        <v>1800</v>
      </c>
      <c r="B78" s="18" t="s">
        <v>781</v>
      </c>
      <c r="C78" s="18" t="s">
        <v>336</v>
      </c>
      <c r="D78" s="18"/>
      <c r="F78" s="131" t="n">
        <f aca="false">IF(DilMethod=3,MAX(0,F72*$K$18/1000*DilPx-F75)/DilPx,F72*$K$18/1000*$P$18)</f>
        <v>0</v>
      </c>
      <c r="G78" s="131" t="n">
        <f aca="false">IF(DilMethod=3,MAX(0,G72*$K$18/1000*DilPx-G75)/DilPx,G72*$K$18/1000*$P$18)</f>
        <v>0</v>
      </c>
      <c r="H78" s="131" t="n">
        <f aca="false">IF(DilMethod=3,MAX(0,H72*$K$18/1000*DilPx-H75)/DilPx,H72*$K$18/1000*$P$18)</f>
        <v>0</v>
      </c>
      <c r="I78" s="131" t="n">
        <f aca="false">IF(DilMethod=3,MAX(0,I72*$K$18/1000*DilPx-I75)/DilPx,I72*$K$18/1000*$P$18)</f>
        <v>0</v>
      </c>
      <c r="J78" s="131" t="n">
        <f aca="false">IF(DilMethod=3,MAX(0,J72*$K$18/1000*DilPx-J75)/DilPx,J72*$K$18/1000*$P$18)</f>
        <v>0</v>
      </c>
      <c r="K78" s="131" t="n">
        <f aca="false">IF(DilMethod=3,MAX(0,K72*$K$18/1000*DilPx-K75)/DilPx,K72*$K$18/1000*$P$18)</f>
        <v>0</v>
      </c>
      <c r="L78" s="131" t="n">
        <f aca="false">IF(DilMethod=3,MAX(0,L72*$K$18/1000*DilPx-L75)/DilPx,L72*$K$18/1000*$P$18)</f>
        <v>0</v>
      </c>
      <c r="M78" s="131" t="n">
        <f aca="false">IF(DilMethod=3,MAX(0,M72*$K$18/1000*DilPx-M75)/DilPx,M72*$K$18/1000*$P$18)</f>
        <v>0</v>
      </c>
      <c r="N78" s="131" t="n">
        <f aca="false">IF(DilMethod=3,MAX(0,N72*$K$18/1000*DilPx-N75)/DilPx,N72*$K$18/1000*$P$18)</f>
        <v>0</v>
      </c>
      <c r="O78" s="131" t="n">
        <f aca="false">IF(DilMethod=3,MAX(0,O72*$K$18/1000*DilPx-O75)/DilPx,O72*$K$18/1000*$P$18)</f>
        <v>0</v>
      </c>
      <c r="P78" s="37" t="n">
        <f aca="false">IF(DilMethod=3,MAX(0,P72*$K$18/1000*DilPx-P75)/DilPx,P72*$K$18/1000*$P$18)</f>
        <v>0</v>
      </c>
      <c r="Q78" s="37" t="n">
        <f aca="false">IF(DilMethod=3,MAX(0,Q72*$K$18/1000*DilPx-Q75)/DilPx,Q72*$K$18/1000*$P$18)</f>
        <v>0</v>
      </c>
      <c r="R78" s="37" t="n">
        <f aca="false">IF(DilMethod=3,MAX(0,R72*$K$18/1000*DilPx-R75)/DilPx,R72*$K$18/1000*$P$18)</f>
        <v>0</v>
      </c>
      <c r="S78" s="37" t="n">
        <f aca="false">IF(DilMethod=3,MAX(0,S72*$K$18/1000*DilPx-S75)/DilPx,S72*$K$18/1000*$P$18)</f>
        <v>0</v>
      </c>
      <c r="T78" s="37" t="n">
        <f aca="false">IF(DilMethod=3,MAX(0,T72*$K$18/1000*DilPx-T75)/DilPx,T72*$K$18/1000*$P$18)</f>
        <v>0</v>
      </c>
      <c r="U78" s="37" t="n">
        <f aca="false">IF(DilMethod=3,MAX(0,U72*$K$18/1000*DilPx-U75)/DilPx,U72*$K$18/1000*$P$18)</f>
        <v>0</v>
      </c>
      <c r="V78" s="37" t="n">
        <f aca="false">IF(DilMethod=3,MAX(0,V72*$K$18/1000*DilPx-V75)/DilPx,V72*$K$18/1000*$P$18)</f>
        <v>0</v>
      </c>
      <c r="W78" s="37" t="n">
        <f aca="false">IF(DilMethod=3,MAX(0,W72*$K$18/1000*DilPx-W75)/DilPx,W72*$K$18/1000*$P$18)</f>
        <v>0</v>
      </c>
      <c r="X78" s="37" t="n">
        <f aca="false">IF(DilMethod=3,MAX(0,X72*$K$18/1000*DilPx-X75)/DilPx,X72*$K$18/1000*$P$18)</f>
        <v>0</v>
      </c>
      <c r="Y78" s="37" t="n">
        <f aca="false">IF(DilMethod=3,MAX(0,Y72*$K$18/1000*DilPx-Y75)/DilPx,Y72*$K$18/1000*$P$18)</f>
        <v>0</v>
      </c>
      <c r="Z78" s="37" t="n">
        <f aca="false">IF(DilMethod=3,MAX(0,Z72*$K$18/1000*DilPx-Z75)/DilPx,Z72*$K$18/1000*$P$18)</f>
        <v>0</v>
      </c>
      <c r="AA78" s="37" t="n">
        <f aca="false">IF(DilMethod=3,MAX(0,AA72*$K$18/1000*DilPx-AA75)/DilPx,AA72*$K$18/1000*$P$18)</f>
        <v>0</v>
      </c>
      <c r="AB78" s="37" t="n">
        <f aca="false">IF(DilMethod=3,MAX(0,AB72*$K$18/1000*DilPx-AB75)/DilPx,AB72*$K$18/1000*$P$18)</f>
        <v>0</v>
      </c>
      <c r="AC78" s="37" t="n">
        <f aca="false">IF(DilMethod=3,MAX(0,AC72*$K$18/1000*DilPx-AC75)/DilPx,AC72*$K$18/1000*$P$18)</f>
        <v>0</v>
      </c>
      <c r="AD78" s="37" t="n">
        <f aca="false">IF(DilMethod=3,MAX(0,AD72*$K$18/1000*DilPx-AD75)/DilPx,AD72*$K$18/1000*$P$18)</f>
        <v>0</v>
      </c>
      <c r="AE78" s="37" t="n">
        <f aca="false">IF(DilMethod=3,MAX(0,AE72*$K$18/1000*DilPx-AE75)/DilPx,AE72*$K$18/1000*$P$18)</f>
        <v>0</v>
      </c>
      <c r="AF78" s="37" t="n">
        <f aca="false">IF(DilMethod=3,MAX(0,AF72*$K$18/1000*DilPx-AF75)/DilPx,AF72*$K$18/1000*$P$18)</f>
        <v>0</v>
      </c>
      <c r="AG78" s="37" t="n">
        <f aca="false">IF(DilMethod=3,MAX(0,AG72*$K$18/1000*DilPx-AG75)/DilPx,AG72*$K$18/1000*$P$18)</f>
        <v>0</v>
      </c>
      <c r="AI78" s="37" t="n">
        <f aca="false">INDEX($F78:$AG78,1,MATCH(AI$7,$F$7:$AG$7,1))</f>
        <v>0</v>
      </c>
      <c r="AJ78" s="37" t="n">
        <f aca="false">INDEX($F78:$AG78,1,MATCH(AJ$7,$F$7:$AG$7,1))</f>
        <v>0</v>
      </c>
      <c r="AK78" s="37" t="n">
        <f aca="false">INDEX($F78:$AG78,1,MATCH(AK$7,$F$7:$AG$7,1))</f>
        <v>0</v>
      </c>
      <c r="AL78" s="37" t="n">
        <f aca="false">INDEX($F78:$AG78,1,MATCH(AL$7,$F$7:$AG$7,1))</f>
        <v>0</v>
      </c>
      <c r="AM78" s="37" t="n">
        <f aca="false">INDEX($F78:$AG78,1,MATCH(AM$7,$F$7:$AG$7,1))</f>
        <v>0</v>
      </c>
      <c r="AN78" s="37" t="n">
        <f aca="false">INDEX($F78:$AG78,1,MATCH(AN$7,$F$7:$AG$7,1))</f>
        <v>0</v>
      </c>
      <c r="AO78" s="37" t="n">
        <f aca="false">INDEX($F78:$AG78,1,MATCH(AO$7,$F$7:$AG$7,1))</f>
        <v>0</v>
      </c>
    </row>
    <row r="79" customFormat="false" ht="15" hidden="false" customHeight="false" outlineLevel="0" collapsed="false">
      <c r="A79" s="101" t="s">
        <v>1801</v>
      </c>
      <c r="B79" s="18" t="s">
        <v>400</v>
      </c>
      <c r="C79" s="18" t="s">
        <v>336</v>
      </c>
      <c r="D79" s="18"/>
      <c r="F79" s="119" t="n">
        <f aca="false">F75*IF(DilMethod=3,1,1-$P$18)</f>
        <v>0</v>
      </c>
      <c r="G79" s="119" t="n">
        <f aca="false">G75*IF(DilMethod=3,1,1-$P$18)</f>
        <v>0</v>
      </c>
      <c r="H79" s="119" t="n">
        <f aca="false">H75*IF(DilMethod=3,1,1-$P$18)</f>
        <v>0</v>
      </c>
      <c r="I79" s="119" t="n">
        <f aca="false">I75*IF(DilMethod=3,1,1-$P$18)</f>
        <v>0</v>
      </c>
      <c r="J79" s="119" t="n">
        <f aca="false">J75*IF(DilMethod=3,1,1-$P$18)</f>
        <v>0</v>
      </c>
      <c r="K79" s="119" t="n">
        <f aca="false">K75*IF(DilMethod=3,1,1-$P$18)</f>
        <v>0</v>
      </c>
      <c r="L79" s="119" t="n">
        <f aca="false">L75*IF(DilMethod=3,1,1-$P$18)</f>
        <v>0</v>
      </c>
      <c r="M79" s="119" t="n">
        <f aca="false">M75*IF(DilMethod=3,1,1-$P$18)</f>
        <v>0</v>
      </c>
      <c r="N79" s="119" t="n">
        <f aca="false">N75*IF(DilMethod=3,1,1-$P$18)</f>
        <v>0</v>
      </c>
      <c r="O79" s="119" t="n">
        <f aca="false">O75*IF(DilMethod=3,1,1-$P$18)</f>
        <v>0</v>
      </c>
      <c r="P79" s="120" t="n">
        <f aca="false">P75*IF(DilMethod=3,1,1-$P$18)</f>
        <v>3460.04327301338</v>
      </c>
      <c r="Q79" s="120" t="n">
        <f aca="false">Q75*IF(DilMethod=3,1,1-$P$18)</f>
        <v>3485.01573564123</v>
      </c>
      <c r="R79" s="120" t="n">
        <f aca="false">R75*IF(DilMethod=3,1,1-$P$18)</f>
        <v>3509.44531864674</v>
      </c>
      <c r="S79" s="120" t="n">
        <f aca="false">S75*IF(DilMethod=3,1,1-$P$18)</f>
        <v>3534.14634146341</v>
      </c>
      <c r="T79" s="120" t="n">
        <f aca="false">T75*IF(DilMethod=3,1,1-$P$18)</f>
        <v>3559.11880409127</v>
      </c>
      <c r="U79" s="120" t="n">
        <f aca="false">U75*IF(DilMethod=3,1,1-$P$18)</f>
        <v>3584.09126671912</v>
      </c>
      <c r="V79" s="120" t="n">
        <f aca="false">V75*IF(DilMethod=3,1,1-$P$18)</f>
        <v>3608.7922895358</v>
      </c>
      <c r="W79" s="120" t="n">
        <f aca="false">W75*IF(DilMethod=3,1,1-$P$18)</f>
        <v>3633.49331235248</v>
      </c>
      <c r="X79" s="120" t="n">
        <f aca="false">X75*IF(DilMethod=3,1,1-$P$18)</f>
        <v>3658.46577498033</v>
      </c>
      <c r="Y79" s="120" t="n">
        <f aca="false">Y75*IF(DilMethod=3,1,1-$P$18)</f>
        <v>3683.43823760818</v>
      </c>
      <c r="Z79" s="120" t="n">
        <f aca="false">Z75*IF(DilMethod=3,1,1-$P$18)</f>
        <v>3707.86782061369</v>
      </c>
      <c r="AA79" s="120" t="n">
        <f aca="false">AA75*IF(DilMethod=3,1,1-$P$18)</f>
        <v>3732.56884343037</v>
      </c>
      <c r="AB79" s="120" t="n">
        <f aca="false">AB75*IF(DilMethod=3,1,1-$P$18)</f>
        <v>3757.54130605822</v>
      </c>
      <c r="AC79" s="120" t="n">
        <f aca="false">AC75*IF(DilMethod=3,1,1-$P$18)</f>
        <v>3782.51376868607</v>
      </c>
      <c r="AD79" s="120" t="n">
        <f aca="false">AD75*IF(DilMethod=3,1,1-$P$18)</f>
        <v>0</v>
      </c>
      <c r="AE79" s="120" t="n">
        <f aca="false">AE75*IF(DilMethod=3,1,1-$P$18)</f>
        <v>0</v>
      </c>
      <c r="AF79" s="120" t="n">
        <f aca="false">AF75*IF(DilMethod=3,1,1-$P$18)</f>
        <v>0</v>
      </c>
      <c r="AG79" s="120" t="n">
        <f aca="false">AG75*IF(DilMethod=3,1,1-$P$18)</f>
        <v>0</v>
      </c>
      <c r="AI79" s="120" t="n">
        <f aca="false">INDEX($F79:$AG79,1,MATCH(AI$7,$F$7:$AG$7,1))</f>
        <v>0</v>
      </c>
      <c r="AJ79" s="120" t="n">
        <f aca="false">INDEX($F79:$AG79,1,MATCH(AJ$7,$F$7:$AG$7,1))</f>
        <v>0</v>
      </c>
      <c r="AK79" s="120" t="n">
        <f aca="false">INDEX($F79:$AG79,1,MATCH(AK$7,$F$7:$AG$7,1))</f>
        <v>3485.01573564123</v>
      </c>
      <c r="AL79" s="120" t="n">
        <f aca="false">INDEX($F79:$AG79,1,MATCH(AL$7,$F$7:$AG$7,1))</f>
        <v>3584.09126671912</v>
      </c>
      <c r="AM79" s="120" t="n">
        <f aca="false">INDEX($F79:$AG79,1,MATCH(AM$7,$F$7:$AG$7,1))</f>
        <v>3683.43823760818</v>
      </c>
      <c r="AN79" s="120" t="n">
        <f aca="false">INDEX($F79:$AG79,1,MATCH(AN$7,$F$7:$AG$7,1))</f>
        <v>3782.51376868607</v>
      </c>
      <c r="AO79" s="120" t="n">
        <f aca="false">INDEX($F79:$AG79,1,MATCH(AO$7,$F$7:$AG$7,1))</f>
        <v>0</v>
      </c>
    </row>
    <row r="80" customFormat="false" ht="15" hidden="false" customHeight="false" outlineLevel="0" collapsed="false">
      <c r="A80" s="101" t="s">
        <v>1802</v>
      </c>
      <c r="B80" s="18" t="s">
        <v>400</v>
      </c>
      <c r="C80" s="18" t="s">
        <v>389</v>
      </c>
      <c r="D80" s="18"/>
      <c r="F80" s="119" t="n">
        <f aca="false">IF(AND(F$5&gt;=$M$19,F$5&lt;$N$19),$E$19-$F$19-IF(F$5&gt;=$H$19,$G$19,0),0)*($H$19&lt;&gt;0)+IF(AND(F$5&gt;=$M$19,F$5&lt;$N$19),$E$19-$F$19,0)*($H$19=0)</f>
        <v>0</v>
      </c>
      <c r="G80" s="119" t="n">
        <f aca="false">IF(AND(G$5&gt;=$M$19,G$5&lt;$N$19),$E$19-$F$19-IF(G$5&gt;=$H$19,$G$19,0),0)*($H$19&lt;&gt;0)+IF(AND(G$5&gt;=$M$19,G$5&lt;$N$19),$E$19-$F$19,0)*($H$19=0)</f>
        <v>0</v>
      </c>
      <c r="H80" s="119" t="n">
        <f aca="false">IF(AND(H$5&gt;=$M$19,H$5&lt;$N$19),$E$19-$F$19-IF(H$5&gt;=$H$19,$G$19,0),0)*($H$19&lt;&gt;0)+IF(AND(H$5&gt;=$M$19,H$5&lt;$N$19),$E$19-$F$19,0)*($H$19=0)</f>
        <v>0</v>
      </c>
      <c r="I80" s="119" t="n">
        <f aca="false">IF(AND(I$5&gt;=$M$19,I$5&lt;$N$19),$E$19-$F$19-IF(I$5&gt;=$H$19,$G$19,0),0)*($H$19&lt;&gt;0)+IF(AND(I$5&gt;=$M$19,I$5&lt;$N$19),$E$19-$F$19,0)*($H$19=0)</f>
        <v>0</v>
      </c>
      <c r="J80" s="119" t="n">
        <f aca="false">IF(AND(J$5&gt;=$M$19,J$5&lt;$N$19),$E$19-$F$19-IF(J$5&gt;=$H$19,$G$19,0),0)*($H$19&lt;&gt;0)+IF(AND(J$5&gt;=$M$19,J$5&lt;$N$19),$E$19-$F$19,0)*($H$19=0)</f>
        <v>0</v>
      </c>
      <c r="K80" s="119" t="n">
        <f aca="false">IF(AND(K$5&gt;=$M$19,K$5&lt;$N$19),$E$19-$F$19-IF(K$5&gt;=$H$19,$G$19,0),0)*($H$19&lt;&gt;0)+IF(AND(K$5&gt;=$M$19,K$5&lt;$N$19),$E$19-$F$19,0)*($H$19=0)</f>
        <v>0</v>
      </c>
      <c r="L80" s="119" t="n">
        <f aca="false">IF(AND(L$5&gt;=$M$19,L$5&lt;$N$19),$E$19-$F$19-IF(L$5&gt;=$H$19,$G$19,0),0)*($H$19&lt;&gt;0)+IF(AND(L$5&gt;=$M$19,L$5&lt;$N$19),$E$19-$F$19,0)*($H$19=0)</f>
        <v>0</v>
      </c>
      <c r="M80" s="119" t="n">
        <f aca="false">IF(AND(M$5&gt;=$M$19,M$5&lt;$N$19),$E$19-$F$19-IF(M$5&gt;=$H$19,$G$19,0),0)*($H$19&lt;&gt;0)+IF(AND(M$5&gt;=$M$19,M$5&lt;$N$19),$E$19-$F$19,0)*($H$19=0)</f>
        <v>0</v>
      </c>
      <c r="N80" s="119" t="n">
        <f aca="false">IF(AND(N$5&gt;=$M$19,N$5&lt;$N$19),$E$19-$F$19-IF(N$5&gt;=$H$19,$G$19,0),0)*($H$19&lt;&gt;0)+IF(AND(N$5&gt;=$M$19,N$5&lt;$N$19),$E$19-$F$19,0)*($H$19=0)</f>
        <v>0</v>
      </c>
      <c r="O80" s="119" t="n">
        <f aca="false">IF(AND(O$5&gt;=$M$19,O$5&lt;$N$19),$E$19-$F$19-IF(O$5&gt;=$H$19,$G$19,0),0)*($H$19&lt;&gt;0)+IF(AND(O$5&gt;=$M$19,O$5&lt;$N$19),$E$19-$F$19,0)*($H$19=0)</f>
        <v>0</v>
      </c>
      <c r="P80" s="120" t="n">
        <f aca="false">IF(AND(P$5&gt;=$M$19,P$5&lt;$N$19),$E$19-$F$19-IF(P$5&gt;=$H$19,$G$19,0),0)*($H$19&lt;&gt;0)+IF(AND(P$5&gt;=$M$19,P$5&lt;$N$19),$E$19-$F$19,0)*($H$19=0)</f>
        <v>2300</v>
      </c>
      <c r="Q80" s="120" t="n">
        <f aca="false">IF(AND(Q$5&gt;=$M$19,Q$5&lt;$N$19),$E$19-$F$19-IF(Q$5&gt;=$H$19,$G$19,0),0)*($H$19&lt;&gt;0)+IF(AND(Q$5&gt;=$M$19,Q$5&lt;$N$19),$E$19-$F$19,0)*($H$19=0)</f>
        <v>2300</v>
      </c>
      <c r="R80" s="120" t="n">
        <f aca="false">IF(AND(R$5&gt;=$M$19,R$5&lt;$N$19),$E$19-$F$19-IF(R$5&gt;=$H$19,$G$19,0),0)*($H$19&lt;&gt;0)+IF(AND(R$5&gt;=$M$19,R$5&lt;$N$19),$E$19-$F$19,0)*($H$19=0)</f>
        <v>2300</v>
      </c>
      <c r="S80" s="120" t="n">
        <f aca="false">IF(AND(S$5&gt;=$M$19,S$5&lt;$N$19),$E$19-$F$19-IF(S$5&gt;=$H$19,$G$19,0),0)*($H$19&lt;&gt;0)+IF(AND(S$5&gt;=$M$19,S$5&lt;$N$19),$E$19-$F$19,0)*($H$19=0)</f>
        <v>2300</v>
      </c>
      <c r="T80" s="120" t="n">
        <f aca="false">IF(AND(T$5&gt;=$M$19,T$5&lt;$N$19),$E$19-$F$19-IF(T$5&gt;=$H$19,$G$19,0),0)*($H$19&lt;&gt;0)+IF(AND(T$5&gt;=$M$19,T$5&lt;$N$19),$E$19-$F$19,0)*($H$19=0)</f>
        <v>2300</v>
      </c>
      <c r="U80" s="120" t="n">
        <f aca="false">IF(AND(U$5&gt;=$M$19,U$5&lt;$N$19),$E$19-$F$19-IF(U$5&gt;=$H$19,$G$19,0),0)*($H$19&lt;&gt;0)+IF(AND(U$5&gt;=$M$19,U$5&lt;$N$19),$E$19-$F$19,0)*($H$19=0)</f>
        <v>2300</v>
      </c>
      <c r="V80" s="120" t="n">
        <f aca="false">IF(AND(V$5&gt;=$M$19,V$5&lt;$N$19),$E$19-$F$19-IF(V$5&gt;=$H$19,$G$19,0),0)*($H$19&lt;&gt;0)+IF(AND(V$5&gt;=$M$19,V$5&lt;$N$19),$E$19-$F$19,0)*($H$19=0)</f>
        <v>2300</v>
      </c>
      <c r="W80" s="120" t="n">
        <f aca="false">IF(AND(W$5&gt;=$M$19,W$5&lt;$N$19),$E$19-$F$19-IF(W$5&gt;=$H$19,$G$19,0),0)*($H$19&lt;&gt;0)+IF(AND(W$5&gt;=$M$19,W$5&lt;$N$19),$E$19-$F$19,0)*($H$19=0)</f>
        <v>2300</v>
      </c>
      <c r="X80" s="120" t="n">
        <f aca="false">IF(AND(X$5&gt;=$M$19,X$5&lt;$N$19),$E$19-$F$19-IF(X$5&gt;=$H$19,$G$19,0),0)*($H$19&lt;&gt;0)+IF(AND(X$5&gt;=$M$19,X$5&lt;$N$19),$E$19-$F$19,0)*($H$19=0)</f>
        <v>2300</v>
      </c>
      <c r="Y80" s="120" t="n">
        <f aca="false">IF(AND(Y$5&gt;=$M$19,Y$5&lt;$N$19),$E$19-$F$19-IF(Y$5&gt;=$H$19,$G$19,0),0)*($H$19&lt;&gt;0)+IF(AND(Y$5&gt;=$M$19,Y$5&lt;$N$19),$E$19-$F$19,0)*($H$19=0)</f>
        <v>2300</v>
      </c>
      <c r="Z80" s="120" t="n">
        <f aca="false">IF(AND(Z$5&gt;=$M$19,Z$5&lt;$N$19),$E$19-$F$19-IF(Z$5&gt;=$H$19,$G$19,0),0)*($H$19&lt;&gt;0)+IF(AND(Z$5&gt;=$M$19,Z$5&lt;$N$19),$E$19-$F$19,0)*($H$19=0)</f>
        <v>2300</v>
      </c>
      <c r="AA80" s="120" t="n">
        <f aca="false">IF(AND(AA$5&gt;=$M$19,AA$5&lt;$N$19),$E$19-$F$19-IF(AA$5&gt;=$H$19,$G$19,0),0)*($H$19&lt;&gt;0)+IF(AND(AA$5&gt;=$M$19,AA$5&lt;$N$19),$E$19-$F$19,0)*($H$19=0)</f>
        <v>2300</v>
      </c>
      <c r="AB80" s="120" t="n">
        <f aca="false">IF(AND(AB$5&gt;=$M$19,AB$5&lt;$N$19),$E$19-$F$19-IF(AB$5&gt;=$H$19,$G$19,0),0)*($H$19&lt;&gt;0)+IF(AND(AB$5&gt;=$M$19,AB$5&lt;$N$19),$E$19-$F$19,0)*($H$19=0)</f>
        <v>2300</v>
      </c>
      <c r="AC80" s="120" t="n">
        <f aca="false">IF(AND(AC$5&gt;=$M$19,AC$5&lt;$N$19),$E$19-$F$19-IF(AC$5&gt;=$H$19,$G$19,0),0)*($H$19&lt;&gt;0)+IF(AND(AC$5&gt;=$M$19,AC$5&lt;$N$19),$E$19-$F$19,0)*($H$19=0)</f>
        <v>2300</v>
      </c>
      <c r="AD80" s="120" t="n">
        <f aca="false">IF(AND(AD$5&gt;=$M$19,AD$5&lt;$N$19),$E$19-$F$19-IF(AD$5&gt;=$H$19,$G$19,0),0)*($H$19&lt;&gt;0)+IF(AND(AD$5&gt;=$M$19,AD$5&lt;$N$19),$E$19-$F$19,0)*($H$19=0)</f>
        <v>2300</v>
      </c>
      <c r="AE80" s="120" t="n">
        <f aca="false">IF(AND(AE$5&gt;=$M$19,AE$5&lt;$N$19),$E$19-$F$19-IF(AE$5&gt;=$H$19,$G$19,0),0)*($H$19&lt;&gt;0)+IF(AND(AE$5&gt;=$M$19,AE$5&lt;$N$19),$E$19-$F$19,0)*($H$19=0)</f>
        <v>2300</v>
      </c>
      <c r="AF80" s="120" t="n">
        <f aca="false">IF(AND(AF$5&gt;=$M$19,AF$5&lt;$N$19),$E$19-$F$19-IF(AF$5&gt;=$H$19,$G$19,0),0)*($H$19&lt;&gt;0)+IF(AND(AF$5&gt;=$M$19,AF$5&lt;$N$19),$E$19-$F$19,0)*($H$19=0)</f>
        <v>2300</v>
      </c>
      <c r="AG80" s="120" t="n">
        <f aca="false">IF(AND(AG$5&gt;=$M$19,AG$5&lt;$N$19),$E$19-$F$19-IF(AG$5&gt;=$H$19,$G$19,0),0)*($H$19&lt;&gt;0)+IF(AND(AG$5&gt;=$M$19,AG$5&lt;$N$19),$E$19-$F$19,0)*($H$19=0)</f>
        <v>2300</v>
      </c>
      <c r="AI80" s="120" t="n">
        <f aca="false">INDEX($F80:$AG80,1,MATCH(AI$7,$F$7:$AG$7,1))</f>
        <v>0</v>
      </c>
      <c r="AJ80" s="120" t="n">
        <f aca="false">INDEX($F80:$AG80,1,MATCH(AJ$7,$F$7:$AG$7,1))</f>
        <v>0</v>
      </c>
      <c r="AK80" s="120" t="n">
        <f aca="false">INDEX($F80:$AG80,1,MATCH(AK$7,$F$7:$AG$7,1))</f>
        <v>2300</v>
      </c>
      <c r="AL80" s="120" t="n">
        <f aca="false">INDEX($F80:$AG80,1,MATCH(AL$7,$F$7:$AG$7,1))</f>
        <v>2300</v>
      </c>
      <c r="AM80" s="120" t="n">
        <f aca="false">INDEX($F80:$AG80,1,MATCH(AM$7,$F$7:$AG$7,1))</f>
        <v>2300</v>
      </c>
      <c r="AN80" s="120" t="n">
        <f aca="false">INDEX($F80:$AG80,1,MATCH(AN$7,$F$7:$AG$7,1))</f>
        <v>2300</v>
      </c>
      <c r="AO80" s="120" t="n">
        <f aca="false">INDEX($F80:$AG80,1,MATCH(AO$7,$F$7:$AG$7,1))</f>
        <v>2300</v>
      </c>
    </row>
    <row r="81" customFormat="false" ht="15" hidden="false" customHeight="false" outlineLevel="0" collapsed="false">
      <c r="A81" s="101" t="s">
        <v>1803</v>
      </c>
      <c r="B81" s="18" t="s">
        <v>400</v>
      </c>
      <c r="C81" s="18" t="s">
        <v>389</v>
      </c>
      <c r="D81" s="18"/>
      <c r="F81" s="119" t="n">
        <f aca="false">F80*$C$19/4</f>
        <v>0</v>
      </c>
      <c r="G81" s="119" t="n">
        <f aca="false">G80*$C$19/4</f>
        <v>0</v>
      </c>
      <c r="H81" s="119" t="n">
        <f aca="false">H80*$C$19/4</f>
        <v>0</v>
      </c>
      <c r="I81" s="119" t="n">
        <f aca="false">I80*$C$19/4</f>
        <v>0</v>
      </c>
      <c r="J81" s="119" t="n">
        <f aca="false">J80*$C$19/4</f>
        <v>0</v>
      </c>
      <c r="K81" s="119" t="n">
        <f aca="false">K80*$C$19/4</f>
        <v>0</v>
      </c>
      <c r="L81" s="119" t="n">
        <f aca="false">L80*$C$19/4</f>
        <v>0</v>
      </c>
      <c r="M81" s="119" t="n">
        <f aca="false">M80*$C$19/4</f>
        <v>0</v>
      </c>
      <c r="N81" s="119" t="n">
        <f aca="false">N80*$C$19/4</f>
        <v>0</v>
      </c>
      <c r="O81" s="119" t="n">
        <f aca="false">O80*$C$19/4</f>
        <v>0</v>
      </c>
      <c r="P81" s="120" t="n">
        <f aca="false">P80*$C$19/4</f>
        <v>25.875</v>
      </c>
      <c r="Q81" s="120" t="n">
        <f aca="false">Q80*$C$19/4</f>
        <v>25.875</v>
      </c>
      <c r="R81" s="120" t="n">
        <f aca="false">R80*$C$19/4</f>
        <v>25.875</v>
      </c>
      <c r="S81" s="120" t="n">
        <f aca="false">S80*$C$19/4</f>
        <v>25.875</v>
      </c>
      <c r="T81" s="120" t="n">
        <f aca="false">T80*$C$19/4</f>
        <v>25.875</v>
      </c>
      <c r="U81" s="120" t="n">
        <f aca="false">U80*$C$19/4</f>
        <v>25.875</v>
      </c>
      <c r="V81" s="120" t="n">
        <f aca="false">V80*$C$19/4</f>
        <v>25.875</v>
      </c>
      <c r="W81" s="120" t="n">
        <f aca="false">W80*$C$19/4</f>
        <v>25.875</v>
      </c>
      <c r="X81" s="120" t="n">
        <f aca="false">X80*$C$19/4</f>
        <v>25.875</v>
      </c>
      <c r="Y81" s="120" t="n">
        <f aca="false">Y80*$C$19/4</f>
        <v>25.875</v>
      </c>
      <c r="Z81" s="120" t="n">
        <f aca="false">Z80*$C$19/4</f>
        <v>25.875</v>
      </c>
      <c r="AA81" s="120" t="n">
        <f aca="false">AA80*$C$19/4</f>
        <v>25.875</v>
      </c>
      <c r="AB81" s="120" t="n">
        <f aca="false">AB80*$C$19/4</f>
        <v>25.875</v>
      </c>
      <c r="AC81" s="120" t="n">
        <f aca="false">AC80*$C$19/4</f>
        <v>25.875</v>
      </c>
      <c r="AD81" s="120" t="n">
        <f aca="false">AD80*$C$19/4</f>
        <v>25.875</v>
      </c>
      <c r="AE81" s="120" t="n">
        <f aca="false">AE80*$C$19/4</f>
        <v>25.875</v>
      </c>
      <c r="AF81" s="120" t="n">
        <f aca="false">AF80*$C$19/4</f>
        <v>25.875</v>
      </c>
      <c r="AG81" s="120" t="n">
        <f aca="false">AG80*$C$19/4</f>
        <v>25.875</v>
      </c>
      <c r="AI81" s="120" t="n">
        <f aca="false">SUMIF($F$7:$AG$7,AI$7,$F81:$AG81)</f>
        <v>0</v>
      </c>
      <c r="AJ81" s="120" t="n">
        <f aca="false">SUMIF($F$7:$AG$7,AJ$7,$F81:$AG81)</f>
        <v>0</v>
      </c>
      <c r="AK81" s="120" t="n">
        <f aca="false">SUMIF($F$7:$AG$7,AK$7,$F81:$AG81)</f>
        <v>51.75</v>
      </c>
      <c r="AL81" s="120" t="n">
        <f aca="false">SUMIF($F$7:$AG$7,AL$7,$F81:$AG81)</f>
        <v>103.5</v>
      </c>
      <c r="AM81" s="120" t="n">
        <f aca="false">SUMIF($F$7:$AG$7,AM$7,$F81:$AG81)</f>
        <v>103.5</v>
      </c>
      <c r="AN81" s="120" t="n">
        <f aca="false">SUMIF($F$7:$AG$7,AN$7,$F81:$AG81)</f>
        <v>103.5</v>
      </c>
      <c r="AO81" s="120" t="n">
        <f aca="false">SUMIF($F$7:$AG$7,AO$7,$F81:$AG81)</f>
        <v>103.5</v>
      </c>
    </row>
    <row r="82" customFormat="false" ht="15" hidden="false" customHeight="false" outlineLevel="0" collapsed="false">
      <c r="A82" s="101" t="s">
        <v>1804</v>
      </c>
      <c r="B82" s="18" t="s">
        <v>400</v>
      </c>
      <c r="C82" s="18" t="s">
        <v>389</v>
      </c>
      <c r="D82" s="18"/>
      <c r="F82" s="119" t="n">
        <f aca="false">F80*($J$19-1)/(($D$19-$B$19)/91.3125)</f>
        <v>0</v>
      </c>
      <c r="G82" s="119" t="n">
        <f aca="false">G80*($J$19-1)/(($D$19-$B$19)/91.3125)</f>
        <v>0</v>
      </c>
      <c r="H82" s="119" t="n">
        <f aca="false">H80*($J$19-1)/(($D$19-$B$19)/91.3125)</f>
        <v>0</v>
      </c>
      <c r="I82" s="119" t="n">
        <f aca="false">I80*($J$19-1)/(($D$19-$B$19)/91.3125)</f>
        <v>0</v>
      </c>
      <c r="J82" s="119" t="n">
        <f aca="false">J80*($J$19-1)/(($D$19-$B$19)/91.3125)</f>
        <v>0</v>
      </c>
      <c r="K82" s="119" t="n">
        <f aca="false">K80*($J$19-1)/(($D$19-$B$19)/91.3125)</f>
        <v>0</v>
      </c>
      <c r="L82" s="119" t="n">
        <f aca="false">L80*($J$19-1)/(($D$19-$B$19)/91.3125)</f>
        <v>0</v>
      </c>
      <c r="M82" s="119" t="n">
        <f aca="false">M80*($J$19-1)/(($D$19-$B$19)/91.3125)</f>
        <v>0</v>
      </c>
      <c r="N82" s="119" t="n">
        <f aca="false">N80*($J$19-1)/(($D$19-$B$19)/91.3125)</f>
        <v>0</v>
      </c>
      <c r="O82" s="119" t="n">
        <f aca="false">O80*($J$19-1)/(($D$19-$B$19)/91.3125)</f>
        <v>0</v>
      </c>
      <c r="P82" s="120" t="n">
        <f aca="false">P80*($J$19-1)/(($D$19-$B$19)/91.3125)</f>
        <v>19.2184068448023</v>
      </c>
      <c r="Q82" s="120" t="n">
        <f aca="false">Q80*($J$19-1)/(($D$19-$B$19)/91.3125)</f>
        <v>19.2184068448023</v>
      </c>
      <c r="R82" s="120" t="n">
        <f aca="false">R80*($J$19-1)/(($D$19-$B$19)/91.3125)</f>
        <v>19.2184068448023</v>
      </c>
      <c r="S82" s="120" t="n">
        <f aca="false">S80*($J$19-1)/(($D$19-$B$19)/91.3125)</f>
        <v>19.2184068448023</v>
      </c>
      <c r="T82" s="120" t="n">
        <f aca="false">T80*($J$19-1)/(($D$19-$B$19)/91.3125)</f>
        <v>19.2184068448023</v>
      </c>
      <c r="U82" s="120" t="n">
        <f aca="false">U80*($J$19-1)/(($D$19-$B$19)/91.3125)</f>
        <v>19.2184068448023</v>
      </c>
      <c r="V82" s="120" t="n">
        <f aca="false">V80*($J$19-1)/(($D$19-$B$19)/91.3125)</f>
        <v>19.2184068448023</v>
      </c>
      <c r="W82" s="120" t="n">
        <f aca="false">W80*($J$19-1)/(($D$19-$B$19)/91.3125)</f>
        <v>19.2184068448023</v>
      </c>
      <c r="X82" s="120" t="n">
        <f aca="false">X80*($J$19-1)/(($D$19-$B$19)/91.3125)</f>
        <v>19.2184068448023</v>
      </c>
      <c r="Y82" s="120" t="n">
        <f aca="false">Y80*($J$19-1)/(($D$19-$B$19)/91.3125)</f>
        <v>19.2184068448023</v>
      </c>
      <c r="Z82" s="120" t="n">
        <f aca="false">Z80*($J$19-1)/(($D$19-$B$19)/91.3125)</f>
        <v>19.2184068448023</v>
      </c>
      <c r="AA82" s="120" t="n">
        <f aca="false">AA80*($J$19-1)/(($D$19-$B$19)/91.3125)</f>
        <v>19.2184068448023</v>
      </c>
      <c r="AB82" s="120" t="n">
        <f aca="false">AB80*($J$19-1)/(($D$19-$B$19)/91.3125)</f>
        <v>19.2184068448023</v>
      </c>
      <c r="AC82" s="120" t="n">
        <f aca="false">AC80*($J$19-1)/(($D$19-$B$19)/91.3125)</f>
        <v>19.2184068448023</v>
      </c>
      <c r="AD82" s="120" t="n">
        <f aca="false">AD80*($J$19-1)/(($D$19-$B$19)/91.3125)</f>
        <v>19.2184068448023</v>
      </c>
      <c r="AE82" s="120" t="n">
        <f aca="false">AE80*($J$19-1)/(($D$19-$B$19)/91.3125)</f>
        <v>19.2184068448023</v>
      </c>
      <c r="AF82" s="120" t="n">
        <f aca="false">AF80*($J$19-1)/(($D$19-$B$19)/91.3125)</f>
        <v>19.2184068448023</v>
      </c>
      <c r="AG82" s="120" t="n">
        <f aca="false">AG80*($J$19-1)/(($D$19-$B$19)/91.3125)</f>
        <v>19.2184068448023</v>
      </c>
      <c r="AI82" s="120" t="n">
        <f aca="false">SUMIF($F$7:$AG$7,AI$7,$F82:$AG82)</f>
        <v>0</v>
      </c>
      <c r="AJ82" s="120" t="n">
        <f aca="false">SUMIF($F$7:$AG$7,AJ$7,$F82:$AG82)</f>
        <v>0</v>
      </c>
      <c r="AK82" s="120" t="n">
        <f aca="false">SUMIF($F$7:$AG$7,AK$7,$F82:$AG82)</f>
        <v>38.4368136896047</v>
      </c>
      <c r="AL82" s="120" t="n">
        <f aca="false">SUMIF($F$7:$AG$7,AL$7,$F82:$AG82)</f>
        <v>76.8736273792094</v>
      </c>
      <c r="AM82" s="120" t="n">
        <f aca="false">SUMIF($F$7:$AG$7,AM$7,$F82:$AG82)</f>
        <v>76.8736273792094</v>
      </c>
      <c r="AN82" s="120" t="n">
        <f aca="false">SUMIF($F$7:$AG$7,AN$7,$F82:$AG82)</f>
        <v>76.8736273792094</v>
      </c>
      <c r="AO82" s="120" t="n">
        <f aca="false">SUMIF($F$7:$AG$7,AO$7,$F82:$AG82)</f>
        <v>76.8736273792094</v>
      </c>
    </row>
    <row r="83" customFormat="false" ht="15" hidden="false" customHeight="false" outlineLevel="0" collapsed="false">
      <c r="A83" s="101" t="s">
        <v>1805</v>
      </c>
      <c r="B83" s="18" t="s">
        <v>400</v>
      </c>
      <c r="C83" s="18" t="s">
        <v>389</v>
      </c>
      <c r="D83" s="18"/>
      <c r="F83" s="119" t="n">
        <f aca="false">F80*(1+($J$19-1)*MIN(1,MAX(0,(F$4-$B$19)/($D$19-$B$19))))</f>
        <v>0</v>
      </c>
      <c r="G83" s="119" t="n">
        <f aca="false">G80*(1+($J$19-1)*MIN(1,MAX(0,(G$4-$B$19)/($D$19-$B$19))))</f>
        <v>0</v>
      </c>
      <c r="H83" s="119" t="n">
        <f aca="false">H80*(1+($J$19-1)*MIN(1,MAX(0,(H$4-$B$19)/($D$19-$B$19))))</f>
        <v>0</v>
      </c>
      <c r="I83" s="119" t="n">
        <f aca="false">I80*(1+($J$19-1)*MIN(1,MAX(0,(I$4-$B$19)/($D$19-$B$19))))</f>
        <v>0</v>
      </c>
      <c r="J83" s="119" t="n">
        <f aca="false">J80*(1+($J$19-1)*MIN(1,MAX(0,(J$4-$B$19)/($D$19-$B$19))))</f>
        <v>0</v>
      </c>
      <c r="K83" s="119" t="n">
        <f aca="false">K80*(1+($J$19-1)*MIN(1,MAX(0,(K$4-$B$19)/($D$19-$B$19))))</f>
        <v>0</v>
      </c>
      <c r="L83" s="119" t="n">
        <f aca="false">L80*(1+($J$19-1)*MIN(1,MAX(0,(L$4-$B$19)/($D$19-$B$19))))</f>
        <v>0</v>
      </c>
      <c r="M83" s="119" t="n">
        <f aca="false">M80*(1+($J$19-1)*MIN(1,MAX(0,(M$4-$B$19)/($D$19-$B$19))))</f>
        <v>0</v>
      </c>
      <c r="N83" s="119" t="n">
        <f aca="false">N80*(1+($J$19-1)*MIN(1,MAX(0,(N$4-$B$19)/($D$19-$B$19))))</f>
        <v>0</v>
      </c>
      <c r="O83" s="119" t="n">
        <f aca="false">O80*(1+($J$19-1)*MIN(1,MAX(0,(O$4-$B$19)/($D$19-$B$19))))</f>
        <v>0</v>
      </c>
      <c r="P83" s="120" t="n">
        <f aca="false">P80*(1+($J$19-1)*MIN(1,MAX(0,(P$4-$B$19)/($D$19-$B$19))))</f>
        <v>2307.78733528551</v>
      </c>
      <c r="Q83" s="120" t="n">
        <f aca="false">Q80*(1+($J$19-1)*MIN(1,MAX(0,(Q$4-$B$19)/($D$19-$B$19))))</f>
        <v>2327.15043923865</v>
      </c>
      <c r="R83" s="120" t="n">
        <f aca="false">R80*(1+($J$19-1)*MIN(1,MAX(0,(R$4-$B$19)/($D$19-$B$19))))</f>
        <v>2346.09260614934</v>
      </c>
      <c r="S83" s="120" t="n">
        <f aca="false">S80*(1+($J$19-1)*MIN(1,MAX(0,(S$4-$B$19)/($D$19-$B$19))))</f>
        <v>2365.24524158126</v>
      </c>
      <c r="T83" s="120" t="n">
        <f aca="false">T80*(1+($J$19-1)*MIN(1,MAX(0,(T$4-$B$19)/($D$19-$B$19))))</f>
        <v>2384.60834553441</v>
      </c>
      <c r="U83" s="120" t="n">
        <f aca="false">U80*(1+($J$19-1)*MIN(1,MAX(0,(U$4-$B$19)/($D$19-$B$19))))</f>
        <v>2403.97144948756</v>
      </c>
      <c r="V83" s="120" t="n">
        <f aca="false">V80*(1+($J$19-1)*MIN(1,MAX(0,(V$4-$B$19)/($D$19-$B$19))))</f>
        <v>2423.12408491947</v>
      </c>
      <c r="W83" s="120" t="n">
        <f aca="false">W80*(1+($J$19-1)*MIN(1,MAX(0,(W$4-$B$19)/($D$19-$B$19))))</f>
        <v>2442.27672035139</v>
      </c>
      <c r="X83" s="120" t="n">
        <f aca="false">X80*(1+($J$19-1)*MIN(1,MAX(0,(X$4-$B$19)/($D$19-$B$19))))</f>
        <v>2461.63982430454</v>
      </c>
      <c r="Y83" s="120" t="n">
        <f aca="false">Y80*(1+($J$19-1)*MIN(1,MAX(0,(Y$4-$B$19)/($D$19-$B$19))))</f>
        <v>2481.00292825769</v>
      </c>
      <c r="Z83" s="120" t="n">
        <f aca="false">Z80*(1+($J$19-1)*MIN(1,MAX(0,(Z$4-$B$19)/($D$19-$B$19))))</f>
        <v>2499.94509516838</v>
      </c>
      <c r="AA83" s="120" t="n">
        <f aca="false">AA80*(1+($J$19-1)*MIN(1,MAX(0,(AA$4-$B$19)/($D$19-$B$19))))</f>
        <v>2519.09773060029</v>
      </c>
      <c r="AB83" s="120" t="n">
        <f aca="false">AB80*(1+($J$19-1)*MIN(1,MAX(0,(AB$4-$B$19)/($D$19-$B$19))))</f>
        <v>2538.46083455344</v>
      </c>
      <c r="AC83" s="120" t="n">
        <f aca="false">AC80*(1+($J$19-1)*MIN(1,MAX(0,(AC$4-$B$19)/($D$19-$B$19))))</f>
        <v>2557.82393850659</v>
      </c>
      <c r="AD83" s="120" t="n">
        <f aca="false">AD80*(1+($J$19-1)*MIN(1,MAX(0,(AD$4-$B$19)/($D$19-$B$19))))</f>
        <v>2576.76610541728</v>
      </c>
      <c r="AE83" s="120" t="n">
        <f aca="false">AE80*(1+($J$19-1)*MIN(1,MAX(0,(AE$4-$B$19)/($D$19-$B$19))))</f>
        <v>2595.9187408492</v>
      </c>
      <c r="AF83" s="120" t="n">
        <f aca="false">AF80*(1+($J$19-1)*MIN(1,MAX(0,(AF$4-$B$19)/($D$19-$B$19))))</f>
        <v>2615.28184480234</v>
      </c>
      <c r="AG83" s="120" t="n">
        <f aca="false">AG80*(1+($J$19-1)*MIN(1,MAX(0,(AG$4-$B$19)/($D$19-$B$19))))</f>
        <v>2634.64494875549</v>
      </c>
      <c r="AI83" s="120" t="n">
        <f aca="false">INDEX($F83:$AG83,1,MATCH(AI$7,$F$7:$AG$7,1))</f>
        <v>0</v>
      </c>
      <c r="AJ83" s="120" t="n">
        <f aca="false">INDEX($F83:$AG83,1,MATCH(AJ$7,$F$7:$AG$7,1))</f>
        <v>0</v>
      </c>
      <c r="AK83" s="120" t="n">
        <f aca="false">INDEX($F83:$AG83,1,MATCH(AK$7,$F$7:$AG$7,1))</f>
        <v>2327.15043923865</v>
      </c>
      <c r="AL83" s="120" t="n">
        <f aca="false">INDEX($F83:$AG83,1,MATCH(AL$7,$F$7:$AG$7,1))</f>
        <v>2403.97144948756</v>
      </c>
      <c r="AM83" s="120" t="n">
        <f aca="false">INDEX($F83:$AG83,1,MATCH(AM$7,$F$7:$AG$7,1))</f>
        <v>2481.00292825769</v>
      </c>
      <c r="AN83" s="120" t="n">
        <f aca="false">INDEX($F83:$AG83,1,MATCH(AN$7,$F$7:$AG$7,1))</f>
        <v>2557.82393850659</v>
      </c>
      <c r="AO83" s="120" t="n">
        <f aca="false">INDEX($F83:$AG83,1,MATCH(AO$7,$F$7:$AG$7,1))</f>
        <v>2634.64494875549</v>
      </c>
    </row>
    <row r="84" customFormat="false" ht="15" hidden="false" customHeight="false" outlineLevel="0" collapsed="false">
      <c r="A84" s="101" t="s">
        <v>1806</v>
      </c>
      <c r="B84" s="18" t="s">
        <v>400</v>
      </c>
      <c r="C84" s="18" t="s">
        <v>389</v>
      </c>
      <c r="D84" s="18"/>
      <c r="F84" s="119" t="n">
        <f aca="false">IF(F$5=$N$19,E80*$J$19*(1-$O$19),0)</f>
        <v>0</v>
      </c>
      <c r="G84" s="119" t="n">
        <f aca="false">IF(G$5=$N$19,F80*$J$19*(1-$O$19),0)</f>
        <v>0</v>
      </c>
      <c r="H84" s="119" t="n">
        <f aca="false">IF(H$5=$N$19,G80*$J$19*(1-$O$19),0)</f>
        <v>0</v>
      </c>
      <c r="I84" s="119" t="n">
        <f aca="false">IF(I$5=$N$19,H80*$J$19*(1-$O$19),0)</f>
        <v>0</v>
      </c>
      <c r="J84" s="119" t="n">
        <f aca="false">IF(J$5=$N$19,I80*$J$19*(1-$O$19),0)</f>
        <v>0</v>
      </c>
      <c r="K84" s="119" t="n">
        <f aca="false">IF(K$5=$N$19,J80*$J$19*(1-$O$19),0)</f>
        <v>0</v>
      </c>
      <c r="L84" s="119" t="n">
        <f aca="false">IF(L$5=$N$19,K80*$J$19*(1-$O$19),0)</f>
        <v>0</v>
      </c>
      <c r="M84" s="119" t="n">
        <f aca="false">IF(M$5=$N$19,L80*$J$19*(1-$O$19),0)</f>
        <v>0</v>
      </c>
      <c r="N84" s="119" t="n">
        <f aca="false">IF(N$5=$N$19,M80*$J$19*(1-$O$19),0)</f>
        <v>0</v>
      </c>
      <c r="O84" s="119" t="n">
        <f aca="false">IF(O$5=$N$19,N80*$J$19*(1-$O$19),0)</f>
        <v>0</v>
      </c>
      <c r="P84" s="120" t="n">
        <f aca="false">IF(P$5=$N$19,O80*$J$19*(1-$O$19),0)</f>
        <v>0</v>
      </c>
      <c r="Q84" s="120" t="n">
        <f aca="false">IF(Q$5=$N$19,P80*$J$19*(1-$O$19),0)</f>
        <v>0</v>
      </c>
      <c r="R84" s="120" t="n">
        <f aca="false">IF(R$5=$N$19,Q80*$J$19*(1-$O$19),0)</f>
        <v>0</v>
      </c>
      <c r="S84" s="120" t="n">
        <f aca="false">IF(S$5=$N$19,R80*$J$19*(1-$O$19),0)</f>
        <v>0</v>
      </c>
      <c r="T84" s="120" t="n">
        <f aca="false">IF(T$5=$N$19,S80*$J$19*(1-$O$19),0)</f>
        <v>0</v>
      </c>
      <c r="U84" s="120" t="n">
        <f aca="false">IF(U$5=$N$19,T80*$J$19*(1-$O$19),0)</f>
        <v>0</v>
      </c>
      <c r="V84" s="120" t="n">
        <f aca="false">IF(V$5=$N$19,U80*$J$19*(1-$O$19),0)</f>
        <v>0</v>
      </c>
      <c r="W84" s="120" t="n">
        <f aca="false">IF(W$5=$N$19,V80*$J$19*(1-$O$19),0)</f>
        <v>0</v>
      </c>
      <c r="X84" s="120" t="n">
        <f aca="false">IF(X$5=$N$19,W80*$J$19*(1-$O$19),0)</f>
        <v>0</v>
      </c>
      <c r="Y84" s="120" t="n">
        <f aca="false">IF(Y$5=$N$19,X80*$J$19*(1-$O$19),0)</f>
        <v>0</v>
      </c>
      <c r="Z84" s="120" t="n">
        <f aca="false">IF(Z$5=$N$19,Y80*$J$19*(1-$O$19),0)</f>
        <v>0</v>
      </c>
      <c r="AA84" s="120" t="n">
        <f aca="false">IF(AA$5=$N$19,Z80*$J$19*(1-$O$19),0)</f>
        <v>0</v>
      </c>
      <c r="AB84" s="120" t="n">
        <f aca="false">IF(AB$5=$N$19,AA80*$J$19*(1-$O$19),0)</f>
        <v>0</v>
      </c>
      <c r="AC84" s="120" t="n">
        <f aca="false">IF(AC$5=$N$19,AB80*$J$19*(1-$O$19),0)</f>
        <v>0</v>
      </c>
      <c r="AD84" s="120" t="n">
        <f aca="false">IF(AD$5=$N$19,AC80*$J$19*(1-$O$19),0)</f>
        <v>0</v>
      </c>
      <c r="AE84" s="120" t="n">
        <f aca="false">IF(AE$5=$N$19,AD80*$J$19*(1-$O$19),0)</f>
        <v>0</v>
      </c>
      <c r="AF84" s="120" t="n">
        <f aca="false">IF(AF$5=$N$19,AE80*$J$19*(1-$O$19),0)</f>
        <v>0</v>
      </c>
      <c r="AG84" s="120" t="n">
        <f aca="false">IF(AG$5=$N$19,AF80*$J$19*(1-$O$19),0)</f>
        <v>0</v>
      </c>
      <c r="AI84" s="120" t="n">
        <f aca="false">SUMIF($F$7:$AG$7,AI$7,$F84:$AG84)</f>
        <v>0</v>
      </c>
      <c r="AJ84" s="120" t="n">
        <f aca="false">SUMIF($F$7:$AG$7,AJ$7,$F84:$AG84)</f>
        <v>0</v>
      </c>
      <c r="AK84" s="120" t="n">
        <f aca="false">SUMIF($F$7:$AG$7,AK$7,$F84:$AG84)</f>
        <v>0</v>
      </c>
      <c r="AL84" s="120" t="n">
        <f aca="false">SUMIF($F$7:$AG$7,AL$7,$F84:$AG84)</f>
        <v>0</v>
      </c>
      <c r="AM84" s="120" t="n">
        <f aca="false">SUMIF($F$7:$AG$7,AM$7,$F84:$AG84)</f>
        <v>0</v>
      </c>
      <c r="AN84" s="120" t="n">
        <f aca="false">SUMIF($F$7:$AG$7,AN$7,$F84:$AG84)</f>
        <v>0</v>
      </c>
      <c r="AO84" s="120" t="n">
        <f aca="false">SUMIF($F$7:$AG$7,AO$7,$F84:$AG84)</f>
        <v>0</v>
      </c>
    </row>
    <row r="85" customFormat="false" ht="15" hidden="false" customHeight="false" outlineLevel="0" collapsed="false">
      <c r="A85" s="101" t="s">
        <v>1807</v>
      </c>
      <c r="B85" s="18" t="s">
        <v>781</v>
      </c>
      <c r="C85" s="18" t="s">
        <v>389</v>
      </c>
      <c r="D85" s="18"/>
      <c r="F85" s="131" t="n">
        <f aca="false">IF(F$5=$N$19,E80*$K$19/1000*$O$19,0)</f>
        <v>0</v>
      </c>
      <c r="G85" s="131" t="n">
        <f aca="false">IF(G$5=$N$19,F80*$K$19/1000*$O$19,0)</f>
        <v>0</v>
      </c>
      <c r="H85" s="131" t="n">
        <f aca="false">IF(H$5=$N$19,G80*$K$19/1000*$O$19,0)</f>
        <v>0</v>
      </c>
      <c r="I85" s="131" t="n">
        <f aca="false">IF(I$5=$N$19,H80*$K$19/1000*$O$19,0)</f>
        <v>0</v>
      </c>
      <c r="J85" s="131" t="n">
        <f aca="false">IF(J$5=$N$19,I80*$K$19/1000*$O$19,0)</f>
        <v>0</v>
      </c>
      <c r="K85" s="131" t="n">
        <f aca="false">IF(K$5=$N$19,J80*$K$19/1000*$O$19,0)</f>
        <v>0</v>
      </c>
      <c r="L85" s="131" t="n">
        <f aca="false">IF(L$5=$N$19,K80*$K$19/1000*$O$19,0)</f>
        <v>0</v>
      </c>
      <c r="M85" s="131" t="n">
        <f aca="false">IF(M$5=$N$19,L80*$K$19/1000*$O$19,0)</f>
        <v>0</v>
      </c>
      <c r="N85" s="131" t="n">
        <f aca="false">IF(N$5=$N$19,M80*$K$19/1000*$O$19,0)</f>
        <v>0</v>
      </c>
      <c r="O85" s="131" t="n">
        <f aca="false">IF(O$5=$N$19,N80*$K$19/1000*$O$19,0)</f>
        <v>0</v>
      </c>
      <c r="P85" s="37" t="n">
        <f aca="false">IF(P$5=$N$19,O80*$K$19/1000*$O$19,0)</f>
        <v>0</v>
      </c>
      <c r="Q85" s="37" t="n">
        <f aca="false">IF(Q$5=$N$19,P80*$K$19/1000*$O$19,0)</f>
        <v>0</v>
      </c>
      <c r="R85" s="37" t="n">
        <f aca="false">IF(R$5=$N$19,Q80*$K$19/1000*$O$19,0)</f>
        <v>0</v>
      </c>
      <c r="S85" s="37" t="n">
        <f aca="false">IF(S$5=$N$19,R80*$K$19/1000*$O$19,0)</f>
        <v>0</v>
      </c>
      <c r="T85" s="37" t="n">
        <f aca="false">IF(T$5=$N$19,S80*$K$19/1000*$O$19,0)</f>
        <v>0</v>
      </c>
      <c r="U85" s="37" t="n">
        <f aca="false">IF(U$5=$N$19,T80*$K$19/1000*$O$19,0)</f>
        <v>0</v>
      </c>
      <c r="V85" s="37" t="n">
        <f aca="false">IF(V$5=$N$19,U80*$K$19/1000*$O$19,0)</f>
        <v>0</v>
      </c>
      <c r="W85" s="37" t="n">
        <f aca="false">IF(W$5=$N$19,V80*$K$19/1000*$O$19,0)</f>
        <v>0</v>
      </c>
      <c r="X85" s="37" t="n">
        <f aca="false">IF(X$5=$N$19,W80*$K$19/1000*$O$19,0)</f>
        <v>0</v>
      </c>
      <c r="Y85" s="37" t="n">
        <f aca="false">IF(Y$5=$N$19,X80*$K$19/1000*$O$19,0)</f>
        <v>0</v>
      </c>
      <c r="Z85" s="37" t="n">
        <f aca="false">IF(Z$5=$N$19,Y80*$K$19/1000*$O$19,0)</f>
        <v>0</v>
      </c>
      <c r="AA85" s="37" t="n">
        <f aca="false">IF(AA$5=$N$19,Z80*$K$19/1000*$O$19,0)</f>
        <v>0</v>
      </c>
      <c r="AB85" s="37" t="n">
        <f aca="false">IF(AB$5=$N$19,AA80*$K$19/1000*$O$19,0)</f>
        <v>0</v>
      </c>
      <c r="AC85" s="37" t="n">
        <f aca="false">IF(AC$5=$N$19,AB80*$K$19/1000*$O$19,0)</f>
        <v>0</v>
      </c>
      <c r="AD85" s="37" t="n">
        <f aca="false">IF(AD$5=$N$19,AC80*$K$19/1000*$O$19,0)</f>
        <v>0</v>
      </c>
      <c r="AE85" s="37" t="n">
        <f aca="false">IF(AE$5=$N$19,AD80*$K$19/1000*$O$19,0)</f>
        <v>0</v>
      </c>
      <c r="AF85" s="37" t="n">
        <f aca="false">IF(AF$5=$N$19,AE80*$K$19/1000*$O$19,0)</f>
        <v>0</v>
      </c>
      <c r="AG85" s="37" t="n">
        <f aca="false">IF(AG$5=$N$19,AF80*$K$19/1000*$O$19,0)</f>
        <v>0</v>
      </c>
      <c r="AI85" s="37" t="n">
        <f aca="false">SUMIF($F$7:$AG$7,AI$7,$F85:$AG85)</f>
        <v>0</v>
      </c>
      <c r="AJ85" s="37" t="n">
        <f aca="false">SUMIF($F$7:$AG$7,AJ$7,$F85:$AG85)</f>
        <v>0</v>
      </c>
      <c r="AK85" s="37" t="n">
        <f aca="false">SUMIF($F$7:$AG$7,AK$7,$F85:$AG85)</f>
        <v>0</v>
      </c>
      <c r="AL85" s="37" t="n">
        <f aca="false">SUMIF($F$7:$AG$7,AL$7,$F85:$AG85)</f>
        <v>0</v>
      </c>
      <c r="AM85" s="37" t="n">
        <f aca="false">SUMIF($F$7:$AG$7,AM$7,$F85:$AG85)</f>
        <v>0</v>
      </c>
      <c r="AN85" s="37" t="n">
        <f aca="false">SUMIF($F$7:$AG$7,AN$7,$F85:$AG85)</f>
        <v>0</v>
      </c>
      <c r="AO85" s="37" t="n">
        <f aca="false">SUMIF($F$7:$AG$7,AO$7,$F85:$AG85)</f>
        <v>0</v>
      </c>
    </row>
    <row r="86" customFormat="false" ht="15" hidden="false" customHeight="false" outlineLevel="0" collapsed="false">
      <c r="A86" s="101" t="s">
        <v>1808</v>
      </c>
      <c r="B86" s="18" t="s">
        <v>781</v>
      </c>
      <c r="C86" s="18" t="s">
        <v>336</v>
      </c>
      <c r="D86" s="18"/>
      <c r="F86" s="131" t="n">
        <f aca="false">IF(DilMethod=3,MAX(0,F80*$K$19/1000*DilPx-F83)/DilPx,F80*$K$19/1000*$P$19)</f>
        <v>0</v>
      </c>
      <c r="G86" s="131" t="n">
        <f aca="false">IF(DilMethod=3,MAX(0,G80*$K$19/1000*DilPx-G83)/DilPx,G80*$K$19/1000*$P$19)</f>
        <v>0</v>
      </c>
      <c r="H86" s="131" t="n">
        <f aca="false">IF(DilMethod=3,MAX(0,H80*$K$19/1000*DilPx-H83)/DilPx,H80*$K$19/1000*$P$19)</f>
        <v>0</v>
      </c>
      <c r="I86" s="131" t="n">
        <f aca="false">IF(DilMethod=3,MAX(0,I80*$K$19/1000*DilPx-I83)/DilPx,I80*$K$19/1000*$P$19)</f>
        <v>0</v>
      </c>
      <c r="J86" s="131" t="n">
        <f aca="false">IF(DilMethod=3,MAX(0,J80*$K$19/1000*DilPx-J83)/DilPx,J80*$K$19/1000*$P$19)</f>
        <v>0</v>
      </c>
      <c r="K86" s="131" t="n">
        <f aca="false">IF(DilMethod=3,MAX(0,K80*$K$19/1000*DilPx-K83)/DilPx,K80*$K$19/1000*$P$19)</f>
        <v>0</v>
      </c>
      <c r="L86" s="131" t="n">
        <f aca="false">IF(DilMethod=3,MAX(0,L80*$K$19/1000*DilPx-L83)/DilPx,L80*$K$19/1000*$P$19)</f>
        <v>0</v>
      </c>
      <c r="M86" s="131" t="n">
        <f aca="false">IF(DilMethod=3,MAX(0,M80*$K$19/1000*DilPx-M83)/DilPx,M80*$K$19/1000*$P$19)</f>
        <v>0</v>
      </c>
      <c r="N86" s="131" t="n">
        <f aca="false">IF(DilMethod=3,MAX(0,N80*$K$19/1000*DilPx-N83)/DilPx,N80*$K$19/1000*$P$19)</f>
        <v>0</v>
      </c>
      <c r="O86" s="131" t="n">
        <f aca="false">IF(DilMethod=3,MAX(0,O80*$K$19/1000*DilPx-O83)/DilPx,O80*$K$19/1000*$P$19)</f>
        <v>0</v>
      </c>
      <c r="P86" s="37" t="n">
        <f aca="false">IF(DilMethod=3,MAX(0,P80*$K$19/1000*DilPx-P83)/DilPx,P80*$K$19/1000*$P$19)</f>
        <v>0</v>
      </c>
      <c r="Q86" s="37" t="n">
        <f aca="false">IF(DilMethod=3,MAX(0,Q80*$K$19/1000*DilPx-Q83)/DilPx,Q80*$K$19/1000*$P$19)</f>
        <v>0</v>
      </c>
      <c r="R86" s="37" t="n">
        <f aca="false">IF(DilMethod=3,MAX(0,R80*$K$19/1000*DilPx-R83)/DilPx,R80*$K$19/1000*$P$19)</f>
        <v>0</v>
      </c>
      <c r="S86" s="37" t="n">
        <f aca="false">IF(DilMethod=3,MAX(0,S80*$K$19/1000*DilPx-S83)/DilPx,S80*$K$19/1000*$P$19)</f>
        <v>0</v>
      </c>
      <c r="T86" s="37" t="n">
        <f aca="false">IF(DilMethod=3,MAX(0,T80*$K$19/1000*DilPx-T83)/DilPx,T80*$K$19/1000*$P$19)</f>
        <v>0</v>
      </c>
      <c r="U86" s="37" t="n">
        <f aca="false">IF(DilMethod=3,MAX(0,U80*$K$19/1000*DilPx-U83)/DilPx,U80*$K$19/1000*$P$19)</f>
        <v>0</v>
      </c>
      <c r="V86" s="37" t="n">
        <f aca="false">IF(DilMethod=3,MAX(0,V80*$K$19/1000*DilPx-V83)/DilPx,V80*$K$19/1000*$P$19)</f>
        <v>0</v>
      </c>
      <c r="W86" s="37" t="n">
        <f aca="false">IF(DilMethod=3,MAX(0,W80*$K$19/1000*DilPx-W83)/DilPx,W80*$K$19/1000*$P$19)</f>
        <v>0</v>
      </c>
      <c r="X86" s="37" t="n">
        <f aca="false">IF(DilMethod=3,MAX(0,X80*$K$19/1000*DilPx-X83)/DilPx,X80*$K$19/1000*$P$19)</f>
        <v>0</v>
      </c>
      <c r="Y86" s="37" t="n">
        <f aca="false">IF(DilMethod=3,MAX(0,Y80*$K$19/1000*DilPx-Y83)/DilPx,Y80*$K$19/1000*$P$19)</f>
        <v>0</v>
      </c>
      <c r="Z86" s="37" t="n">
        <f aca="false">IF(DilMethod=3,MAX(0,Z80*$K$19/1000*DilPx-Z83)/DilPx,Z80*$K$19/1000*$P$19)</f>
        <v>0</v>
      </c>
      <c r="AA86" s="37" t="n">
        <f aca="false">IF(DilMethod=3,MAX(0,AA80*$K$19/1000*DilPx-AA83)/DilPx,AA80*$K$19/1000*$P$19)</f>
        <v>0</v>
      </c>
      <c r="AB86" s="37" t="n">
        <f aca="false">IF(DilMethod=3,MAX(0,AB80*$K$19/1000*DilPx-AB83)/DilPx,AB80*$K$19/1000*$P$19)</f>
        <v>0</v>
      </c>
      <c r="AC86" s="37" t="n">
        <f aca="false">IF(DilMethod=3,MAX(0,AC80*$K$19/1000*DilPx-AC83)/DilPx,AC80*$K$19/1000*$P$19)</f>
        <v>0</v>
      </c>
      <c r="AD86" s="37" t="n">
        <f aca="false">IF(DilMethod=3,MAX(0,AD80*$K$19/1000*DilPx-AD83)/DilPx,AD80*$K$19/1000*$P$19)</f>
        <v>0</v>
      </c>
      <c r="AE86" s="37" t="n">
        <f aca="false">IF(DilMethod=3,MAX(0,AE80*$K$19/1000*DilPx-AE83)/DilPx,AE80*$K$19/1000*$P$19)</f>
        <v>0</v>
      </c>
      <c r="AF86" s="37" t="n">
        <f aca="false">IF(DilMethod=3,MAX(0,AF80*$K$19/1000*DilPx-AF83)/DilPx,AF80*$K$19/1000*$P$19)</f>
        <v>0</v>
      </c>
      <c r="AG86" s="37" t="n">
        <f aca="false">IF(DilMethod=3,MAX(0,AG80*$K$19/1000*DilPx-AG83)/DilPx,AG80*$K$19/1000*$P$19)</f>
        <v>0</v>
      </c>
      <c r="AI86" s="37" t="n">
        <f aca="false">INDEX($F86:$AG86,1,MATCH(AI$7,$F$7:$AG$7,1))</f>
        <v>0</v>
      </c>
      <c r="AJ86" s="37" t="n">
        <f aca="false">INDEX($F86:$AG86,1,MATCH(AJ$7,$F$7:$AG$7,1))</f>
        <v>0</v>
      </c>
      <c r="AK86" s="37" t="n">
        <f aca="false">INDEX($F86:$AG86,1,MATCH(AK$7,$F$7:$AG$7,1))</f>
        <v>0</v>
      </c>
      <c r="AL86" s="37" t="n">
        <f aca="false">INDEX($F86:$AG86,1,MATCH(AL$7,$F$7:$AG$7,1))</f>
        <v>0</v>
      </c>
      <c r="AM86" s="37" t="n">
        <f aca="false">INDEX($F86:$AG86,1,MATCH(AM$7,$F$7:$AG$7,1))</f>
        <v>0</v>
      </c>
      <c r="AN86" s="37" t="n">
        <f aca="false">INDEX($F86:$AG86,1,MATCH(AN$7,$F$7:$AG$7,1))</f>
        <v>0</v>
      </c>
      <c r="AO86" s="37" t="n">
        <f aca="false">INDEX($F86:$AG86,1,MATCH(AO$7,$F$7:$AG$7,1))</f>
        <v>0</v>
      </c>
    </row>
    <row r="87" customFormat="false" ht="15" hidden="false" customHeight="false" outlineLevel="0" collapsed="false">
      <c r="A87" s="101" t="s">
        <v>1809</v>
      </c>
      <c r="B87" s="18" t="s">
        <v>400</v>
      </c>
      <c r="C87" s="18" t="s">
        <v>336</v>
      </c>
      <c r="D87" s="18"/>
      <c r="F87" s="119" t="n">
        <f aca="false">F83*IF(DilMethod=3,1,1-$P$19)</f>
        <v>0</v>
      </c>
      <c r="G87" s="119" t="n">
        <f aca="false">G83*IF(DilMethod=3,1,1-$P$19)</f>
        <v>0</v>
      </c>
      <c r="H87" s="119" t="n">
        <f aca="false">H83*IF(DilMethod=3,1,1-$P$19)</f>
        <v>0</v>
      </c>
      <c r="I87" s="119" t="n">
        <f aca="false">I83*IF(DilMethod=3,1,1-$P$19)</f>
        <v>0</v>
      </c>
      <c r="J87" s="119" t="n">
        <f aca="false">J83*IF(DilMethod=3,1,1-$P$19)</f>
        <v>0</v>
      </c>
      <c r="K87" s="119" t="n">
        <f aca="false">K83*IF(DilMethod=3,1,1-$P$19)</f>
        <v>0</v>
      </c>
      <c r="L87" s="119" t="n">
        <f aca="false">L83*IF(DilMethod=3,1,1-$P$19)</f>
        <v>0</v>
      </c>
      <c r="M87" s="119" t="n">
        <f aca="false">M83*IF(DilMethod=3,1,1-$P$19)</f>
        <v>0</v>
      </c>
      <c r="N87" s="119" t="n">
        <f aca="false">N83*IF(DilMethod=3,1,1-$P$19)</f>
        <v>0</v>
      </c>
      <c r="O87" s="119" t="n">
        <f aca="false">O83*IF(DilMethod=3,1,1-$P$19)</f>
        <v>0</v>
      </c>
      <c r="P87" s="120" t="n">
        <f aca="false">P83*IF(DilMethod=3,1,1-$P$19)</f>
        <v>2307.78733528551</v>
      </c>
      <c r="Q87" s="120" t="n">
        <f aca="false">Q83*IF(DilMethod=3,1,1-$P$19)</f>
        <v>2327.15043923865</v>
      </c>
      <c r="R87" s="120" t="n">
        <f aca="false">R83*IF(DilMethod=3,1,1-$P$19)</f>
        <v>2346.09260614934</v>
      </c>
      <c r="S87" s="120" t="n">
        <f aca="false">S83*IF(DilMethod=3,1,1-$P$19)</f>
        <v>2365.24524158126</v>
      </c>
      <c r="T87" s="120" t="n">
        <f aca="false">T83*IF(DilMethod=3,1,1-$P$19)</f>
        <v>2384.60834553441</v>
      </c>
      <c r="U87" s="120" t="n">
        <f aca="false">U83*IF(DilMethod=3,1,1-$P$19)</f>
        <v>2403.97144948756</v>
      </c>
      <c r="V87" s="120" t="n">
        <f aca="false">V83*IF(DilMethod=3,1,1-$P$19)</f>
        <v>2423.12408491947</v>
      </c>
      <c r="W87" s="120" t="n">
        <f aca="false">W83*IF(DilMethod=3,1,1-$P$19)</f>
        <v>2442.27672035139</v>
      </c>
      <c r="X87" s="120" t="n">
        <f aca="false">X83*IF(DilMethod=3,1,1-$P$19)</f>
        <v>2461.63982430454</v>
      </c>
      <c r="Y87" s="120" t="n">
        <f aca="false">Y83*IF(DilMethod=3,1,1-$P$19)</f>
        <v>2481.00292825769</v>
      </c>
      <c r="Z87" s="120" t="n">
        <f aca="false">Z83*IF(DilMethod=3,1,1-$P$19)</f>
        <v>2499.94509516838</v>
      </c>
      <c r="AA87" s="120" t="n">
        <f aca="false">AA83*IF(DilMethod=3,1,1-$P$19)</f>
        <v>2519.09773060029</v>
      </c>
      <c r="AB87" s="120" t="n">
        <f aca="false">AB83*IF(DilMethod=3,1,1-$P$19)</f>
        <v>2538.46083455344</v>
      </c>
      <c r="AC87" s="120" t="n">
        <f aca="false">AC83*IF(DilMethod=3,1,1-$P$19)</f>
        <v>2557.82393850659</v>
      </c>
      <c r="AD87" s="120" t="n">
        <f aca="false">AD83*IF(DilMethod=3,1,1-$P$19)</f>
        <v>2576.76610541728</v>
      </c>
      <c r="AE87" s="120" t="n">
        <f aca="false">AE83*IF(DilMethod=3,1,1-$P$19)</f>
        <v>2595.9187408492</v>
      </c>
      <c r="AF87" s="120" t="n">
        <f aca="false">AF83*IF(DilMethod=3,1,1-$P$19)</f>
        <v>2615.28184480234</v>
      </c>
      <c r="AG87" s="120" t="n">
        <f aca="false">AG83*IF(DilMethod=3,1,1-$P$19)</f>
        <v>2634.64494875549</v>
      </c>
      <c r="AI87" s="120" t="n">
        <f aca="false">INDEX($F87:$AG87,1,MATCH(AI$7,$F$7:$AG$7,1))</f>
        <v>0</v>
      </c>
      <c r="AJ87" s="120" t="n">
        <f aca="false">INDEX($F87:$AG87,1,MATCH(AJ$7,$F$7:$AG$7,1))</f>
        <v>0</v>
      </c>
      <c r="AK87" s="120" t="n">
        <f aca="false">INDEX($F87:$AG87,1,MATCH(AK$7,$F$7:$AG$7,1))</f>
        <v>2327.15043923865</v>
      </c>
      <c r="AL87" s="120" t="n">
        <f aca="false">INDEX($F87:$AG87,1,MATCH(AL$7,$F$7:$AG$7,1))</f>
        <v>2403.97144948756</v>
      </c>
      <c r="AM87" s="120" t="n">
        <f aca="false">INDEX($F87:$AG87,1,MATCH(AM$7,$F$7:$AG$7,1))</f>
        <v>2481.00292825769</v>
      </c>
      <c r="AN87" s="120" t="n">
        <f aca="false">INDEX($F87:$AG87,1,MATCH(AN$7,$F$7:$AG$7,1))</f>
        <v>2557.82393850659</v>
      </c>
      <c r="AO87" s="120" t="n">
        <f aca="false">INDEX($F87:$AG87,1,MATCH(AO$7,$F$7:$AG$7,1))</f>
        <v>2634.64494875549</v>
      </c>
    </row>
    <row r="89" customFormat="false" ht="15" hidden="false" customHeight="false" outlineLevel="0" collapsed="false">
      <c r="A89" s="48" t="s">
        <v>1810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</row>
    <row r="90" customFormat="false" ht="15" hidden="false" customHeight="false" outlineLevel="0" collapsed="false">
      <c r="A90" s="3" t="s">
        <v>1811</v>
      </c>
      <c r="B90" s="18" t="s">
        <v>400</v>
      </c>
      <c r="C90" s="18" t="s">
        <v>336</v>
      </c>
      <c r="D90" s="18"/>
      <c r="F90" s="121" t="n">
        <f aca="false">F24+F32+F40+F48+F56+F64+F72+F80</f>
        <v>0</v>
      </c>
      <c r="G90" s="121" t="n">
        <f aca="false">G24+G32+G40+G48+G56+G64+G72+G80</f>
        <v>0</v>
      </c>
      <c r="H90" s="121" t="n">
        <f aca="false">H24+H32+H40+H48+H56+H64+H72+H80</f>
        <v>0</v>
      </c>
      <c r="I90" s="121" t="n">
        <f aca="false">I24+I32+I40+I48+I56+I64+I72+I80</f>
        <v>0</v>
      </c>
      <c r="J90" s="121" t="n">
        <f aca="false">J24+J32+J40+J48+J56+J64+J72+J80</f>
        <v>0</v>
      </c>
      <c r="K90" s="121" t="n">
        <f aca="false">K24+K32+K40+K48+K56+K64+K72+K80</f>
        <v>975</v>
      </c>
      <c r="L90" s="121" t="n">
        <f aca="false">L24+L32+L40+L48+L56+L64+L72+L80</f>
        <v>4137.5</v>
      </c>
      <c r="M90" s="121" t="n">
        <f aca="false">M24+M32+M40+M48+M56+M64+M72+M80</f>
        <v>4137.5</v>
      </c>
      <c r="N90" s="121" t="n">
        <f aca="false">N24+N32+N40+N48+N56+N64+N72+N80</f>
        <v>8475</v>
      </c>
      <c r="O90" s="121" t="n">
        <f aca="false">O24+O32+O40+O48+O56+O64+O72+O80</f>
        <v>8475</v>
      </c>
      <c r="P90" s="93" t="n">
        <f aca="false">P24+P32+P40+P48+P56+P64+P72+P80</f>
        <v>13425</v>
      </c>
      <c r="Q90" s="93" t="n">
        <f aca="false">Q24+Q32+Q40+Q48+Q56+Q64+Q72+Q80</f>
        <v>13425</v>
      </c>
      <c r="R90" s="93" t="n">
        <f aca="false">R24+R32+R40+R48+R56+R64+R72+R80</f>
        <v>13425</v>
      </c>
      <c r="S90" s="93" t="n">
        <f aca="false">S24+S32+S40+S48+S56+S64+S72+S80</f>
        <v>13425</v>
      </c>
      <c r="T90" s="93" t="n">
        <f aca="false">T24+T32+T40+T48+T56+T64+T72+T80</f>
        <v>13425</v>
      </c>
      <c r="U90" s="93" t="n">
        <f aca="false">U24+U32+U40+U48+U56+U64+U72+U80</f>
        <v>13425</v>
      </c>
      <c r="V90" s="93" t="n">
        <f aca="false">V24+V32+V40+V48+V56+V64+V72+V80</f>
        <v>13425</v>
      </c>
      <c r="W90" s="93" t="n">
        <f aca="false">W24+W32+W40+W48+W56+W64+W72+W80</f>
        <v>13425</v>
      </c>
      <c r="X90" s="93" t="n">
        <f aca="false">X24+X32+X40+X48+X56+X64+X72+X80</f>
        <v>13425</v>
      </c>
      <c r="Y90" s="93" t="n">
        <f aca="false">Y24+Y32+Y40+Y48+Y56+Y64+Y72+Y80</f>
        <v>13425</v>
      </c>
      <c r="Z90" s="93" t="n">
        <f aca="false">Z24+Z32+Z40+Z48+Z56+Z64+Z72+Z80</f>
        <v>13425</v>
      </c>
      <c r="AA90" s="93" t="n">
        <f aca="false">AA24+AA32+AA40+AA48+AA56+AA64+AA72+AA80</f>
        <v>13337.5</v>
      </c>
      <c r="AB90" s="93" t="n">
        <f aca="false">AB24+AB32+AB40+AB48+AB56+AB64+AB72+AB80</f>
        <v>13337.5</v>
      </c>
      <c r="AC90" s="93" t="n">
        <f aca="false">AC24+AC32+AC40+AC48+AC56+AC64+AC72+AC80</f>
        <v>13337.5</v>
      </c>
      <c r="AD90" s="93" t="n">
        <f aca="false">AD24+AD32+AD40+AD48+AD56+AD64+AD72+AD80</f>
        <v>9887.5</v>
      </c>
      <c r="AE90" s="93" t="n">
        <f aca="false">AE24+AE32+AE40+AE48+AE56+AE64+AE72+AE80</f>
        <v>9887.5</v>
      </c>
      <c r="AF90" s="93" t="n">
        <f aca="false">AF24+AF32+AF40+AF48+AF56+AF64+AF72+AF80</f>
        <v>8306.25</v>
      </c>
      <c r="AG90" s="93" t="n">
        <f aca="false">AG24+AG32+AG40+AG48+AG56+AG64+AG72+AG80</f>
        <v>8306.25</v>
      </c>
      <c r="AI90" s="93" t="n">
        <f aca="false">INDEX($F90:$AG90,1,MATCH(AI$7,$F$7:$AG$7,1))</f>
        <v>0</v>
      </c>
      <c r="AJ90" s="93" t="n">
        <f aca="false">INDEX($F90:$AG90,1,MATCH(AJ$7,$F$7:$AG$7,1))</f>
        <v>4137.5</v>
      </c>
      <c r="AK90" s="93" t="n">
        <f aca="false">INDEX($F90:$AG90,1,MATCH(AK$7,$F$7:$AG$7,1))</f>
        <v>13425</v>
      </c>
      <c r="AL90" s="93" t="n">
        <f aca="false">INDEX($F90:$AG90,1,MATCH(AL$7,$F$7:$AG$7,1))</f>
        <v>13425</v>
      </c>
      <c r="AM90" s="93" t="n">
        <f aca="false">INDEX($F90:$AG90,1,MATCH(AM$7,$F$7:$AG$7,1))</f>
        <v>13425</v>
      </c>
      <c r="AN90" s="93" t="n">
        <f aca="false">INDEX($F90:$AG90,1,MATCH(AN$7,$F$7:$AG$7,1))</f>
        <v>13337.5</v>
      </c>
      <c r="AO90" s="93" t="n">
        <f aca="false">INDEX($F90:$AG90,1,MATCH(AO$7,$F$7:$AG$7,1))</f>
        <v>8306.25</v>
      </c>
    </row>
    <row r="91" customFormat="false" ht="15" hidden="false" customHeight="false" outlineLevel="0" collapsed="false">
      <c r="A91" s="3" t="s">
        <v>1812</v>
      </c>
      <c r="B91" s="18" t="s">
        <v>400</v>
      </c>
      <c r="C91" s="18" t="s">
        <v>336</v>
      </c>
      <c r="D91" s="18"/>
      <c r="F91" s="121" t="n">
        <f aca="false">F25+F33+F41+F49+F57+F65+F73+F81</f>
        <v>0</v>
      </c>
      <c r="G91" s="121" t="n">
        <f aca="false">G25+G33+G41+G49+G57+G65+G73+G81</f>
        <v>0</v>
      </c>
      <c r="H91" s="121" t="n">
        <f aca="false">H25+H33+H41+H49+H57+H65+H73+H81</f>
        <v>0</v>
      </c>
      <c r="I91" s="121" t="n">
        <f aca="false">I25+I33+I41+I49+I57+I65+I73+I81</f>
        <v>0</v>
      </c>
      <c r="J91" s="121" t="n">
        <f aca="false">J25+J33+J41+J49+J57+J65+J73+J81</f>
        <v>0</v>
      </c>
      <c r="K91" s="121" t="n">
        <f aca="false">K25+K33+K41+K49+K57+K65+K73+K81</f>
        <v>6.09375</v>
      </c>
      <c r="L91" s="121" t="n">
        <f aca="false">L25+L33+L41+L49+L57+L65+L73+L81</f>
        <v>20.91796875</v>
      </c>
      <c r="M91" s="121" t="n">
        <f aca="false">M25+M33+M41+M49+M57+M65+M73+M81</f>
        <v>20.91796875</v>
      </c>
      <c r="N91" s="121" t="n">
        <f aca="false">N25+N33+N41+N49+N57+N65+N73+N81</f>
        <v>40.48828125</v>
      </c>
      <c r="O91" s="121" t="n">
        <f aca="false">O25+O33+O41+O49+O57+O65+O73+O81</f>
        <v>40.48828125</v>
      </c>
      <c r="P91" s="93" t="n">
        <f aca="false">P25+P33+P41+P49+P57+P65+P73+P81</f>
        <v>65.67578125</v>
      </c>
      <c r="Q91" s="93" t="n">
        <f aca="false">Q25+Q33+Q41+Q49+Q57+Q65+Q73+Q81</f>
        <v>65.67578125</v>
      </c>
      <c r="R91" s="93" t="n">
        <f aca="false">R25+R33+R41+R49+R57+R65+R73+R81</f>
        <v>65.67578125</v>
      </c>
      <c r="S91" s="93" t="n">
        <f aca="false">S25+S33+S41+S49+S57+S65+S73+S81</f>
        <v>65.67578125</v>
      </c>
      <c r="T91" s="93" t="n">
        <f aca="false">T25+T33+T41+T49+T57+T65+T73+T81</f>
        <v>65.67578125</v>
      </c>
      <c r="U91" s="93" t="n">
        <f aca="false">U25+U33+U41+U49+U57+U65+U73+U81</f>
        <v>65.67578125</v>
      </c>
      <c r="V91" s="93" t="n">
        <f aca="false">V25+V33+V41+V49+V57+V65+V73+V81</f>
        <v>65.67578125</v>
      </c>
      <c r="W91" s="93" t="n">
        <f aca="false">W25+W33+W41+W49+W57+W65+W73+W81</f>
        <v>65.67578125</v>
      </c>
      <c r="X91" s="93" t="n">
        <f aca="false">X25+X33+X41+X49+X57+X65+X73+X81</f>
        <v>65.67578125</v>
      </c>
      <c r="Y91" s="93" t="n">
        <f aca="false">Y25+Y33+Y41+Y49+Y57+Y65+Y73+Y81</f>
        <v>65.67578125</v>
      </c>
      <c r="Z91" s="93" t="n">
        <f aca="false">Z25+Z33+Z41+Z49+Z57+Z65+Z73+Z81</f>
        <v>65.67578125</v>
      </c>
      <c r="AA91" s="93" t="n">
        <f aca="false">AA25+AA33+AA41+AA49+AA57+AA65+AA73+AA81</f>
        <v>65.23828125</v>
      </c>
      <c r="AB91" s="93" t="n">
        <f aca="false">AB25+AB33+AB41+AB49+AB57+AB65+AB73+AB81</f>
        <v>65.23828125</v>
      </c>
      <c r="AC91" s="93" t="n">
        <f aca="false">AC25+AC33+AC41+AC49+AC57+AC65+AC73+AC81</f>
        <v>65.23828125</v>
      </c>
      <c r="AD91" s="93" t="n">
        <f aca="false">AD25+AD33+AD41+AD49+AD57+AD65+AD73+AD81</f>
        <v>60.92578125</v>
      </c>
      <c r="AE91" s="93" t="n">
        <f aca="false">AE25+AE33+AE41+AE49+AE57+AE65+AE73+AE81</f>
        <v>60.92578125</v>
      </c>
      <c r="AF91" s="93" t="n">
        <f aca="false">AF25+AF33+AF41+AF49+AF57+AF65+AF73+AF81</f>
        <v>56.97265625</v>
      </c>
      <c r="AG91" s="93" t="n">
        <f aca="false">AG25+AG33+AG41+AG49+AG57+AG65+AG73+AG81</f>
        <v>56.97265625</v>
      </c>
      <c r="AI91" s="93" t="n">
        <f aca="false">SUMIF($F$7:$AG$7,AI$7,$F91:$AG91)</f>
        <v>0</v>
      </c>
      <c r="AJ91" s="93" t="n">
        <f aca="false">SUMIF($F$7:$AG$7,AJ$7,$F91:$AG91)</f>
        <v>47.9296875</v>
      </c>
      <c r="AK91" s="93" t="n">
        <f aca="false">SUMIF($F$7:$AG$7,AK$7,$F91:$AG91)</f>
        <v>212.328125</v>
      </c>
      <c r="AL91" s="93" t="n">
        <f aca="false">SUMIF($F$7:$AG$7,AL$7,$F91:$AG91)</f>
        <v>262.703125</v>
      </c>
      <c r="AM91" s="93" t="n">
        <f aca="false">SUMIF($F$7:$AG$7,AM$7,$F91:$AG91)</f>
        <v>262.703125</v>
      </c>
      <c r="AN91" s="93" t="n">
        <f aca="false">SUMIF($F$7:$AG$7,AN$7,$F91:$AG91)</f>
        <v>261.390625</v>
      </c>
      <c r="AO91" s="93" t="n">
        <f aca="false">SUMIF($F$7:$AG$7,AO$7,$F91:$AG91)</f>
        <v>235.796875</v>
      </c>
    </row>
    <row r="92" customFormat="false" ht="15" hidden="false" customHeight="false" outlineLevel="0" collapsed="false">
      <c r="A92" s="3" t="s">
        <v>1813</v>
      </c>
      <c r="B92" s="18" t="s">
        <v>400</v>
      </c>
      <c r="C92" s="18" t="s">
        <v>336</v>
      </c>
      <c r="D92" s="18"/>
      <c r="F92" s="121" t="n">
        <f aca="false">F26+F34+F42+F50+F58+F66+F74+F82</f>
        <v>0</v>
      </c>
      <c r="G92" s="121" t="n">
        <f aca="false">G26+G34+G42+G50+G58+G66+G74+G82</f>
        <v>0</v>
      </c>
      <c r="H92" s="121" t="n">
        <f aca="false">H26+H34+H42+H50+H58+H66+H74+H82</f>
        <v>0</v>
      </c>
      <c r="I92" s="121" t="n">
        <f aca="false">I26+I34+I42+I50+I58+I66+I74+I82</f>
        <v>0</v>
      </c>
      <c r="J92" s="121" t="n">
        <f aca="false">J26+J34+J42+J50+J58+J66+J74+J82</f>
        <v>0</v>
      </c>
      <c r="K92" s="121" t="n">
        <f aca="false">K26+K34+K42+K50+K58+K66+K74+K82</f>
        <v>11.4862086135425</v>
      </c>
      <c r="L92" s="121" t="n">
        <f aca="false">L26+L34+L42+L50+L58+L66+L74+L82</f>
        <v>31.8173612237143</v>
      </c>
      <c r="M92" s="121" t="n">
        <f aca="false">M26+M34+M42+M50+M58+M66+M74+M82</f>
        <v>31.8173612237143</v>
      </c>
      <c r="N92" s="121" t="n">
        <f aca="false">N26+N34+N42+N50+N58+N66+N74+N82</f>
        <v>70.2902257244709</v>
      </c>
      <c r="O92" s="121" t="n">
        <f aca="false">O26+O34+O42+O50+O58+O66+O74+O82</f>
        <v>70.2902257244709</v>
      </c>
      <c r="P92" s="93" t="n">
        <f aca="false">P26+P34+P42+P50+P58+P66+P74+P82</f>
        <v>104.869898900448</v>
      </c>
      <c r="Q92" s="93" t="n">
        <f aca="false">Q26+Q34+Q42+Q50+Q58+Q66+Q74+Q82</f>
        <v>104.869898900448</v>
      </c>
      <c r="R92" s="93" t="n">
        <f aca="false">R26+R34+R42+R50+R58+R66+R74+R82</f>
        <v>104.869898900448</v>
      </c>
      <c r="S92" s="93" t="n">
        <f aca="false">S26+S34+S42+S50+S58+S66+S74+S82</f>
        <v>104.869898900448</v>
      </c>
      <c r="T92" s="93" t="n">
        <f aca="false">T26+T34+T42+T50+T58+T66+T74+T82</f>
        <v>104.869898900448</v>
      </c>
      <c r="U92" s="93" t="n">
        <f aca="false">U26+U34+U42+U50+U58+U66+U74+U82</f>
        <v>104.869898900448</v>
      </c>
      <c r="V92" s="93" t="n">
        <f aca="false">V26+V34+V42+V50+V58+V66+V74+V82</f>
        <v>104.869898900448</v>
      </c>
      <c r="W92" s="93" t="n">
        <f aca="false">W26+W34+W42+W50+W58+W66+W74+W82</f>
        <v>104.869898900448</v>
      </c>
      <c r="X92" s="93" t="n">
        <f aca="false">X26+X34+X42+X50+X58+X66+X74+X82</f>
        <v>104.869898900448</v>
      </c>
      <c r="Y92" s="93" t="n">
        <f aca="false">Y26+Y34+Y42+Y50+Y58+Y66+Y74+Y82</f>
        <v>104.869898900448</v>
      </c>
      <c r="Z92" s="93" t="n">
        <f aca="false">Z26+Z34+Z42+Z50+Z58+Z66+Z74+Z82</f>
        <v>104.869898900448</v>
      </c>
      <c r="AA92" s="93" t="n">
        <f aca="false">AA26+AA34+AA42+AA50+AA58+AA66+AA74+AA82</f>
        <v>103.745024289815</v>
      </c>
      <c r="AB92" s="93" t="n">
        <f aca="false">AB26+AB34+AB42+AB50+AB58+AB66+AB74+AB82</f>
        <v>103.745024289815</v>
      </c>
      <c r="AC92" s="93" t="n">
        <f aca="false">AC26+AC34+AC42+AC50+AC58+AC66+AC74+AC82</f>
        <v>103.745024289815</v>
      </c>
      <c r="AD92" s="93" t="n">
        <f aca="false">AD26+AD34+AD42+AD50+AD58+AD66+AD74+AD82</f>
        <v>78.9591765321438</v>
      </c>
      <c r="AE92" s="93" t="n">
        <f aca="false">AE26+AE34+AE42+AE50+AE58+AE66+AE74+AE82</f>
        <v>78.9591765321438</v>
      </c>
      <c r="AF92" s="93" t="n">
        <f aca="false">AF26+AF34+AF42+AF50+AF58+AF66+AF74+AF82</f>
        <v>67.0981778499149</v>
      </c>
      <c r="AG92" s="93" t="n">
        <f aca="false">AG26+AG34+AG42+AG50+AG58+AG66+AG74+AG82</f>
        <v>67.0981778499149</v>
      </c>
      <c r="AI92" s="93" t="n">
        <f aca="false">SUMIF($F$7:$AG$7,AI$7,$F92:$AG92)</f>
        <v>0</v>
      </c>
      <c r="AJ92" s="93" t="n">
        <f aca="false">SUMIF($F$7:$AG$7,AJ$7,$F92:$AG92)</f>
        <v>75.1209310609711</v>
      </c>
      <c r="AK92" s="93" t="n">
        <f aca="false">SUMIF($F$7:$AG$7,AK$7,$F92:$AG92)</f>
        <v>350.320249249838</v>
      </c>
      <c r="AL92" s="93" t="n">
        <f aca="false">SUMIF($F$7:$AG$7,AL$7,$F92:$AG92)</f>
        <v>419.479595601792</v>
      </c>
      <c r="AM92" s="93" t="n">
        <f aca="false">SUMIF($F$7:$AG$7,AM$7,$F92:$AG92)</f>
        <v>419.479595601792</v>
      </c>
      <c r="AN92" s="93" t="n">
        <f aca="false">SUMIF($F$7:$AG$7,AN$7,$F92:$AG92)</f>
        <v>416.104971769893</v>
      </c>
      <c r="AO92" s="93" t="n">
        <f aca="false">SUMIF($F$7:$AG$7,AO$7,$F92:$AG92)</f>
        <v>292.114708764117</v>
      </c>
    </row>
    <row r="93" customFormat="false" ht="15" hidden="false" customHeight="false" outlineLevel="0" collapsed="false">
      <c r="A93" s="3" t="s">
        <v>1814</v>
      </c>
      <c r="B93" s="18" t="s">
        <v>400</v>
      </c>
      <c r="C93" s="18" t="s">
        <v>336</v>
      </c>
      <c r="D93" s="18"/>
      <c r="F93" s="121" t="n">
        <f aca="false">F27+F35+F43+F51+F59+F67+F75+F83</f>
        <v>0</v>
      </c>
      <c r="G93" s="121" t="n">
        <f aca="false">G27+G35+G43+G51+G59+G67+G75+G83</f>
        <v>0</v>
      </c>
      <c r="H93" s="121" t="n">
        <f aca="false">H27+H35+H43+H51+H59+H67+H75+H83</f>
        <v>0</v>
      </c>
      <c r="I93" s="121" t="n">
        <f aca="false">I27+I35+I43+I51+I59+I67+I75+I83</f>
        <v>0</v>
      </c>
      <c r="J93" s="121" t="n">
        <f aca="false">J27+J35+J43+J51+J59+J67+J75+J83</f>
        <v>0</v>
      </c>
      <c r="K93" s="121" t="n">
        <f aca="false">K27+K35+K43+K51+K59+K67+K75+K83</f>
        <v>978.144752529375</v>
      </c>
      <c r="L93" s="121" t="n">
        <f aca="false">L27+L35+L43+L51+L59+L67+L75+L83</f>
        <v>4155.5572615681</v>
      </c>
      <c r="M93" s="121" t="n">
        <f aca="false">M27+M35+M43+M51+M59+M67+M75+M83</f>
        <v>4187.61417855736</v>
      </c>
      <c r="N93" s="121" t="n">
        <f aca="false">N27+N35+N43+N51+N59+N67+N75+N83</f>
        <v>8561.10885639054</v>
      </c>
      <c r="O93" s="121" t="n">
        <f aca="false">O27+O35+O43+O51+O59+O67+O75+O83</f>
        <v>8631.15852692773</v>
      </c>
      <c r="P93" s="93" t="n">
        <f aca="false">P27+P35+P43+P51+P59+P67+P75+P83</f>
        <v>13620.060210042</v>
      </c>
      <c r="Q93" s="93" t="n">
        <f aca="false">Q27+Q35+Q43+Q51+Q59+Q67+Q75+Q83</f>
        <v>13725.7196838144</v>
      </c>
      <c r="R93" s="93" t="n">
        <f aca="false">R27+R35+R43+R51+R59+R67+R75+R83</f>
        <v>13829.0822125048</v>
      </c>
      <c r="S93" s="93" t="n">
        <f aca="false">S27+S35+S43+S51+S59+S67+S75+S83</f>
        <v>13933.5932137361</v>
      </c>
      <c r="T93" s="93" t="n">
        <f aca="false">T27+T35+T43+T51+T59+T67+T75+T83</f>
        <v>14039.2526875085</v>
      </c>
      <c r="U93" s="93" t="n">
        <f aca="false">U27+U35+U43+U51+U59+U67+U75+U83</f>
        <v>14144.9121612809</v>
      </c>
      <c r="V93" s="93" t="n">
        <f aca="false">V27+V35+V43+V51+V59+V67+V75+V83</f>
        <v>14249.4231625123</v>
      </c>
      <c r="W93" s="93" t="n">
        <f aca="false">W27+W35+W43+W51+W59+W67+W75+W83</f>
        <v>14353.9341637437</v>
      </c>
      <c r="X93" s="93" t="n">
        <f aca="false">X27+X35+X43+X51+X59+X67+X75+X83</f>
        <v>14459.5936375161</v>
      </c>
      <c r="Y93" s="93" t="n">
        <f aca="false">Y27+Y35+Y43+Y51+Y59+Y67+Y75+Y83</f>
        <v>14565.2531112885</v>
      </c>
      <c r="Z93" s="93" t="n">
        <f aca="false">Z27+Z35+Z43+Z51+Z59+Z67+Z75+Z83</f>
        <v>14668.6156399789</v>
      </c>
      <c r="AA93" s="93" t="n">
        <f aca="false">AA27+AA35+AA43+AA51+AA59+AA67+AA75+AA83</f>
        <v>14667.3206735563</v>
      </c>
      <c r="AB93" s="93" t="n">
        <f aca="false">AB27+AB35+AB43+AB51+AB59+AB67+AB75+AB83</f>
        <v>14771.8468034362</v>
      </c>
      <c r="AC93" s="93" t="n">
        <f aca="false">AC27+AC35+AC43+AC51+AC59+AC67+AC75+AC83</f>
        <v>14876.3729333162</v>
      </c>
      <c r="AD93" s="93" t="n">
        <f aca="false">AD27+AD35+AD43+AD51+AD59+AD67+AD75+AD83</f>
        <v>11171.6834043333</v>
      </c>
      <c r="AE93" s="93" t="n">
        <f aca="false">AE27+AE35+AE43+AE51+AE59+AE67+AE75+AE83</f>
        <v>11250.3723578109</v>
      </c>
      <c r="AF93" s="93" t="n">
        <f aca="false">AF27+AF35+AF43+AF51+AF59+AF67+AF75+AF83</f>
        <v>9509.54010638828</v>
      </c>
      <c r="AG93" s="93" t="n">
        <f aca="false">AG27+AG35+AG43+AG51+AG59+AG67+AG75+AG83</f>
        <v>9577.14347243556</v>
      </c>
      <c r="AI93" s="93" t="n">
        <f aca="false">INDEX($F93:$AG93,1,MATCH(AI$7,$F$7:$AG$7,1))</f>
        <v>0</v>
      </c>
      <c r="AJ93" s="93" t="n">
        <f aca="false">INDEX($F93:$AG93,1,MATCH(AJ$7,$F$7:$AG$7,1))</f>
        <v>4187.61417855736</v>
      </c>
      <c r="AK93" s="93" t="n">
        <f aca="false">INDEX($F93:$AG93,1,MATCH(AK$7,$F$7:$AG$7,1))</f>
        <v>13725.7196838144</v>
      </c>
      <c r="AL93" s="93" t="n">
        <f aca="false">INDEX($F93:$AG93,1,MATCH(AL$7,$F$7:$AG$7,1))</f>
        <v>14144.9121612809</v>
      </c>
      <c r="AM93" s="93" t="n">
        <f aca="false">INDEX($F93:$AG93,1,MATCH(AM$7,$F$7:$AG$7,1))</f>
        <v>14565.2531112885</v>
      </c>
      <c r="AN93" s="93" t="n">
        <f aca="false">INDEX($F93:$AG93,1,MATCH(AN$7,$F$7:$AG$7,1))</f>
        <v>14876.3729333162</v>
      </c>
      <c r="AO93" s="93" t="n">
        <f aca="false">INDEX($F93:$AG93,1,MATCH(AO$7,$F$7:$AG$7,1))</f>
        <v>9577.14347243556</v>
      </c>
    </row>
    <row r="94" customFormat="false" ht="15" hidden="false" customHeight="false" outlineLevel="0" collapsed="false">
      <c r="A94" s="3" t="s">
        <v>1815</v>
      </c>
      <c r="B94" s="18" t="s">
        <v>400</v>
      </c>
      <c r="C94" s="18" t="s">
        <v>336</v>
      </c>
      <c r="D94" s="18"/>
      <c r="F94" s="121" t="n">
        <f aca="false">F28+F36+F44+F52+F60+F68+F76+F84</f>
        <v>0</v>
      </c>
      <c r="G94" s="121" t="n">
        <f aca="false">G28+G36+G44+G52+G60+G68+G76+G84</f>
        <v>0</v>
      </c>
      <c r="H94" s="121" t="n">
        <f aca="false">H28+H36+H44+H52+H60+H68+H76+H84</f>
        <v>0</v>
      </c>
      <c r="I94" s="121" t="n">
        <f aca="false">I28+I36+I44+I52+I60+I68+I76+I84</f>
        <v>0</v>
      </c>
      <c r="J94" s="121" t="n">
        <f aca="false">J28+J36+J44+J52+J60+J68+J76+J84</f>
        <v>0</v>
      </c>
      <c r="K94" s="121" t="n">
        <f aca="false">K28+K36+K44+K52+K60+K68+K76+K84</f>
        <v>0</v>
      </c>
      <c r="L94" s="121" t="n">
        <f aca="false">L28+L36+L44+L52+L60+L68+L76+L84</f>
        <v>0</v>
      </c>
      <c r="M94" s="121" t="n">
        <f aca="false">M28+M36+M44+M52+M60+M68+M76+M84</f>
        <v>0</v>
      </c>
      <c r="N94" s="121" t="n">
        <f aca="false">N28+N36+N44+N52+N60+N68+N76+N84</f>
        <v>0</v>
      </c>
      <c r="O94" s="121" t="n">
        <f aca="false">O28+O36+O44+O52+O60+O68+O76+O84</f>
        <v>0</v>
      </c>
      <c r="P94" s="93" t="n">
        <f aca="false">P28+P36+P44+P52+P60+P68+P76+P84</f>
        <v>0</v>
      </c>
      <c r="Q94" s="93" t="n">
        <f aca="false">Q28+Q36+Q44+Q52+Q60+Q68+Q76+Q84</f>
        <v>0</v>
      </c>
      <c r="R94" s="93" t="n">
        <f aca="false">R28+R36+R44+R52+R60+R68+R76+R84</f>
        <v>0</v>
      </c>
      <c r="S94" s="93" t="n">
        <f aca="false">S28+S36+S44+S52+S60+S68+S76+S84</f>
        <v>0</v>
      </c>
      <c r="T94" s="93" t="n">
        <f aca="false">T28+T36+T44+T52+T60+T68+T76+T84</f>
        <v>0</v>
      </c>
      <c r="U94" s="93" t="n">
        <f aca="false">U28+U36+U44+U52+U60+U68+U76+U84</f>
        <v>0</v>
      </c>
      <c r="V94" s="93" t="n">
        <f aca="false">V28+V36+V44+V52+V60+V68+V76+V84</f>
        <v>0</v>
      </c>
      <c r="W94" s="93" t="n">
        <f aca="false">W28+W36+W44+W52+W60+W68+W76+W84</f>
        <v>0</v>
      </c>
      <c r="X94" s="93" t="n">
        <f aca="false">X28+X36+X44+X52+X60+X68+X76+X84</f>
        <v>0</v>
      </c>
      <c r="Y94" s="93" t="n">
        <f aca="false">Y28+Y36+Y44+Y52+Y60+Y68+Y76+Y84</f>
        <v>0</v>
      </c>
      <c r="Z94" s="93" t="n">
        <f aca="false">Z28+Z36+Z44+Z52+Z60+Z68+Z76+Z84</f>
        <v>0</v>
      </c>
      <c r="AA94" s="93" t="n">
        <f aca="false">AA28+AA36+AA44+AA52+AA60+AA68+AA76+AA84</f>
        <v>0</v>
      </c>
      <c r="AB94" s="93" t="n">
        <f aca="false">AB28+AB36+AB44+AB52+AB60+AB68+AB76+AB84</f>
        <v>0</v>
      </c>
      <c r="AC94" s="93" t="n">
        <f aca="false">AC28+AC36+AC44+AC52+AC60+AC68+AC76+AC84</f>
        <v>0</v>
      </c>
      <c r="AD94" s="93" t="n">
        <f aca="false">AD28+AD36+AD44+AD52+AD60+AD68+AD76+AD84</f>
        <v>3795</v>
      </c>
      <c r="AE94" s="93" t="n">
        <f aca="false">AE28+AE36+AE44+AE52+AE60+AE68+AE76+AE84</f>
        <v>0</v>
      </c>
      <c r="AF94" s="93" t="n">
        <f aca="false">AF28+AF36+AF44+AF52+AF60+AF68+AF76+AF84</f>
        <v>0</v>
      </c>
      <c r="AG94" s="93" t="n">
        <f aca="false">AG28+AG36+AG44+AG52+AG60+AG68+AG76+AG84</f>
        <v>0</v>
      </c>
      <c r="AI94" s="93" t="n">
        <f aca="false">SUMIF($F$7:$AG$7,AI$7,$F94:$AG94)</f>
        <v>0</v>
      </c>
      <c r="AJ94" s="93" t="n">
        <f aca="false">SUMIF($F$7:$AG$7,AJ$7,$F94:$AG94)</f>
        <v>0</v>
      </c>
      <c r="AK94" s="93" t="n">
        <f aca="false">SUMIF($F$7:$AG$7,AK$7,$F94:$AG94)</f>
        <v>0</v>
      </c>
      <c r="AL94" s="93" t="n">
        <f aca="false">SUMIF($F$7:$AG$7,AL$7,$F94:$AG94)</f>
        <v>0</v>
      </c>
      <c r="AM94" s="93" t="n">
        <f aca="false">SUMIF($F$7:$AG$7,AM$7,$F94:$AG94)</f>
        <v>0</v>
      </c>
      <c r="AN94" s="93" t="n">
        <f aca="false">SUMIF($F$7:$AG$7,AN$7,$F94:$AG94)</f>
        <v>0</v>
      </c>
      <c r="AO94" s="93" t="n">
        <f aca="false">SUMIF($F$7:$AG$7,AO$7,$F94:$AG94)</f>
        <v>3795</v>
      </c>
    </row>
    <row r="95" customFormat="false" ht="15" hidden="false" customHeight="false" outlineLevel="0" collapsed="false">
      <c r="A95" s="3" t="s">
        <v>1816</v>
      </c>
      <c r="B95" s="18" t="s">
        <v>781</v>
      </c>
      <c r="C95" s="18" t="s">
        <v>336</v>
      </c>
      <c r="D95" s="18"/>
      <c r="F95" s="132" t="n">
        <f aca="false">F29+F37+F45+F53+F61+F69+F77+F85</f>
        <v>0</v>
      </c>
      <c r="G95" s="132" t="n">
        <f aca="false">G29+G37+G45+G53+G61+G69+G77+G85</f>
        <v>0</v>
      </c>
      <c r="H95" s="132" t="n">
        <f aca="false">H29+H37+H45+H53+H61+H69+H77+H85</f>
        <v>0</v>
      </c>
      <c r="I95" s="132" t="n">
        <f aca="false">I29+I37+I45+I53+I61+I69+I77+I85</f>
        <v>0</v>
      </c>
      <c r="J95" s="132" t="n">
        <f aca="false">J29+J37+J45+J53+J61+J69+J77+J85</f>
        <v>0</v>
      </c>
      <c r="K95" s="132" t="n">
        <f aca="false">K29+K37+K45+K53+K61+K69+K77+K85</f>
        <v>0</v>
      </c>
      <c r="L95" s="132" t="n">
        <f aca="false">L29+L37+L45+L53+L61+L69+L77+L85</f>
        <v>0</v>
      </c>
      <c r="M95" s="132" t="n">
        <f aca="false">M29+M37+M45+M53+M61+M69+M77+M85</f>
        <v>0</v>
      </c>
      <c r="N95" s="132" t="n">
        <f aca="false">N29+N37+N45+N53+N61+N69+N77+N85</f>
        <v>0</v>
      </c>
      <c r="O95" s="132" t="n">
        <f aca="false">O29+O37+O45+O53+O61+O69+O77+O85</f>
        <v>0</v>
      </c>
      <c r="P95" s="55" t="n">
        <f aca="false">P29+P37+P45+P53+P61+P69+P77+P85</f>
        <v>0</v>
      </c>
      <c r="Q95" s="55" t="n">
        <f aca="false">Q29+Q37+Q45+Q53+Q61+Q69+Q77+Q85</f>
        <v>0</v>
      </c>
      <c r="R95" s="55" t="n">
        <f aca="false">R29+R37+R45+R53+R61+R69+R77+R85</f>
        <v>0</v>
      </c>
      <c r="S95" s="55" t="n">
        <f aca="false">S29+S37+S45+S53+S61+S69+S77+S85</f>
        <v>0</v>
      </c>
      <c r="T95" s="55" t="n">
        <f aca="false">T29+T37+T45+T53+T61+T69+T77+T85</f>
        <v>0</v>
      </c>
      <c r="U95" s="55" t="n">
        <f aca="false">U29+U37+U45+U53+U61+U69+U77+U85</f>
        <v>0</v>
      </c>
      <c r="V95" s="55" t="n">
        <f aca="false">V29+V37+V45+V53+V61+V69+V77+V85</f>
        <v>0</v>
      </c>
      <c r="W95" s="55" t="n">
        <f aca="false">W29+W37+W45+W53+W61+W69+W77+W85</f>
        <v>0</v>
      </c>
      <c r="X95" s="55" t="n">
        <f aca="false">X29+X37+X45+X53+X61+X69+X77+X85</f>
        <v>0</v>
      </c>
      <c r="Y95" s="55" t="n">
        <f aca="false">Y29+Y37+Y45+Y53+Y61+Y69+Y77+Y85</f>
        <v>0</v>
      </c>
      <c r="Z95" s="55" t="n">
        <f aca="false">Z29+Z37+Z45+Z53+Z61+Z69+Z77+Z85</f>
        <v>0</v>
      </c>
      <c r="AA95" s="55" t="n">
        <f aca="false">AA29+AA37+AA45+AA53+AA61+AA69+AA77+AA85</f>
        <v>1.70067625</v>
      </c>
      <c r="AB95" s="55" t="n">
        <f aca="false">AB29+AB37+AB45+AB53+AB61+AB69+AB77+AB85</f>
        <v>0</v>
      </c>
      <c r="AC95" s="55" t="n">
        <f aca="false">AC29+AC37+AC45+AC53+AC61+AC69+AC77+AC85</f>
        <v>0</v>
      </c>
      <c r="AD95" s="55" t="n">
        <f aca="false">AD29+AD37+AD45+AD53+AD61+AD69+AD77+AD85</f>
        <v>0</v>
      </c>
      <c r="AE95" s="55" t="n">
        <f aca="false">AE29+AE37+AE45+AE53+AE61+AE69+AE77+AE85</f>
        <v>0</v>
      </c>
      <c r="AF95" s="55" t="n">
        <f aca="false">AF29+AF37+AF45+AF53+AF61+AF69+AF77+AF85</f>
        <v>11.396385</v>
      </c>
      <c r="AG95" s="55" t="n">
        <f aca="false">AG29+AG37+AG45+AG53+AG61+AG69+AG77+AG85</f>
        <v>0</v>
      </c>
      <c r="AI95" s="55" t="n">
        <f aca="false">SUMIF($F$7:$AG$7,AI$7,$F95:$AG95)</f>
        <v>0</v>
      </c>
      <c r="AJ95" s="55" t="n">
        <f aca="false">SUMIF($F$7:$AG$7,AJ$7,$F95:$AG95)</f>
        <v>0</v>
      </c>
      <c r="AK95" s="55" t="n">
        <f aca="false">SUMIF($F$7:$AG$7,AK$7,$F95:$AG95)</f>
        <v>0</v>
      </c>
      <c r="AL95" s="55" t="n">
        <f aca="false">SUMIF($F$7:$AG$7,AL$7,$F95:$AG95)</f>
        <v>0</v>
      </c>
      <c r="AM95" s="55" t="n">
        <f aca="false">SUMIF($F$7:$AG$7,AM$7,$F95:$AG95)</f>
        <v>0</v>
      </c>
      <c r="AN95" s="55" t="n">
        <f aca="false">SUMIF($F$7:$AG$7,AN$7,$F95:$AG95)</f>
        <v>1.70067625</v>
      </c>
      <c r="AO95" s="55" t="n">
        <f aca="false">SUMIF($F$7:$AG$7,AO$7,$F95:$AG95)</f>
        <v>11.396385</v>
      </c>
    </row>
    <row r="96" customFormat="false" ht="15" hidden="false" customHeight="false" outlineLevel="0" collapsed="false">
      <c r="A96" s="3" t="s">
        <v>1817</v>
      </c>
      <c r="B96" s="18" t="s">
        <v>781</v>
      </c>
      <c r="C96" s="18" t="s">
        <v>336</v>
      </c>
      <c r="D96" s="18"/>
      <c r="F96" s="132" t="n">
        <f aca="false">F30+F38+F46+F54+F62+F70+F78+F86</f>
        <v>0</v>
      </c>
      <c r="G96" s="132" t="n">
        <f aca="false">G30+G38+G46+G54+G62+G70+G78+G86</f>
        <v>0</v>
      </c>
      <c r="H96" s="132" t="n">
        <f aca="false">H30+H38+H46+H54+H62+H70+H78+H86</f>
        <v>0</v>
      </c>
      <c r="I96" s="132" t="n">
        <f aca="false">I30+I38+I46+I54+I62+I70+I78+I86</f>
        <v>0</v>
      </c>
      <c r="J96" s="132" t="n">
        <f aca="false">J30+J38+J46+J54+J62+J70+J78+J86</f>
        <v>0</v>
      </c>
      <c r="K96" s="132" t="n">
        <f aca="false">K30+K38+K46+K54+K62+K70+K78+K86</f>
        <v>18.9503925</v>
      </c>
      <c r="L96" s="132" t="n">
        <f aca="false">L30+L38+L46+L54+L62+L70+L78+L86</f>
        <v>18.9503925</v>
      </c>
      <c r="M96" s="132" t="n">
        <f aca="false">M30+M38+M46+M54+M62+M70+M78+M86</f>
        <v>18.9503925</v>
      </c>
      <c r="N96" s="132" t="n">
        <f aca="false">N30+N38+N46+N54+N62+N70+N78+N86</f>
        <v>18.9503925</v>
      </c>
      <c r="O96" s="132" t="n">
        <f aca="false">O30+O38+O46+O54+O62+O70+O78+O86</f>
        <v>18.9503925</v>
      </c>
      <c r="P96" s="55" t="n">
        <f aca="false">P30+P38+P46+P54+P62+P70+P78+P86</f>
        <v>3.4013525</v>
      </c>
      <c r="Q96" s="55" t="n">
        <f aca="false">Q30+Q38+Q46+Q54+Q62+Q70+Q78+Q86</f>
        <v>3.4013525</v>
      </c>
      <c r="R96" s="55" t="n">
        <f aca="false">R30+R38+R46+R54+R62+R70+R78+R86</f>
        <v>3.4013525</v>
      </c>
      <c r="S96" s="55" t="n">
        <f aca="false">S30+S38+S46+S54+S62+S70+S78+S86</f>
        <v>3.4013525</v>
      </c>
      <c r="T96" s="55" t="n">
        <f aca="false">T30+T38+T46+T54+T62+T70+T78+T86</f>
        <v>3.4013525</v>
      </c>
      <c r="U96" s="55" t="n">
        <f aca="false">U30+U38+U46+U54+U62+U70+U78+U86</f>
        <v>3.4013525</v>
      </c>
      <c r="V96" s="55" t="n">
        <f aca="false">V30+V38+V46+V54+V62+V70+V78+V86</f>
        <v>3.4013525</v>
      </c>
      <c r="W96" s="55" t="n">
        <f aca="false">W30+W38+W46+W54+W62+W70+W78+W86</f>
        <v>3.4013525</v>
      </c>
      <c r="X96" s="55" t="n">
        <f aca="false">X30+X38+X46+X54+X62+X70+X78+X86</f>
        <v>3.4013525</v>
      </c>
      <c r="Y96" s="55" t="n">
        <f aca="false">Y30+Y38+Y46+Y54+Y62+Y70+Y78+Y86</f>
        <v>3.4013525</v>
      </c>
      <c r="Z96" s="55" t="n">
        <f aca="false">Z30+Z38+Z46+Z54+Z62+Z70+Z78+Z86</f>
        <v>3.4013525</v>
      </c>
      <c r="AA96" s="55" t="n">
        <f aca="false">AA30+AA38+AA46+AA54+AA62+AA70+AA78+AA86</f>
        <v>1.70067625</v>
      </c>
      <c r="AB96" s="55" t="n">
        <f aca="false">AB30+AB38+AB46+AB54+AB62+AB70+AB78+AB86</f>
        <v>1.70067625</v>
      </c>
      <c r="AC96" s="55" t="n">
        <f aca="false">AC30+AC38+AC46+AC54+AC62+AC70+AC78+AC86</f>
        <v>1.70067625</v>
      </c>
      <c r="AD96" s="55" t="n">
        <f aca="false">AD30+AD38+AD46+AD54+AD62+AD70+AD78+AD86</f>
        <v>1.70067625</v>
      </c>
      <c r="AE96" s="55" t="n">
        <f aca="false">AE30+AE38+AE46+AE54+AE62+AE70+AE78+AE86</f>
        <v>1.70067625</v>
      </c>
      <c r="AF96" s="55" t="n">
        <f aca="false">AF30+AF38+AF46+AF54+AF62+AF70+AF78+AF86</f>
        <v>1.70067625</v>
      </c>
      <c r="AG96" s="55" t="n">
        <f aca="false">AG30+AG38+AG46+AG54+AG62+AG70+AG78+AG86</f>
        <v>1.70067625</v>
      </c>
      <c r="AI96" s="55" t="n">
        <f aca="false">INDEX($F96:$AG96,1,MATCH(AI$7,$F$7:$AG$7,1))</f>
        <v>0</v>
      </c>
      <c r="AJ96" s="55" t="n">
        <f aca="false">INDEX($F96:$AG96,1,MATCH(AJ$7,$F$7:$AG$7,1))</f>
        <v>18.9503925</v>
      </c>
      <c r="AK96" s="55" t="n">
        <f aca="false">INDEX($F96:$AG96,1,MATCH(AK$7,$F$7:$AG$7,1))</f>
        <v>3.4013525</v>
      </c>
      <c r="AL96" s="55" t="n">
        <f aca="false">INDEX($F96:$AG96,1,MATCH(AL$7,$F$7:$AG$7,1))</f>
        <v>3.4013525</v>
      </c>
      <c r="AM96" s="55" t="n">
        <f aca="false">INDEX($F96:$AG96,1,MATCH(AM$7,$F$7:$AG$7,1))</f>
        <v>3.4013525</v>
      </c>
      <c r="AN96" s="55" t="n">
        <f aca="false">INDEX($F96:$AG96,1,MATCH(AN$7,$F$7:$AG$7,1))</f>
        <v>1.70067625</v>
      </c>
      <c r="AO96" s="55" t="n">
        <f aca="false">INDEX($F96:$AG96,1,MATCH(AO$7,$F$7:$AG$7,1))</f>
        <v>1.70067625</v>
      </c>
    </row>
    <row r="97" customFormat="false" ht="15" hidden="false" customHeight="false" outlineLevel="0" collapsed="false">
      <c r="A97" s="3" t="s">
        <v>1818</v>
      </c>
      <c r="B97" s="18" t="s">
        <v>400</v>
      </c>
      <c r="C97" s="18" t="s">
        <v>336</v>
      </c>
      <c r="D97" s="18"/>
      <c r="F97" s="121" t="n">
        <f aca="false">F31+F39+F47+F55+F63+F71+F79+F87</f>
        <v>0</v>
      </c>
      <c r="G97" s="121" t="n">
        <f aca="false">G31+G39+G47+G55+G63+G71+G79+G87</f>
        <v>0</v>
      </c>
      <c r="H97" s="121" t="n">
        <f aca="false">H31+H39+H47+H55+H63+H71+H79+H87</f>
        <v>0</v>
      </c>
      <c r="I97" s="121" t="n">
        <f aca="false">I31+I39+I47+I55+I63+I71+I79+I87</f>
        <v>0</v>
      </c>
      <c r="J97" s="121" t="n">
        <f aca="false">J31+J39+J47+J55+J63+J71+J79+J87</f>
        <v>0</v>
      </c>
      <c r="K97" s="121" t="n">
        <f aca="false">K31+K39+K47+K55+K63+K71+K79+K87</f>
        <v>0</v>
      </c>
      <c r="L97" s="121" t="n">
        <f aca="false">L31+L39+L47+L55+L63+L71+L79+L87</f>
        <v>3165.83981973062</v>
      </c>
      <c r="M97" s="121" t="n">
        <f aca="false">M31+M39+M47+M55+M63+M71+M79+M87</f>
        <v>3186.32404741178</v>
      </c>
      <c r="N97" s="121" t="n">
        <f aca="false">N31+N39+N47+N55+N63+N71+N79+N87</f>
        <v>7548.49761613922</v>
      </c>
      <c r="O97" s="121" t="n">
        <f aca="false">O31+O39+O47+O55+O63+O71+O79+O87</f>
        <v>7607.10038746948</v>
      </c>
      <c r="P97" s="93" t="n">
        <f aca="false">P31+P39+P47+P55+P63+P71+P79+P87</f>
        <v>13434.1777535968</v>
      </c>
      <c r="Q97" s="93" t="n">
        <f aca="false">Q31+Q39+Q47+Q55+Q63+Q71+Q79+Q87</f>
        <v>13537.7600780062</v>
      </c>
      <c r="R97" s="93" t="n">
        <f aca="false">R31+R39+R47+R55+R63+R71+R79+R87</f>
        <v>13639.0906127545</v>
      </c>
      <c r="S97" s="93" t="n">
        <f aca="false">S31+S39+S47+S55+S63+S71+S79+S87</f>
        <v>13741.5470423333</v>
      </c>
      <c r="T97" s="93" t="n">
        <f aca="false">T31+T39+T47+T55+T63+T71+T79+T87</f>
        <v>13845.1293667427</v>
      </c>
      <c r="U97" s="93" t="n">
        <f aca="false">U31+U39+U47+U55+U63+U71+U79+U87</f>
        <v>13948.7116911521</v>
      </c>
      <c r="V97" s="93" t="n">
        <f aca="false">V31+V39+V47+V55+V63+V71+V79+V87</f>
        <v>14051.168120731</v>
      </c>
      <c r="W97" s="93" t="n">
        <f aca="false">W31+W39+W47+W55+W63+W71+W79+W87</f>
        <v>14153.6245503098</v>
      </c>
      <c r="X97" s="93" t="n">
        <f aca="false">X31+X39+X47+X55+X63+X71+X79+X87</f>
        <v>14257.2068747192</v>
      </c>
      <c r="Y97" s="93" t="n">
        <f aca="false">Y31+Y39+Y47+Y55+Y63+Y71+Y79+Y87</f>
        <v>14360.7891991286</v>
      </c>
      <c r="Z97" s="93" t="n">
        <f aca="false">Z31+Z39+Z47+Z55+Z63+Z71+Z79+Z87</f>
        <v>14462.119733877</v>
      </c>
      <c r="AA97" s="93" t="n">
        <f aca="false">AA31+AA39+AA47+AA55+AA63+AA71+AA79+AA87</f>
        <v>14564.5761634558</v>
      </c>
      <c r="AB97" s="93" t="n">
        <f aca="false">AB31+AB39+AB47+AB55+AB63+AB71+AB79+AB87</f>
        <v>14668.1584878652</v>
      </c>
      <c r="AC97" s="93" t="n">
        <f aca="false">AC31+AC39+AC47+AC55+AC63+AC71+AC79+AC87</f>
        <v>14771.7408122746</v>
      </c>
      <c r="AD97" s="93" t="n">
        <f aca="false">AD31+AD39+AD47+AD55+AD63+AD71+AD79+AD87</f>
        <v>11066.1279953313</v>
      </c>
      <c r="AE97" s="93" t="n">
        <f aca="false">AE31+AE39+AE47+AE55+AE63+AE71+AE79+AE87</f>
        <v>11143.8834020935</v>
      </c>
      <c r="AF97" s="93" t="n">
        <f aca="false">AF31+AF39+AF47+AF55+AF63+AF71+AF79+AF87</f>
        <v>9402.10734520037</v>
      </c>
      <c r="AG97" s="93" t="n">
        <f aca="false">AG31+AG39+AG47+AG55+AG63+AG71+AG79+AG87</f>
        <v>9468.7669057771</v>
      </c>
      <c r="AI97" s="93" t="n">
        <f aca="false">INDEX($F97:$AG97,1,MATCH(AI$7,$F$7:$AG$7,1))</f>
        <v>0</v>
      </c>
      <c r="AJ97" s="93" t="n">
        <f aca="false">INDEX($F97:$AG97,1,MATCH(AJ$7,$F$7:$AG$7,1))</f>
        <v>3186.32404741178</v>
      </c>
      <c r="AK97" s="93" t="n">
        <f aca="false">INDEX($F97:$AG97,1,MATCH(AK$7,$F$7:$AG$7,1))</f>
        <v>13537.7600780062</v>
      </c>
      <c r="AL97" s="93" t="n">
        <f aca="false">INDEX($F97:$AG97,1,MATCH(AL$7,$F$7:$AG$7,1))</f>
        <v>13948.7116911521</v>
      </c>
      <c r="AM97" s="93" t="n">
        <f aca="false">INDEX($F97:$AG97,1,MATCH(AM$7,$F$7:$AG$7,1))</f>
        <v>14360.7891991286</v>
      </c>
      <c r="AN97" s="93" t="n">
        <f aca="false">INDEX($F97:$AG97,1,MATCH(AN$7,$F$7:$AG$7,1))</f>
        <v>14771.7408122746</v>
      </c>
      <c r="AO97" s="93" t="n">
        <f aca="false">INDEX($F97:$AG97,1,MATCH(AO$7,$F$7:$AG$7,1))</f>
        <v>9468.7669057771</v>
      </c>
    </row>
    <row r="99" customFormat="false" ht="15" hidden="false" customHeight="false" outlineLevel="0" collapsed="false">
      <c r="A99" s="48" t="s">
        <v>1819</v>
      </c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</row>
    <row r="100" customFormat="false" ht="15" hidden="false" customHeight="false" outlineLevel="0" collapsed="false">
      <c r="A100" s="101" t="s">
        <v>1820</v>
      </c>
      <c r="B100" s="18" t="s">
        <v>400</v>
      </c>
      <c r="C100" s="18" t="s">
        <v>389</v>
      </c>
      <c r="D100" s="18" t="s">
        <v>1821</v>
      </c>
      <c r="F100" s="119" t="n">
        <f aca="false">IF(AND(F$5&gt;=SecIdx,F$5&lt;SecMatIdx),SecAmt,0)</f>
        <v>0</v>
      </c>
      <c r="G100" s="119" t="n">
        <f aca="false">IF(AND(G$5&gt;=SecIdx,G$5&lt;SecMatIdx),SecAmt,0)</f>
        <v>0</v>
      </c>
      <c r="H100" s="119" t="n">
        <f aca="false">IF(AND(H$5&gt;=SecIdx,H$5&lt;SecMatIdx),SecAmt,0)</f>
        <v>0</v>
      </c>
      <c r="I100" s="119" t="n">
        <f aca="false">IF(AND(I$5&gt;=SecIdx,I$5&lt;SecMatIdx),SecAmt,0)</f>
        <v>0</v>
      </c>
      <c r="J100" s="119" t="n">
        <f aca="false">IF(AND(J$5&gt;=SecIdx,J$5&lt;SecMatIdx),SecAmt,0)</f>
        <v>0</v>
      </c>
      <c r="K100" s="119" t="n">
        <f aca="false">IF(AND(K$5&gt;=SecIdx,K$5&lt;SecMatIdx),SecAmt,0)</f>
        <v>0</v>
      </c>
      <c r="L100" s="119" t="n">
        <f aca="false">IF(AND(L$5&gt;=SecIdx,L$5&lt;SecMatIdx),SecAmt,0)</f>
        <v>0</v>
      </c>
      <c r="M100" s="119" t="n">
        <f aca="false">IF(AND(M$5&gt;=SecIdx,M$5&lt;SecMatIdx),SecAmt,0)</f>
        <v>0</v>
      </c>
      <c r="N100" s="119" t="n">
        <f aca="false">IF(AND(N$5&gt;=SecIdx,N$5&lt;SecMatIdx),SecAmt,0)</f>
        <v>0</v>
      </c>
      <c r="O100" s="119" t="n">
        <f aca="false">IF(AND(O$5&gt;=SecIdx,O$5&lt;SecMatIdx),SecAmt,0)</f>
        <v>0</v>
      </c>
      <c r="P100" s="120" t="n">
        <f aca="false">IF(AND(P$5&gt;=SecIdx,P$5&lt;SecMatIdx),SecAmt,0)</f>
        <v>775</v>
      </c>
      <c r="Q100" s="120" t="n">
        <f aca="false">IF(AND(Q$5&gt;=SecIdx,Q$5&lt;SecMatIdx),SecAmt,0)</f>
        <v>775</v>
      </c>
      <c r="R100" s="120" t="n">
        <f aca="false">IF(AND(R$5&gt;=SecIdx,R$5&lt;SecMatIdx),SecAmt,0)</f>
        <v>775</v>
      </c>
      <c r="S100" s="120" t="n">
        <f aca="false">IF(AND(S$5&gt;=SecIdx,S$5&lt;SecMatIdx),SecAmt,0)</f>
        <v>775</v>
      </c>
      <c r="T100" s="120" t="n">
        <f aca="false">IF(AND(T$5&gt;=SecIdx,T$5&lt;SecMatIdx),SecAmt,0)</f>
        <v>775</v>
      </c>
      <c r="U100" s="120" t="n">
        <f aca="false">IF(AND(U$5&gt;=SecIdx,U$5&lt;SecMatIdx),SecAmt,0)</f>
        <v>775</v>
      </c>
      <c r="V100" s="120" t="n">
        <f aca="false">IF(AND(V$5&gt;=SecIdx,V$5&lt;SecMatIdx),SecAmt,0)</f>
        <v>775</v>
      </c>
      <c r="W100" s="120" t="n">
        <f aca="false">IF(AND(W$5&gt;=SecIdx,W$5&lt;SecMatIdx),SecAmt,0)</f>
        <v>775</v>
      </c>
      <c r="X100" s="120" t="n">
        <f aca="false">IF(AND(X$5&gt;=SecIdx,X$5&lt;SecMatIdx),SecAmt,0)</f>
        <v>775</v>
      </c>
      <c r="Y100" s="120" t="n">
        <f aca="false">IF(AND(Y$5&gt;=SecIdx,Y$5&lt;SecMatIdx),SecAmt,0)</f>
        <v>775</v>
      </c>
      <c r="Z100" s="120" t="n">
        <f aca="false">IF(AND(Z$5&gt;=SecIdx,Z$5&lt;SecMatIdx),SecAmt,0)</f>
        <v>775</v>
      </c>
      <c r="AA100" s="120" t="n">
        <f aca="false">IF(AND(AA$5&gt;=SecIdx,AA$5&lt;SecMatIdx),SecAmt,0)</f>
        <v>775</v>
      </c>
      <c r="AB100" s="120" t="n">
        <f aca="false">IF(AND(AB$5&gt;=SecIdx,AB$5&lt;SecMatIdx),SecAmt,0)</f>
        <v>775</v>
      </c>
      <c r="AC100" s="120" t="n">
        <f aca="false">IF(AND(AC$5&gt;=SecIdx,AC$5&lt;SecMatIdx),SecAmt,0)</f>
        <v>775</v>
      </c>
      <c r="AD100" s="120" t="n">
        <f aca="false">IF(AND(AD$5&gt;=SecIdx,AD$5&lt;SecMatIdx),SecAmt,0)</f>
        <v>775</v>
      </c>
      <c r="AE100" s="120" t="n">
        <f aca="false">IF(AND(AE$5&gt;=SecIdx,AE$5&lt;SecMatIdx),SecAmt,0)</f>
        <v>775</v>
      </c>
      <c r="AF100" s="120" t="n">
        <f aca="false">IF(AND(AF$5&gt;=SecIdx,AF$5&lt;SecMatIdx),SecAmt,0)</f>
        <v>775</v>
      </c>
      <c r="AG100" s="120" t="n">
        <f aca="false">IF(AND(AG$5&gt;=SecIdx,AG$5&lt;SecMatIdx),SecAmt,0)</f>
        <v>0</v>
      </c>
      <c r="AI100" s="120" t="n">
        <f aca="false">INDEX($F100:$AG100,1,MATCH(AI$7,$F$7:$AG$7,1))</f>
        <v>0</v>
      </c>
      <c r="AJ100" s="120" t="n">
        <f aca="false">INDEX($F100:$AG100,1,MATCH(AJ$7,$F$7:$AG$7,1))</f>
        <v>0</v>
      </c>
      <c r="AK100" s="120" t="n">
        <f aca="false">INDEX($F100:$AG100,1,MATCH(AK$7,$F$7:$AG$7,1))</f>
        <v>775</v>
      </c>
      <c r="AL100" s="120" t="n">
        <f aca="false">INDEX($F100:$AG100,1,MATCH(AL$7,$F$7:$AG$7,1))</f>
        <v>775</v>
      </c>
      <c r="AM100" s="120" t="n">
        <f aca="false">INDEX($F100:$AG100,1,MATCH(AM$7,$F$7:$AG$7,1))</f>
        <v>775</v>
      </c>
      <c r="AN100" s="120" t="n">
        <f aca="false">INDEX($F100:$AG100,1,MATCH(AN$7,$F$7:$AG$7,1))</f>
        <v>775</v>
      </c>
      <c r="AO100" s="120" t="n">
        <f aca="false">INDEX($F100:$AG100,1,MATCH(AO$7,$F$7:$AG$7,1))</f>
        <v>0</v>
      </c>
    </row>
    <row r="101" customFormat="false" ht="15" hidden="false" customHeight="false" outlineLevel="0" collapsed="false">
      <c r="A101" s="101" t="s">
        <v>1822</v>
      </c>
      <c r="B101" s="18" t="s">
        <v>400</v>
      </c>
      <c r="C101" s="18" t="s">
        <v>389</v>
      </c>
      <c r="D101" s="18"/>
      <c r="F101" s="119" t="n">
        <f aca="false">F100*(SOFR+SecSpread)/4</f>
        <v>0</v>
      </c>
      <c r="G101" s="119" t="n">
        <f aca="false">G100*(SOFR+SecSpread)/4</f>
        <v>0</v>
      </c>
      <c r="H101" s="119" t="n">
        <f aca="false">H100*(SOFR+SecSpread)/4</f>
        <v>0</v>
      </c>
      <c r="I101" s="119" t="n">
        <f aca="false">I100*(SOFR+SecSpread)/4</f>
        <v>0</v>
      </c>
      <c r="J101" s="119" t="n">
        <f aca="false">J100*(SOFR+SecSpread)/4</f>
        <v>0</v>
      </c>
      <c r="K101" s="119" t="n">
        <f aca="false">K100*(SOFR+SecSpread)/4</f>
        <v>0</v>
      </c>
      <c r="L101" s="119" t="n">
        <f aca="false">L100*(SOFR+SecSpread)/4</f>
        <v>0</v>
      </c>
      <c r="M101" s="119" t="n">
        <f aca="false">M100*(SOFR+SecSpread)/4</f>
        <v>0</v>
      </c>
      <c r="N101" s="119" t="n">
        <f aca="false">N100*(SOFR+SecSpread)/4</f>
        <v>0</v>
      </c>
      <c r="O101" s="119" t="n">
        <f aca="false">O100*(SOFR+SecSpread)/4</f>
        <v>0</v>
      </c>
      <c r="P101" s="120" t="n">
        <f aca="false">P100*(SOFR+SecSpread)/4</f>
        <v>12.59375</v>
      </c>
      <c r="Q101" s="120" t="n">
        <f aca="false">Q100*(SOFR+SecSpread)/4</f>
        <v>12.59375</v>
      </c>
      <c r="R101" s="120" t="n">
        <f aca="false">R100*(SOFR+SecSpread)/4</f>
        <v>12.59375</v>
      </c>
      <c r="S101" s="120" t="n">
        <f aca="false">S100*(SOFR+SecSpread)/4</f>
        <v>12.59375</v>
      </c>
      <c r="T101" s="120" t="n">
        <f aca="false">T100*(SOFR+SecSpread)/4</f>
        <v>12.59375</v>
      </c>
      <c r="U101" s="120" t="n">
        <f aca="false">U100*(SOFR+SecSpread)/4</f>
        <v>12.59375</v>
      </c>
      <c r="V101" s="120" t="n">
        <f aca="false">V100*(SOFR+SecSpread)/4</f>
        <v>12.59375</v>
      </c>
      <c r="W101" s="120" t="n">
        <f aca="false">W100*(SOFR+SecSpread)/4</f>
        <v>12.59375</v>
      </c>
      <c r="X101" s="120" t="n">
        <f aca="false">X100*(SOFR+SecSpread)/4</f>
        <v>12.59375</v>
      </c>
      <c r="Y101" s="120" t="n">
        <f aca="false">Y100*(SOFR+SecSpread)/4</f>
        <v>12.59375</v>
      </c>
      <c r="Z101" s="120" t="n">
        <f aca="false">Z100*(SOFR+SecSpread)/4</f>
        <v>12.59375</v>
      </c>
      <c r="AA101" s="120" t="n">
        <f aca="false">AA100*(SOFR+SecSpread)/4</f>
        <v>12.59375</v>
      </c>
      <c r="AB101" s="120" t="n">
        <f aca="false">AB100*(SOFR+SecSpread)/4</f>
        <v>12.59375</v>
      </c>
      <c r="AC101" s="120" t="n">
        <f aca="false">AC100*(SOFR+SecSpread)/4</f>
        <v>12.59375</v>
      </c>
      <c r="AD101" s="120" t="n">
        <f aca="false">AD100*(SOFR+SecSpread)/4</f>
        <v>12.59375</v>
      </c>
      <c r="AE101" s="120" t="n">
        <f aca="false">AE100*(SOFR+SecSpread)/4</f>
        <v>12.59375</v>
      </c>
      <c r="AF101" s="120" t="n">
        <f aca="false">AF100*(SOFR+SecSpread)/4</f>
        <v>12.59375</v>
      </c>
      <c r="AG101" s="120" t="n">
        <f aca="false">AG100*(SOFR+SecSpread)/4</f>
        <v>0</v>
      </c>
      <c r="AI101" s="120" t="n">
        <f aca="false">SUMIF($F$7:$AG$7,AI$7,$F101:$AG101)</f>
        <v>0</v>
      </c>
      <c r="AJ101" s="120" t="n">
        <f aca="false">SUMIF($F$7:$AG$7,AJ$7,$F101:$AG101)</f>
        <v>0</v>
      </c>
      <c r="AK101" s="120" t="n">
        <f aca="false">SUMIF($F$7:$AG$7,AK$7,$F101:$AG101)</f>
        <v>25.1875</v>
      </c>
      <c r="AL101" s="120" t="n">
        <f aca="false">SUMIF($F$7:$AG$7,AL$7,$F101:$AG101)</f>
        <v>50.375</v>
      </c>
      <c r="AM101" s="120" t="n">
        <f aca="false">SUMIF($F$7:$AG$7,AM$7,$F101:$AG101)</f>
        <v>50.375</v>
      </c>
      <c r="AN101" s="120" t="n">
        <f aca="false">SUMIF($F$7:$AG$7,AN$7,$F101:$AG101)</f>
        <v>50.375</v>
      </c>
      <c r="AO101" s="120" t="n">
        <f aca="false">SUMIF($F$7:$AG$7,AO$7,$F101:$AG101)</f>
        <v>37.78125</v>
      </c>
    </row>
    <row r="102" customFormat="false" ht="15" hidden="false" customHeight="false" outlineLevel="0" collapsed="false">
      <c r="A102" s="101" t="s">
        <v>1823</v>
      </c>
      <c r="B102" s="18" t="s">
        <v>400</v>
      </c>
      <c r="C102" s="18" t="s">
        <v>389</v>
      </c>
      <c r="D102" s="18"/>
      <c r="F102" s="119" t="n">
        <f aca="false">IF(F$5=SecIdx,SecAmt,0)-IF(F$5=SecMatIdx,SecAmt,0)</f>
        <v>0</v>
      </c>
      <c r="G102" s="119" t="n">
        <f aca="false">IF(G$5=SecIdx,SecAmt,0)-IF(G$5=SecMatIdx,SecAmt,0)</f>
        <v>0</v>
      </c>
      <c r="H102" s="119" t="n">
        <f aca="false">IF(H$5=SecIdx,SecAmt,0)-IF(H$5=SecMatIdx,SecAmt,0)</f>
        <v>0</v>
      </c>
      <c r="I102" s="119" t="n">
        <f aca="false">IF(I$5=SecIdx,SecAmt,0)-IF(I$5=SecMatIdx,SecAmt,0)</f>
        <v>0</v>
      </c>
      <c r="J102" s="119" t="n">
        <f aca="false">IF(J$5=SecIdx,SecAmt,0)-IF(J$5=SecMatIdx,SecAmt,0)</f>
        <v>0</v>
      </c>
      <c r="K102" s="119" t="n">
        <f aca="false">IF(K$5=SecIdx,SecAmt,0)-IF(K$5=SecMatIdx,SecAmt,0)</f>
        <v>0</v>
      </c>
      <c r="L102" s="119" t="n">
        <f aca="false">IF(L$5=SecIdx,SecAmt,0)-IF(L$5=SecMatIdx,SecAmt,0)</f>
        <v>0</v>
      </c>
      <c r="M102" s="119" t="n">
        <f aca="false">IF(M$5=SecIdx,SecAmt,0)-IF(M$5=SecMatIdx,SecAmt,0)</f>
        <v>0</v>
      </c>
      <c r="N102" s="119" t="n">
        <f aca="false">IF(N$5=SecIdx,SecAmt,0)-IF(N$5=SecMatIdx,SecAmt,0)</f>
        <v>0</v>
      </c>
      <c r="O102" s="119" t="n">
        <f aca="false">IF(O$5=SecIdx,SecAmt,0)-IF(O$5=SecMatIdx,SecAmt,0)</f>
        <v>0</v>
      </c>
      <c r="P102" s="120" t="n">
        <f aca="false">IF(P$5=SecIdx,SecAmt,0)-IF(P$5=SecMatIdx,SecAmt,0)</f>
        <v>775</v>
      </c>
      <c r="Q102" s="120" t="n">
        <f aca="false">IF(Q$5=SecIdx,SecAmt,0)-IF(Q$5=SecMatIdx,SecAmt,0)</f>
        <v>0</v>
      </c>
      <c r="R102" s="120" t="n">
        <f aca="false">IF(R$5=SecIdx,SecAmt,0)-IF(R$5=SecMatIdx,SecAmt,0)</f>
        <v>0</v>
      </c>
      <c r="S102" s="120" t="n">
        <f aca="false">IF(S$5=SecIdx,SecAmt,0)-IF(S$5=SecMatIdx,SecAmt,0)</f>
        <v>0</v>
      </c>
      <c r="T102" s="120" t="n">
        <f aca="false">IF(T$5=SecIdx,SecAmt,0)-IF(T$5=SecMatIdx,SecAmt,0)</f>
        <v>0</v>
      </c>
      <c r="U102" s="120" t="n">
        <f aca="false">IF(U$5=SecIdx,SecAmt,0)-IF(U$5=SecMatIdx,SecAmt,0)</f>
        <v>0</v>
      </c>
      <c r="V102" s="120" t="n">
        <f aca="false">IF(V$5=SecIdx,SecAmt,0)-IF(V$5=SecMatIdx,SecAmt,0)</f>
        <v>0</v>
      </c>
      <c r="W102" s="120" t="n">
        <f aca="false">IF(W$5=SecIdx,SecAmt,0)-IF(W$5=SecMatIdx,SecAmt,0)</f>
        <v>0</v>
      </c>
      <c r="X102" s="120" t="n">
        <f aca="false">IF(X$5=SecIdx,SecAmt,0)-IF(X$5=SecMatIdx,SecAmt,0)</f>
        <v>0</v>
      </c>
      <c r="Y102" s="120" t="n">
        <f aca="false">IF(Y$5=SecIdx,SecAmt,0)-IF(Y$5=SecMatIdx,SecAmt,0)</f>
        <v>0</v>
      </c>
      <c r="Z102" s="120" t="n">
        <f aca="false">IF(Z$5=SecIdx,SecAmt,0)-IF(Z$5=SecMatIdx,SecAmt,0)</f>
        <v>0</v>
      </c>
      <c r="AA102" s="120" t="n">
        <f aca="false">IF(AA$5=SecIdx,SecAmt,0)-IF(AA$5=SecMatIdx,SecAmt,0)</f>
        <v>0</v>
      </c>
      <c r="AB102" s="120" t="n">
        <f aca="false">IF(AB$5=SecIdx,SecAmt,0)-IF(AB$5=SecMatIdx,SecAmt,0)</f>
        <v>0</v>
      </c>
      <c r="AC102" s="120" t="n">
        <f aca="false">IF(AC$5=SecIdx,SecAmt,0)-IF(AC$5=SecMatIdx,SecAmt,0)</f>
        <v>0</v>
      </c>
      <c r="AD102" s="120" t="n">
        <f aca="false">IF(AD$5=SecIdx,SecAmt,0)-IF(AD$5=SecMatIdx,SecAmt,0)</f>
        <v>0</v>
      </c>
      <c r="AE102" s="120" t="n">
        <f aca="false">IF(AE$5=SecIdx,SecAmt,0)-IF(AE$5=SecMatIdx,SecAmt,0)</f>
        <v>0</v>
      </c>
      <c r="AF102" s="120" t="n">
        <f aca="false">IF(AF$5=SecIdx,SecAmt,0)-IF(AF$5=SecMatIdx,SecAmt,0)</f>
        <v>0</v>
      </c>
      <c r="AG102" s="120" t="n">
        <f aca="false">IF(AG$5=SecIdx,SecAmt,0)-IF(AG$5=SecMatIdx,SecAmt,0)</f>
        <v>-775</v>
      </c>
      <c r="AI102" s="120" t="n">
        <f aca="false">SUMIF($F$7:$AG$7,AI$7,$F102:$AG102)</f>
        <v>0</v>
      </c>
      <c r="AJ102" s="120" t="n">
        <f aca="false">SUMIF($F$7:$AG$7,AJ$7,$F102:$AG102)</f>
        <v>0</v>
      </c>
      <c r="AK102" s="120" t="n">
        <f aca="false">SUMIF($F$7:$AG$7,AK$7,$F102:$AG102)</f>
        <v>775</v>
      </c>
      <c r="AL102" s="120" t="n">
        <f aca="false">SUMIF($F$7:$AG$7,AL$7,$F102:$AG102)</f>
        <v>0</v>
      </c>
      <c r="AM102" s="120" t="n">
        <f aca="false">SUMIF($F$7:$AG$7,AM$7,$F102:$AG102)</f>
        <v>0</v>
      </c>
      <c r="AN102" s="120" t="n">
        <f aca="false">SUMIF($F$7:$AG$7,AN$7,$F102:$AG102)</f>
        <v>0</v>
      </c>
      <c r="AO102" s="120" t="n">
        <f aca="false">SUMIF($F$7:$AG$7,AO$7,$F102:$AG102)</f>
        <v>-775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1824</v>
      </c>
    </row>
    <row r="2" customFormat="false" ht="15" hidden="false" customHeight="false" outlineLevel="0" collapsed="false">
      <c r="A2" s="18" t="s">
        <v>1825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1512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3" t="s">
        <v>937</v>
      </c>
      <c r="B11" s="18" t="s">
        <v>400</v>
      </c>
      <c r="C11" s="18" t="s">
        <v>1512</v>
      </c>
      <c r="D11" s="18"/>
      <c r="F11" s="121" t="n">
        <f aca="false">INDEX(Rev,1,1)</f>
        <v>11.4</v>
      </c>
      <c r="G11" s="121" t="n">
        <f aca="false">INDEX(Rev,1,2)</f>
        <v>14.5</v>
      </c>
      <c r="H11" s="121" t="n">
        <f aca="false">INDEX(Rev,1,3)</f>
        <v>32.1</v>
      </c>
      <c r="I11" s="121" t="n">
        <f aca="false">INDEX(Rev,1,4)</f>
        <v>35.2</v>
      </c>
      <c r="J11" s="121" t="n">
        <f aca="false">INDEX(Rev,1,5)</f>
        <v>50.9</v>
      </c>
      <c r="K11" s="121" t="n">
        <f aca="false">INDEX(Rev,1,6)</f>
        <v>105.1</v>
      </c>
      <c r="L11" s="121" t="n">
        <f aca="false">INDEX(Rev,1,7)</f>
        <v>146.1</v>
      </c>
      <c r="M11" s="121" t="n">
        <f aca="false">INDEX(Rev,1,8)</f>
        <v>227.7</v>
      </c>
      <c r="N11" s="121" t="n">
        <f aca="false">INDEX(Rev,1,9)</f>
        <v>399</v>
      </c>
      <c r="O11" s="121" t="n">
        <f aca="false">INDEX(Rev,1,10)</f>
        <v>582.3</v>
      </c>
      <c r="P11" s="93" t="n">
        <f aca="false">INDEX(Rev,1,11)</f>
        <v>653.683373262198</v>
      </c>
      <c r="Q11" s="93" t="n">
        <f aca="false">INDEX(Rev,1,12)</f>
        <v>788.424963351483</v>
      </c>
      <c r="R11" s="93" t="n">
        <f aca="false">INDEX(Rev,1,13)</f>
        <v>1031.83024768907</v>
      </c>
      <c r="S11" s="93" t="n">
        <f aca="false">INDEX(Rev,1,14)</f>
        <v>1508.87624655264</v>
      </c>
      <c r="T11" s="93" t="n">
        <f aca="false">INDEX(Rev,1,15)</f>
        <v>2078.1607406996</v>
      </c>
      <c r="U11" s="93" t="n">
        <f aca="false">INDEX(Rev,1,16)</f>
        <v>2701.42587678244</v>
      </c>
      <c r="V11" s="93" t="n">
        <f aca="false">INDEX(Rev,1,17)</f>
        <v>3686.26402943843</v>
      </c>
      <c r="W11" s="93" t="n">
        <f aca="false">INDEX(Rev,1,18)</f>
        <v>4567.14386798854</v>
      </c>
      <c r="X11" s="93" t="n">
        <f aca="false">INDEX(Rev,1,19)</f>
        <v>5180.12609812901</v>
      </c>
      <c r="Y11" s="93" t="n">
        <f aca="false">INDEX(Rev,1,20)</f>
        <v>5591.35031453751</v>
      </c>
      <c r="Z11" s="93" t="n">
        <f aca="false">INDEX(Rev,1,21)</f>
        <v>6383.63374313405</v>
      </c>
      <c r="AA11" s="93" t="n">
        <f aca="false">INDEX(Rev,1,22)</f>
        <v>7171.57855181238</v>
      </c>
      <c r="AB11" s="93" t="n">
        <f aca="false">INDEX(Rev,1,23)</f>
        <v>7930.67100095311</v>
      </c>
      <c r="AC11" s="93" t="n">
        <f aca="false">INDEX(Rev,1,24)</f>
        <v>8712.65886052564</v>
      </c>
      <c r="AD11" s="93" t="n">
        <f aca="false">INDEX(Rev,1,25)</f>
        <v>9733.40868432675</v>
      </c>
      <c r="AE11" s="93" t="n">
        <f aca="false">INDEX(Rev,1,26)</f>
        <v>10795.5196240049</v>
      </c>
      <c r="AF11" s="93" t="n">
        <f aca="false">INDEX(Rev,1,27)</f>
        <v>10732.6246903001</v>
      </c>
      <c r="AG11" s="93" t="n">
        <f aca="false">INDEX(Rev,1,28)</f>
        <v>10847.6329026338</v>
      </c>
      <c r="AI11" s="93" t="n">
        <f aca="false">SUMIF($F$7:$AG$7,AI$7,$F11:$AG11)</f>
        <v>93.2</v>
      </c>
      <c r="AJ11" s="93" t="n">
        <f aca="false">SUMIF($F$7:$AG$7,AJ$7,$F11:$AG11)</f>
        <v>529.8</v>
      </c>
      <c r="AK11" s="93" t="n">
        <f aca="false">SUMIF($F$7:$AG$7,AK$7,$F11:$AG11)</f>
        <v>2423.40833661368</v>
      </c>
      <c r="AL11" s="93" t="n">
        <f aca="false">SUMIF($F$7:$AG$7,AL$7,$F11:$AG11)</f>
        <v>7320.29311172376</v>
      </c>
      <c r="AM11" s="93" t="n">
        <f aca="false">SUMIF($F$7:$AG$7,AM$7,$F11:$AG11)</f>
        <v>19024.8843100935</v>
      </c>
      <c r="AN11" s="93" t="n">
        <f aca="false">SUMIF($F$7:$AG$7,AN$7,$F11:$AG11)</f>
        <v>30198.5421564252</v>
      </c>
      <c r="AO11" s="93" t="n">
        <f aca="false">SUMIF($F$7:$AG$7,AO$7,$F11:$AG11)</f>
        <v>42109.1859012656</v>
      </c>
    </row>
    <row r="12" customFormat="false" ht="15" hidden="false" customHeight="false" outlineLevel="0" collapsed="false">
      <c r="A12" s="101" t="s">
        <v>1826</v>
      </c>
      <c r="B12" s="18" t="s">
        <v>400</v>
      </c>
      <c r="C12" s="18" t="s">
        <v>1512</v>
      </c>
      <c r="D12" s="18"/>
      <c r="F12" s="119" t="n">
        <f aca="false">INDEX(AIRev,1,1)</f>
        <v>10.3</v>
      </c>
      <c r="G12" s="119" t="n">
        <f aca="false">INDEX(AIRev,1,2)</f>
        <v>13.1</v>
      </c>
      <c r="H12" s="119" t="n">
        <f aca="false">INDEX(AIRev,1,3)</f>
        <v>28.9</v>
      </c>
      <c r="I12" s="119" t="n">
        <f aca="false">INDEX(AIRev,1,4)</f>
        <v>31.7</v>
      </c>
      <c r="J12" s="119" t="n">
        <f aca="false">INDEX(AIRev,1,5)</f>
        <v>41.4</v>
      </c>
      <c r="K12" s="119" t="n">
        <f aca="false">INDEX(AIRev,1,6)</f>
        <v>93.6</v>
      </c>
      <c r="L12" s="119" t="n">
        <f aca="false">INDEX(AIRev,1,7)</f>
        <v>138.8</v>
      </c>
      <c r="M12" s="119" t="n">
        <f aca="false">INDEX(AIRev,1,8)</f>
        <v>214.2</v>
      </c>
      <c r="N12" s="119" t="n">
        <f aca="false">INDEX(AIRev,1,9)</f>
        <v>389.7</v>
      </c>
      <c r="O12" s="119" t="n">
        <f aca="false">INDEX(AIRev,1,10)</f>
        <v>574.9</v>
      </c>
      <c r="P12" s="120" t="n">
        <f aca="false">INDEX(AIRev,1,11)</f>
        <v>646.135373262198</v>
      </c>
      <c r="Q12" s="120" t="n">
        <f aca="false">INDEX(AIRev,1,12)</f>
        <v>780.726003351483</v>
      </c>
      <c r="R12" s="120" t="n">
        <f aca="false">INDEX(AIRev,1,13)</f>
        <v>1023.97730848907</v>
      </c>
      <c r="S12" s="120" t="n">
        <f aca="false">INDEX(AIRev,1,14)</f>
        <v>1500.86624856864</v>
      </c>
      <c r="T12" s="120" t="n">
        <f aca="false">INDEX(AIRev,1,15)</f>
        <v>2069.99054275592</v>
      </c>
      <c r="U12" s="120" t="n">
        <f aca="false">INDEX(AIRev,1,16)</f>
        <v>2693.09227487989</v>
      </c>
      <c r="V12" s="120" t="n">
        <f aca="false">INDEX(AIRev,1,17)</f>
        <v>3677.76375549782</v>
      </c>
      <c r="W12" s="120" t="n">
        <f aca="false">INDEX(AIRev,1,18)</f>
        <v>4558.47358856912</v>
      </c>
      <c r="X12" s="120" t="n">
        <f aca="false">INDEX(AIRev,1,19)</f>
        <v>5171.28241312121</v>
      </c>
      <c r="Y12" s="120" t="n">
        <f aca="false">INDEX(AIRev,1,20)</f>
        <v>5582.32975582955</v>
      </c>
      <c r="Z12" s="120" t="n">
        <f aca="false">INDEX(AIRev,1,21)</f>
        <v>6374.43277325193</v>
      </c>
      <c r="AA12" s="120" t="n">
        <f aca="false">INDEX(AIRev,1,22)</f>
        <v>7162.19356253261</v>
      </c>
      <c r="AB12" s="120" t="n">
        <f aca="false">INDEX(AIRev,1,23)</f>
        <v>7921.09831188775</v>
      </c>
      <c r="AC12" s="120" t="n">
        <f aca="false">INDEX(AIRev,1,24)</f>
        <v>8702.89471767898</v>
      </c>
      <c r="AD12" s="120" t="n">
        <f aca="false">INDEX(AIRev,1,25)</f>
        <v>9723.44925862315</v>
      </c>
      <c r="AE12" s="120" t="n">
        <f aca="false">INDEX(AIRev,1,26)</f>
        <v>10785.3610097873</v>
      </c>
      <c r="AF12" s="120" t="n">
        <f aca="false">INDEX(AIRev,1,27)</f>
        <v>10722.2629037981</v>
      </c>
      <c r="AG12" s="120" t="n">
        <f aca="false">INDEX(AIRev,1,28)</f>
        <v>10837.0638804018</v>
      </c>
      <c r="AI12" s="120" t="n">
        <f aca="false">SUMIF($F$7:$AG$7,AI$7,$F12:$AG12)</f>
        <v>84</v>
      </c>
      <c r="AJ12" s="120" t="n">
        <f aca="false">SUMIF($F$7:$AG$7,AJ$7,$F12:$AG12)</f>
        <v>488</v>
      </c>
      <c r="AK12" s="120" t="n">
        <f aca="false">SUMIF($F$7:$AG$7,AK$7,$F12:$AG12)</f>
        <v>2391.46137661368</v>
      </c>
      <c r="AL12" s="120" t="n">
        <f aca="false">SUMIF($F$7:$AG$7,AL$7,$F12:$AG12)</f>
        <v>7287.92637469352</v>
      </c>
      <c r="AM12" s="120" t="n">
        <f aca="false">SUMIF($F$7:$AG$7,AM$7,$F12:$AG12)</f>
        <v>18989.8495130177</v>
      </c>
      <c r="AN12" s="120" t="n">
        <f aca="false">SUMIF($F$7:$AG$7,AN$7,$F12:$AG12)</f>
        <v>30160.6193653513</v>
      </c>
      <c r="AO12" s="120" t="n">
        <f aca="false">SUMIF($F$7:$AG$7,AO$7,$F12:$AG12)</f>
        <v>42068.1370526102</v>
      </c>
    </row>
    <row r="13" customFormat="false" ht="15" hidden="false" customHeight="false" outlineLevel="0" collapsed="false">
      <c r="A13" s="101" t="s">
        <v>1827</v>
      </c>
      <c r="B13" s="18" t="s">
        <v>388</v>
      </c>
      <c r="C13" s="18"/>
      <c r="D13" s="18"/>
      <c r="J13" s="113" t="n">
        <f aca="false">IF(F11&gt;0,J11/F11-1,"")</f>
        <v>3.46491228070175</v>
      </c>
      <c r="K13" s="113" t="n">
        <f aca="false">IF(G11&gt;0,K11/G11-1,"")</f>
        <v>6.24827586206897</v>
      </c>
      <c r="L13" s="113" t="n">
        <f aca="false">IF(H11&gt;0,L11/H11-1,"")</f>
        <v>3.55140186915888</v>
      </c>
      <c r="M13" s="113" t="n">
        <f aca="false">IF(I11&gt;0,M11/I11-1,"")</f>
        <v>5.46875</v>
      </c>
      <c r="N13" s="113" t="n">
        <f aca="false">IF(J11&gt;0,N11/J11-1,"")</f>
        <v>6.83889980353635</v>
      </c>
      <c r="O13" s="113" t="n">
        <f aca="false">IF(K11&gt;0,O11/K11-1,"")</f>
        <v>4.54043767840152</v>
      </c>
      <c r="P13" s="31" t="n">
        <f aca="false">IF(L11&gt;0,P11/L11-1,"")</f>
        <v>3.47421884505269</v>
      </c>
      <c r="Q13" s="31" t="n">
        <f aca="false">IF(M11&gt;0,Q11/M11-1,"")</f>
        <v>2.46256022552254</v>
      </c>
      <c r="R13" s="31" t="n">
        <f aca="false">IF(N11&gt;0,R11/N11-1,"")</f>
        <v>1.58604072102523</v>
      </c>
      <c r="S13" s="31" t="n">
        <f aca="false">IF(O11&gt;0,S11/O11-1,"")</f>
        <v>1.59123518212716</v>
      </c>
      <c r="T13" s="31" t="n">
        <f aca="false">IF(P11&gt;0,T11/P11-1,"")</f>
        <v>2.17915496355455</v>
      </c>
      <c r="U13" s="31" t="n">
        <f aca="false">IF(Q11&gt;0,U11/Q11-1,"")</f>
        <v>2.4263576146791</v>
      </c>
      <c r="V13" s="31" t="n">
        <f aca="false">IF(R11&gt;0,V11/R11-1,"")</f>
        <v>2.57254891266693</v>
      </c>
      <c r="W13" s="31" t="n">
        <f aca="false">IF(S11&gt;0,W11/S11-1,"")</f>
        <v>2.02685119367686</v>
      </c>
      <c r="X13" s="31" t="n">
        <f aca="false">IF(T11&gt;0,X11/T11-1,"")</f>
        <v>1.49264938783568</v>
      </c>
      <c r="Y13" s="31" t="n">
        <f aca="false">IF(U11&gt;0,Y11/U11-1,"")</f>
        <v>1.06977743220448</v>
      </c>
      <c r="Z13" s="31" t="n">
        <f aca="false">IF(V11&gt;0,Z11/V11-1,"")</f>
        <v>0.731735353776747</v>
      </c>
      <c r="AA13" s="31" t="n">
        <f aca="false">IF(W11&gt;0,AA11/W11-1,"")</f>
        <v>0.57025457465409</v>
      </c>
      <c r="AB13" s="31" t="n">
        <f aca="false">IF(X11&gt;0,AB11/X11-1,"")</f>
        <v>0.530980298687624</v>
      </c>
      <c r="AC13" s="31" t="n">
        <f aca="false">IF(Y11&gt;0,AC11/Y11-1,"")</f>
        <v>0.558238774249708</v>
      </c>
      <c r="AD13" s="31" t="n">
        <f aca="false">IF(Z11&gt;0,AD11/Z11-1,"")</f>
        <v>0.524744224994983</v>
      </c>
      <c r="AE13" s="31" t="n">
        <f aca="false">IF(AA11&gt;0,AE11/AA11-1,"")</f>
        <v>0.505319860336289</v>
      </c>
      <c r="AF13" s="31" t="n">
        <f aca="false">IF(AB11&gt;0,AF11/AB11-1,"")</f>
        <v>0.353306005129988</v>
      </c>
      <c r="AG13" s="31" t="n">
        <f aca="false">IF(AC11&gt;0,AG11/AC11-1,"")</f>
        <v>0.245042767803189</v>
      </c>
      <c r="AJ13" s="31" t="n">
        <f aca="false">IF(AI11&gt;0,AJ11/AI11-1,"")</f>
        <v>4.68454935622318</v>
      </c>
      <c r="AK13" s="31" t="n">
        <f aca="false">IF(AJ11&gt;0,AK11/AJ11-1,"")</f>
        <v>3.574194670845</v>
      </c>
      <c r="AL13" s="31" t="n">
        <f aca="false">IF(AK11&gt;0,AL11/AK11-1,"")</f>
        <v>2.02066020039886</v>
      </c>
      <c r="AM13" s="31" t="n">
        <f aca="false">IF(AL11&gt;0,AM11/AL11-1,"")</f>
        <v>1.59892384358549</v>
      </c>
      <c r="AN13" s="31" t="n">
        <f aca="false">IF(AM11&gt;0,AN11/AM11-1,"")</f>
        <v>0.587318044315445</v>
      </c>
      <c r="AO13" s="31" t="n">
        <f aca="false">IF(AN11&gt;0,AO11/AN11-1,"")</f>
        <v>0.394411216380731</v>
      </c>
    </row>
    <row r="15" customFormat="false" ht="15" hidden="false" customHeight="false" outlineLevel="0" collapsed="false">
      <c r="A15" s="48" t="s">
        <v>1828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</row>
    <row r="16" customFormat="false" ht="15" hidden="false" customHeight="false" outlineLevel="0" collapsed="false">
      <c r="A16" s="101" t="s">
        <v>1829</v>
      </c>
      <c r="B16" s="18" t="s">
        <v>400</v>
      </c>
      <c r="C16" s="18" t="s">
        <v>354</v>
      </c>
      <c r="D16" s="18" t="s">
        <v>1830</v>
      </c>
      <c r="F16" s="119" t="n">
        <f aca="false">IF(FixMgmt=1,MIN(INDEX(MS_BillMW,1,1),INDEX(VinEnIT,1,MAX(1,1-IF(1&gt;LastHist,EnLag,0)))),INDEX(MS_BillMW,1,1))*IF(F$5&lt;=LastHist,PUE_B,PUE)*VinPower/4</f>
        <v>0</v>
      </c>
      <c r="G16" s="119" t="n">
        <f aca="false">IF(FixMgmt=1,MIN(INDEX(MS_BillMW,1,2),INDEX(VinEnIT,1,MAX(1,2-IF(2&gt;LastHist,EnLag,0)))),INDEX(MS_BillMW,1,2))*IF(G$5&lt;=LastHist,PUE_B,PUE)*VinPower/4</f>
        <v>0</v>
      </c>
      <c r="H16" s="119" t="n">
        <f aca="false">IF(FixMgmt=1,MIN(INDEX(MS_BillMW,1,3),INDEX(VinEnIT,1,MAX(1,3-IF(3&gt;LastHist,EnLag,0)))),INDEX(MS_BillMW,1,3))*IF(H$5&lt;=LastHist,PUE_B,PUE)*VinPower/4</f>
        <v>0</v>
      </c>
      <c r="I16" s="119" t="n">
        <f aca="false">IF(FixMgmt=1,MIN(INDEX(MS_BillMW,1,4),INDEX(VinEnIT,1,MAX(1,4-IF(4&gt;LastHist,EnLag,0)))),INDEX(MS_BillMW,1,4))*IF(I$5&lt;=LastHist,PUE_B,PUE)*VinPower/4</f>
        <v>0</v>
      </c>
      <c r="J16" s="119" t="n">
        <f aca="false">IF(FixMgmt=1,MIN(INDEX(MS_BillMW,1,5),INDEX(VinEnIT,1,MAX(1,5-IF(5&gt;LastHist,EnLag,0)))),INDEX(MS_BillMW,1,5))*IF(J$5&lt;=LastHist,PUE_B,PUE)*VinPower/4</f>
        <v>0</v>
      </c>
      <c r="K16" s="119" t="n">
        <f aca="false">IF(FixMgmt=1,MIN(INDEX(MS_BillMW,1,6),INDEX(VinEnIT,1,MAX(1,6-IF(6&gt;LastHist,EnLag,0)))),INDEX(MS_BillMW,1,6))*IF(K$5&lt;=LastHist,PUE_B,PUE)*VinPower/4</f>
        <v>0</v>
      </c>
      <c r="L16" s="119" t="n">
        <f aca="false">IF(FixMgmt=1,MIN(INDEX(MS_BillMW,1,7),INDEX(VinEnIT,1,MAX(1,7-IF(7&gt;LastHist,EnLag,0)))),INDEX(MS_BillMW,1,7))*IF(L$5&lt;=LastHist,PUE_B,PUE)*VinPower/4</f>
        <v>0</v>
      </c>
      <c r="M16" s="119" t="n">
        <f aca="false">IF(FixMgmt=1,MIN(INDEX(MS_BillMW,1,8),INDEX(VinEnIT,1,MAX(1,8-IF(8&gt;LastHist,EnLag,0)))),INDEX(MS_BillMW,1,8))*IF(M$5&lt;=LastHist,PUE_B,PUE)*VinPower/4</f>
        <v>9.00625</v>
      </c>
      <c r="N16" s="119" t="n">
        <f aca="false">IF(FixMgmt=1,MIN(INDEX(MS_BillMW,1,9),INDEX(VinEnIT,1,MAX(1,9-IF(9&gt;LastHist,EnLag,0)))),INDEX(MS_BillMW,1,9))*IF(N$5&lt;=LastHist,PUE_B,PUE)*VinPower/4</f>
        <v>12.890625</v>
      </c>
      <c r="O16" s="119" t="n">
        <f aca="false">IF(FixMgmt=1,MIN(INDEX(MS_BillMW,1,10),INDEX(VinEnIT,1,MAX(1,10-IF(10&gt;LastHist,EnLag,0)))),INDEX(MS_BillMW,1,10))*IF(O$5&lt;=LastHist,PUE_B,PUE)*VinPower/4</f>
        <v>13.40625</v>
      </c>
      <c r="P16" s="120" t="n">
        <f aca="false">IF(FixMgmt=1,MIN(INDEX(MS_BillMW,1,11),INDEX(VinEnIT,1,MAX(1,11-IF(11&gt;LastHist,EnLag,0)))),INDEX(MS_BillMW,1,11))*IF(P$5&lt;=LastHist,PUE_B,PUE)*VinPower/4</f>
        <v>13.40625</v>
      </c>
      <c r="Q16" s="120" t="n">
        <f aca="false">IF(FixMgmt=1,MIN(INDEX(MS_BillMW,1,12),INDEX(VinEnIT,1,MAX(1,12-IF(12&gt;LastHist,EnLag,0)))),INDEX(MS_BillMW,1,12))*IF(Q$5&lt;=LastHist,PUE_B,PUE)*VinPower/4</f>
        <v>22.6875</v>
      </c>
      <c r="R16" s="120" t="n">
        <f aca="false">IF(FixMgmt=1,MIN(INDEX(MS_BillMW,1,13),INDEX(VinEnIT,1,MAX(1,13-IF(13&gt;LastHist,EnLag,0)))),INDEX(MS_BillMW,1,13))*IF(R$5&lt;=LastHist,PUE_B,PUE)*VinPower/4</f>
        <v>28.11875</v>
      </c>
      <c r="S16" s="120" t="n">
        <f aca="false">IF(FixMgmt=1,MIN(INDEX(MS_BillMW,1,14),INDEX(VinEnIT,1,MAX(1,14-IF(14&gt;LastHist,EnLag,0)))),INDEX(MS_BillMW,1,14))*IF(S$5&lt;=LastHist,PUE_B,PUE)*VinPower/4</f>
        <v>40.734375</v>
      </c>
      <c r="T16" s="120" t="n">
        <f aca="false">IF(FixMgmt=1,MIN(INDEX(MS_BillMW,1,15),INDEX(VinEnIT,1,MAX(1,15-IF(15&gt;LastHist,EnLag,0)))),INDEX(MS_BillMW,1,15))*IF(T$5&lt;=LastHist,PUE_B,PUE)*VinPower/4</f>
        <v>57.921875</v>
      </c>
      <c r="U16" s="120" t="n">
        <f aca="false">IF(FixMgmt=1,MIN(INDEX(MS_BillMW,1,16),INDEX(VinEnIT,1,MAX(1,16-IF(16&gt;LastHist,EnLag,0)))),INDEX(MS_BillMW,1,16))*IF(U$5&lt;=LastHist,PUE_B,PUE)*VinPower/4</f>
        <v>70.46875</v>
      </c>
      <c r="V16" s="120" t="n">
        <f aca="false">IF(FixMgmt=1,MIN(INDEX(MS_BillMW,1,17),INDEX(VinEnIT,1,MAX(1,17-IF(17&gt;LastHist,EnLag,0)))),INDEX(MS_BillMW,1,17))*IF(V$5&lt;=LastHist,PUE_B,PUE)*VinPower/4</f>
        <v>82.5</v>
      </c>
      <c r="W16" s="120" t="n">
        <f aca="false">IF(FixMgmt=1,MIN(INDEX(MS_BillMW,1,18),INDEX(VinEnIT,1,MAX(1,18-IF(18&gt;LastHist,EnLag,0)))),INDEX(MS_BillMW,1,18))*IF(W$5&lt;=LastHist,PUE_B,PUE)*VinPower/4</f>
        <v>82.5</v>
      </c>
      <c r="X16" s="120" t="n">
        <f aca="false">IF(FixMgmt=1,MIN(INDEX(MS_BillMW,1,19),INDEX(VinEnIT,1,MAX(1,19-IF(19&gt;LastHist,EnLag,0)))),INDEX(MS_BillMW,1,19))*IF(X$5&lt;=LastHist,PUE_B,PUE)*VinPower/4</f>
        <v>82.5</v>
      </c>
      <c r="Y16" s="120" t="n">
        <f aca="false">IF(FixMgmt=1,MIN(INDEX(MS_BillMW,1,20),INDEX(VinEnIT,1,MAX(1,20-IF(20&gt;LastHist,EnLag,0)))),INDEX(MS_BillMW,1,20))*IF(Y$5&lt;=LastHist,PUE_B,PUE)*VinPower/4</f>
        <v>82.5</v>
      </c>
      <c r="Z16" s="120" t="n">
        <f aca="false">IF(FixMgmt=1,MIN(INDEX(MS_BillMW,1,21),INDEX(VinEnIT,1,MAX(1,21-IF(21&gt;LastHist,EnLag,0)))),INDEX(MS_BillMW,1,21))*IF(Z$5&lt;=LastHist,PUE_B,PUE)*VinPower/4</f>
        <v>82.5</v>
      </c>
      <c r="AA16" s="120" t="n">
        <f aca="false">IF(FixMgmt=1,MIN(INDEX(MS_BillMW,1,22),INDEX(VinEnIT,1,MAX(1,22-IF(22&gt;LastHist,EnLag,0)))),INDEX(MS_BillMW,1,22))*IF(AA$5&lt;=LastHist,PUE_B,PUE)*VinPower/4</f>
        <v>82.5</v>
      </c>
      <c r="AB16" s="120" t="n">
        <f aca="false">IF(FixMgmt=1,MIN(INDEX(MS_BillMW,1,23),INDEX(VinEnIT,1,MAX(1,23-IF(23&gt;LastHist,EnLag,0)))),INDEX(MS_BillMW,1,23))*IF(AB$5&lt;=LastHist,PUE_B,PUE)*VinPower/4</f>
        <v>82.5</v>
      </c>
      <c r="AC16" s="120" t="n">
        <f aca="false">IF(FixMgmt=1,MIN(INDEX(MS_BillMW,1,24),INDEX(VinEnIT,1,MAX(1,24-IF(24&gt;LastHist,EnLag,0)))),INDEX(MS_BillMW,1,24))*IF(AC$5&lt;=LastHist,PUE_B,PUE)*VinPower/4</f>
        <v>82.5</v>
      </c>
      <c r="AD16" s="120" t="n">
        <f aca="false">IF(FixMgmt=1,MIN(INDEX(MS_BillMW,1,25),INDEX(VinEnIT,1,MAX(1,25-IF(25&gt;LastHist,EnLag,0)))),INDEX(MS_BillMW,1,25))*IF(AD$5&lt;=LastHist,PUE_B,PUE)*VinPower/4</f>
        <v>82.5</v>
      </c>
      <c r="AE16" s="120" t="n">
        <f aca="false">IF(FixMgmt=1,MIN(INDEX(MS_BillMW,1,26),INDEX(VinEnIT,1,MAX(1,26-IF(26&gt;LastHist,EnLag,0)))),INDEX(MS_BillMW,1,26))*IF(AE$5&lt;=LastHist,PUE_B,PUE)*VinPower/4</f>
        <v>82.5</v>
      </c>
      <c r="AF16" s="120" t="n">
        <f aca="false">IF(FixMgmt=1,MIN(INDEX(MS_BillMW,1,27),INDEX(VinEnIT,1,MAX(1,27-IF(27&gt;LastHist,EnLag,0)))),INDEX(MS_BillMW,1,27))*IF(AF$5&lt;=LastHist,PUE_B,PUE)*VinPower/4</f>
        <v>82.5</v>
      </c>
      <c r="AG16" s="120" t="n">
        <f aca="false">IF(FixMgmt=1,MIN(INDEX(MS_BillMW,1,28),INDEX(VinEnIT,1,MAX(1,28-IF(28&gt;LastHist,EnLag,0)))),INDEX(MS_BillMW,1,28))*IF(AG$5&lt;=LastHist,PUE_B,PUE)*VinPower/4</f>
        <v>73.3333333333333</v>
      </c>
      <c r="AI16" s="120" t="n">
        <f aca="false">SUMIF($F$7:$AG$7,AI$7,$F16:$AG16)</f>
        <v>0</v>
      </c>
      <c r="AJ16" s="120" t="n">
        <f aca="false">SUMIF($F$7:$AG$7,AJ$7,$F16:$AG16)</f>
        <v>9.00625</v>
      </c>
      <c r="AK16" s="120" t="n">
        <f aca="false">SUMIF($F$7:$AG$7,AK$7,$F16:$AG16)</f>
        <v>62.390625</v>
      </c>
      <c r="AL16" s="120" t="n">
        <f aca="false">SUMIF($F$7:$AG$7,AL$7,$F16:$AG16)</f>
        <v>197.24375</v>
      </c>
      <c r="AM16" s="120" t="n">
        <f aca="false">SUMIF($F$7:$AG$7,AM$7,$F16:$AG16)</f>
        <v>330</v>
      </c>
      <c r="AN16" s="120" t="n">
        <f aca="false">SUMIF($F$7:$AG$7,AN$7,$F16:$AG16)</f>
        <v>330</v>
      </c>
      <c r="AO16" s="120" t="n">
        <f aca="false">SUMIF($F$7:$AG$7,AO$7,$F16:$AG16)</f>
        <v>320.833333333333</v>
      </c>
    </row>
    <row r="17" customFormat="false" ht="15" hidden="false" customHeight="false" outlineLevel="0" collapsed="false">
      <c r="A17" s="101" t="s">
        <v>1831</v>
      </c>
      <c r="B17" s="18" t="s">
        <v>400</v>
      </c>
      <c r="C17" s="18" t="s">
        <v>354</v>
      </c>
      <c r="D17" s="18" t="s">
        <v>1832</v>
      </c>
      <c r="F17" s="119" t="n">
        <f aca="false">MAX(0,INDEX(MW_Avg,1,1)-IF(FixMgmt=1,MIN(INDEX(MS_BillMW,1,1),INDEX(VinEnIT,1,MAX(1,1-IF(1&gt;LastHist,EnLag,0)))),INDEX(MS_BillMW,1,1)))*LoadFactor*IF(F$5&lt;=LastHist,PUE_B,PUE)*Timeline!F$9*PowerPx/1000000</f>
        <v>4.095</v>
      </c>
      <c r="G17" s="119" t="n">
        <f aca="false">MAX(0,INDEX(MW_Avg,1,2)-IF(FixMgmt=1,MIN(INDEX(MS_BillMW,1,2),INDEX(VinEnIT,1,MAX(1,2-IF(2&gt;LastHist,EnLag,0)))),INDEX(MS_BillMW,1,2)))*LoadFactor*IF(G$5&lt;=LastHist,PUE_B,PUE)*Timeline!G$9*PowerPx/1000000</f>
        <v>4.095</v>
      </c>
      <c r="H17" s="119" t="n">
        <f aca="false">MAX(0,INDEX(MW_Avg,1,3)-IF(FixMgmt=1,MIN(INDEX(MS_BillMW,1,3),INDEX(VinEnIT,1,MAX(1,3-IF(3&gt;LastHist,EnLag,0)))),INDEX(MS_BillMW,1,3)))*LoadFactor*IF(H$5&lt;=LastHist,PUE_B,PUE)*Timeline!H$9*PowerPx/1000000</f>
        <v>4.14</v>
      </c>
      <c r="I17" s="119" t="n">
        <f aca="false">MAX(0,INDEX(MW_Avg,1,4)-IF(FixMgmt=1,MIN(INDEX(MS_BillMW,1,4),INDEX(VinEnIT,1,MAX(1,4-IF(4&gt;LastHist,EnLag,0)))),INDEX(MS_BillMW,1,4)))*LoadFactor*IF(I$5&lt;=LastHist,PUE_B,PUE)*Timeline!I$9*PowerPx/1000000</f>
        <v>4.554</v>
      </c>
      <c r="J17" s="119" t="n">
        <f aca="false">MAX(0,INDEX(MW_Avg,1,5)-IF(FixMgmt=1,MIN(INDEX(MS_BillMW,1,5),INDEX(VinEnIT,1,MAX(1,5-IF(5&gt;LastHist,EnLag,0)))),INDEX(MS_BillMW,1,5)))*LoadFactor*IF(J$5&lt;=LastHist,PUE_B,PUE)*Timeline!J$9*PowerPx/1000000</f>
        <v>5.67</v>
      </c>
      <c r="K17" s="119" t="n">
        <f aca="false">MAX(0,INDEX(MW_Avg,1,6)-IF(FixMgmt=1,MIN(INDEX(MS_BillMW,1,6),INDEX(VinEnIT,1,MAX(1,6-IF(6&gt;LastHist,EnLag,0)))),INDEX(MS_BillMW,1,6)))*LoadFactor*IF(K$5&lt;=LastHist,PUE_B,PUE)*Timeline!K$9*PowerPx/1000000</f>
        <v>6.9615</v>
      </c>
      <c r="L17" s="119" t="n">
        <f aca="false">MAX(0,INDEX(MW_Avg,1,7)-IF(FixMgmt=1,MIN(INDEX(MS_BillMW,1,7),INDEX(VinEnIT,1,MAX(1,7-IF(7&gt;LastHist,EnLag,0)))),INDEX(MS_BillMW,1,7)))*LoadFactor*IF(L$5&lt;=LastHist,PUE_B,PUE)*Timeline!L$9*PowerPx/1000000</f>
        <v>8.901</v>
      </c>
      <c r="M17" s="119" t="n">
        <f aca="false">MAX(0,INDEX(MW_Avg,1,8)-IF(FixMgmt=1,MIN(INDEX(MS_BillMW,1,8),INDEX(VinEnIT,1,MAX(1,8-IF(8&gt;LastHist,EnLag,0)))),INDEX(MS_BillMW,1,8)))*LoadFactor*IF(M$5&lt;=LastHist,PUE_B,PUE)*Timeline!M$9*PowerPx/1000000</f>
        <v>13.06584</v>
      </c>
      <c r="N17" s="119" t="n">
        <f aca="false">MAX(0,INDEX(MW_Avg,1,9)-IF(FixMgmt=1,MIN(INDEX(MS_BillMW,1,9),INDEX(VinEnIT,1,MAX(1,9-IF(9&gt;LastHist,EnLag,0)))),INDEX(MS_BillMW,1,9)))*LoadFactor*IF(N$5&lt;=LastHist,PUE_B,PUE)*Timeline!N$9*PowerPx/1000000</f>
        <v>19.7802</v>
      </c>
      <c r="O17" s="119" t="n">
        <f aca="false">MAX(0,INDEX(MW_Avg,1,10)-IF(FixMgmt=1,MIN(INDEX(MS_BillMW,1,10),INDEX(VinEnIT,1,MAX(1,10-IF(10&gt;LastHist,EnLag,0)))),INDEX(MS_BillMW,1,10)))*LoadFactor*IF(O$5&lt;=LastHist,PUE_B,PUE)*Timeline!O$9*PowerPx/1000000</f>
        <v>21.82635</v>
      </c>
      <c r="P17" s="120" t="n">
        <f aca="false">MAX(0,INDEX(MW_Avg,1,11)-IF(FixMgmt=1,MIN(INDEX(MS_BillMW,1,11),INDEX(VinEnIT,1,MAX(1,11-IF(11&gt;LastHist,EnLag,0)))),INDEX(MS_BillMW,1,11)))*LoadFactor*IF(P$5&lt;=LastHist,PUE_B,PUE)*Timeline!P$9*PowerPx/1000000</f>
        <v>22.1904</v>
      </c>
      <c r="Q17" s="120" t="n">
        <f aca="false">MAX(0,INDEX(MW_Avg,1,12)-IF(FixMgmt=1,MIN(INDEX(MS_BillMW,1,12),INDEX(VinEnIT,1,MAX(1,12-IF(12&gt;LastHist,EnLag,0)))),INDEX(MS_BillMW,1,12)))*LoadFactor*IF(Q$5&lt;=LastHist,PUE_B,PUE)*Timeline!Q$9*PowerPx/1000000</f>
        <v>20.5758</v>
      </c>
      <c r="R17" s="120" t="n">
        <f aca="false">MAX(0,INDEX(MW_Avg,1,13)-IF(FixMgmt=1,MIN(INDEX(MS_BillMW,1,13),INDEX(VinEnIT,1,MAX(1,13-IF(13&gt;LastHist,EnLag,0)))),INDEX(MS_BillMW,1,13)))*LoadFactor*IF(R$5&lt;=LastHist,PUE_B,PUE)*Timeline!R$9*PowerPx/1000000</f>
        <v>27.2403</v>
      </c>
      <c r="S17" s="120" t="n">
        <f aca="false">MAX(0,INDEX(MW_Avg,1,14)-IF(FixMgmt=1,MIN(INDEX(MS_BillMW,1,14),INDEX(VinEnIT,1,MAX(1,14-IF(14&gt;LastHist,EnLag,0)))),INDEX(MS_BillMW,1,14)))*LoadFactor*IF(S$5&lt;=LastHist,PUE_B,PUE)*Timeline!S$9*PowerPx/1000000</f>
        <v>38.64042</v>
      </c>
      <c r="T17" s="120" t="n">
        <f aca="false">MAX(0,INDEX(MW_Avg,1,15)-IF(FixMgmt=1,MIN(INDEX(MS_BillMW,1,15),INDEX(VinEnIT,1,MAX(1,15-IF(15&gt;LastHist,EnLag,0)))),INDEX(MS_BillMW,1,15)))*LoadFactor*IF(T$5&lt;=LastHist,PUE_B,PUE)*Timeline!T$9*PowerPx/1000000</f>
        <v>51.7086</v>
      </c>
      <c r="U17" s="120" t="n">
        <f aca="false">MAX(0,INDEX(MW_Avg,1,16)-IF(FixMgmt=1,MIN(INDEX(MS_BillMW,1,16),INDEX(VinEnIT,1,MAX(1,16-IF(16&gt;LastHist,EnLag,0)))),INDEX(MS_BillMW,1,16)))*LoadFactor*IF(U$5&lt;=LastHist,PUE_B,PUE)*Timeline!U$9*PowerPx/1000000</f>
        <v>67.86288</v>
      </c>
      <c r="V17" s="120" t="n">
        <f aca="false">MAX(0,INDEX(MW_Avg,1,17)-IF(FixMgmt=1,MIN(INDEX(MS_BillMW,1,17),INDEX(VinEnIT,1,MAX(1,17-IF(17&gt;LastHist,EnLag,0)))),INDEX(MS_BillMW,1,17)))*LoadFactor*IF(V$5&lt;=LastHist,PUE_B,PUE)*Timeline!V$9*PowerPx/1000000</f>
        <v>94.55355</v>
      </c>
      <c r="W17" s="120" t="n">
        <f aca="false">MAX(0,INDEX(MW_Avg,1,18)-IF(FixMgmt=1,MIN(INDEX(MS_BillMW,1,18),INDEX(VinEnIT,1,MAX(1,18-IF(18&gt;LastHist,EnLag,0)))),INDEX(MS_BillMW,1,18)))*LoadFactor*IF(W$5&lt;=LastHist,PUE_B,PUE)*Timeline!W$9*PowerPx/1000000</f>
        <v>123.87375</v>
      </c>
      <c r="X17" s="120" t="n">
        <f aca="false">MAX(0,INDEX(MW_Avg,1,19)-IF(FixMgmt=1,MIN(INDEX(MS_BillMW,1,19),INDEX(VinEnIT,1,MAX(1,19-IF(19&gt;LastHist,EnLag,0)))),INDEX(MS_BillMW,1,19)))*LoadFactor*IF(X$5&lt;=LastHist,PUE_B,PUE)*Timeline!X$9*PowerPx/1000000</f>
        <v>145.8108</v>
      </c>
      <c r="Y17" s="120" t="n">
        <f aca="false">MAX(0,INDEX(MW_Avg,1,20)-IF(FixMgmt=1,MIN(INDEX(MS_BillMW,1,20),INDEX(VinEnIT,1,MAX(1,20-IF(20&gt;LastHist,EnLag,0)))),INDEX(MS_BillMW,1,20)))*LoadFactor*IF(Y$5&lt;=LastHist,PUE_B,PUE)*Timeline!Y$9*PowerPx/1000000</f>
        <v>159.7626</v>
      </c>
      <c r="Z17" s="120" t="n">
        <f aca="false">MAX(0,INDEX(MW_Avg,1,21)-IF(FixMgmt=1,MIN(INDEX(MS_BillMW,1,21),INDEX(VinEnIT,1,MAX(1,21-IF(21&gt;LastHist,EnLag,0)))),INDEX(MS_BillMW,1,21)))*LoadFactor*IF(Z$5&lt;=LastHist,PUE_B,PUE)*Timeline!Z$9*PowerPx/1000000</f>
        <v>183.87</v>
      </c>
      <c r="AA17" s="120" t="n">
        <f aca="false">MAX(0,INDEX(MW_Avg,1,22)-IF(FixMgmt=1,MIN(INDEX(MS_BillMW,1,22),INDEX(VinEnIT,1,MAX(1,22-IF(22&gt;LastHist,EnLag,0)))),INDEX(MS_BillMW,1,22)))*LoadFactor*IF(AA$5&lt;=LastHist,PUE_B,PUE)*Timeline!AA$9*PowerPx/1000000</f>
        <v>212.7762</v>
      </c>
      <c r="AB17" s="120" t="n">
        <f aca="false">MAX(0,INDEX(MW_Avg,1,23)-IF(FixMgmt=1,MIN(INDEX(MS_BillMW,1,23),INDEX(VinEnIT,1,MAX(1,23-IF(23&gt;LastHist,EnLag,0)))),INDEX(MS_BillMW,1,23)))*LoadFactor*IF(AB$5&lt;=LastHist,PUE_B,PUE)*Timeline!AB$9*PowerPx/1000000</f>
        <v>242.9352</v>
      </c>
      <c r="AC17" s="120" t="n">
        <f aca="false">MAX(0,INDEX(MW_Avg,1,24)-IF(FixMgmt=1,MIN(INDEX(MS_BillMW,1,24),INDEX(VinEnIT,1,MAX(1,24-IF(24&gt;LastHist,EnLag,0)))),INDEX(MS_BillMW,1,24)))*LoadFactor*IF(AC$5&lt;=LastHist,PUE_B,PUE)*Timeline!AC$9*PowerPx/1000000</f>
        <v>270.756</v>
      </c>
      <c r="AD17" s="120" t="n">
        <f aca="false">MAX(0,INDEX(MW_Avg,1,25)-IF(FixMgmt=1,MIN(INDEX(MS_BillMW,1,25),INDEX(VinEnIT,1,MAX(1,25-IF(25&gt;LastHist,EnLag,0)))),INDEX(MS_BillMW,1,25)))*LoadFactor*IF(AD$5&lt;=LastHist,PUE_B,PUE)*Timeline!AD$9*PowerPx/1000000</f>
        <v>302.778</v>
      </c>
      <c r="AE17" s="120" t="n">
        <f aca="false">MAX(0,INDEX(MW_Avg,1,26)-IF(FixMgmt=1,MIN(INDEX(MS_BillMW,1,26),INDEX(VinEnIT,1,MAX(1,26-IF(26&gt;LastHist,EnLag,0)))),INDEX(MS_BillMW,1,26)))*LoadFactor*IF(AE$5&lt;=LastHist,PUE_B,PUE)*Timeline!AE$9*PowerPx/1000000</f>
        <v>344.4714</v>
      </c>
      <c r="AF17" s="120" t="n">
        <f aca="false">MAX(0,INDEX(MW_Avg,1,27)-IF(FixMgmt=1,MIN(INDEX(MS_BillMW,1,27),INDEX(VinEnIT,1,MAX(1,27-IF(27&gt;LastHist,EnLag,0)))),INDEX(MS_BillMW,1,27)))*LoadFactor*IF(AF$5&lt;=LastHist,PUE_B,PUE)*Timeline!AF$9*PowerPx/1000000</f>
        <v>348.2568</v>
      </c>
      <c r="AG17" s="120" t="n">
        <f aca="false">MAX(0,INDEX(MW_Avg,1,28)-IF(FixMgmt=1,MIN(INDEX(MS_BillMW,1,28),INDEX(VinEnIT,1,MAX(1,28-IF(28&gt;LastHist,EnLag,0)))),INDEX(MS_BillMW,1,28)))*LoadFactor*IF(AG$5&lt;=LastHist,PUE_B,PUE)*Timeline!AG$9*PowerPx/1000000</f>
        <v>352.6728</v>
      </c>
      <c r="AI17" s="120" t="n">
        <f aca="false">SUMIF($F$7:$AG$7,AI$7,$F17:$AG17)</f>
        <v>16.884</v>
      </c>
      <c r="AJ17" s="120" t="n">
        <f aca="false">SUMIF($F$7:$AG$7,AJ$7,$F17:$AG17)</f>
        <v>34.59834</v>
      </c>
      <c r="AK17" s="120" t="n">
        <f aca="false">SUMIF($F$7:$AG$7,AK$7,$F17:$AG17)</f>
        <v>84.37275</v>
      </c>
      <c r="AL17" s="120" t="n">
        <f aca="false">SUMIF($F$7:$AG$7,AL$7,$F17:$AG17)</f>
        <v>185.4522</v>
      </c>
      <c r="AM17" s="120" t="n">
        <f aca="false">SUMIF($F$7:$AG$7,AM$7,$F17:$AG17)</f>
        <v>524.0007</v>
      </c>
      <c r="AN17" s="120" t="n">
        <f aca="false">SUMIF($F$7:$AG$7,AN$7,$F17:$AG17)</f>
        <v>910.3374</v>
      </c>
      <c r="AO17" s="120" t="n">
        <f aca="false">SUMIF($F$7:$AG$7,AO$7,$F17:$AG17)</f>
        <v>1348.179</v>
      </c>
    </row>
    <row r="18" customFormat="false" ht="15" hidden="false" customHeight="false" outlineLevel="0" collapsed="false">
      <c r="A18" s="101" t="s">
        <v>1833</v>
      </c>
      <c r="B18" s="18" t="s">
        <v>400</v>
      </c>
      <c r="C18" s="18" t="s">
        <v>354</v>
      </c>
      <c r="D18" s="18" t="s">
        <v>1834</v>
      </c>
      <c r="F18" s="119" t="n">
        <f aca="false">INDEX(MW_Avg,1,1)*(1-INDEX(MW_OwnSh,1,1))*IF(F$5&lt;=LastHist,PUE_B,PUE)*RentMW/4</f>
        <v>0</v>
      </c>
      <c r="G18" s="119" t="n">
        <f aca="false">INDEX(MW_Avg,1,2)*(1-INDEX(MW_OwnSh,1,2))*IF(G$5&lt;=LastHist,PUE_B,PUE)*RentMW/4</f>
        <v>0</v>
      </c>
      <c r="H18" s="119" t="n">
        <f aca="false">INDEX(MW_Avg,1,3)*(1-INDEX(MW_OwnSh,1,3))*IF(H$5&lt;=LastHist,PUE_B,PUE)*RentMW/4</f>
        <v>0</v>
      </c>
      <c r="I18" s="119" t="n">
        <f aca="false">INDEX(MW_Avg,1,4)*(1-INDEX(MW_OwnSh,1,4))*IF(I$5&lt;=LastHist,PUE_B,PUE)*RentMW/4</f>
        <v>3.22265625</v>
      </c>
      <c r="J18" s="119" t="n">
        <f aca="false">INDEX(MW_Avg,1,5)*(1-INDEX(MW_OwnSh,1,5))*IF(J$5&lt;=LastHist,PUE_B,PUE)*RentMW/4</f>
        <v>9.228515625</v>
      </c>
      <c r="K18" s="119" t="n">
        <f aca="false">INDEX(MW_Avg,1,6)*(1-INDEX(MW_OwnSh,1,6))*IF(K$5&lt;=LastHist,PUE_B,PUE)*RentMW/4</f>
        <v>13.28125</v>
      </c>
      <c r="L18" s="119" t="n">
        <f aca="false">INDEX(MW_Avg,1,7)*(1-INDEX(MW_OwnSh,1,7))*IF(L$5&lt;=LastHist,PUE_B,PUE)*RentMW/4</f>
        <v>15.1171875</v>
      </c>
      <c r="M18" s="119" t="n">
        <f aca="false">INDEX(MW_Avg,1,8)*(1-INDEX(MW_OwnSh,1,8))*IF(M$5&lt;=LastHist,PUE_B,PUE)*RentMW/4</f>
        <v>42.6279409275559</v>
      </c>
      <c r="N18" s="119" t="n">
        <f aca="false">INDEX(MW_Avg,1,9)*(1-INDEX(MW_OwnSh,1,9))*IF(N$5&lt;=LastHist,PUE_B,PUE)*RentMW/4</f>
        <v>63.1434948979592</v>
      </c>
      <c r="O18" s="119" t="n">
        <f aca="false">INDEX(MW_Avg,1,10)*(1-INDEX(MW_OwnSh,1,10))*IF(O$5&lt;=LastHist,PUE_B,PUE)*RentMW/4</f>
        <v>68.607523482659</v>
      </c>
      <c r="P18" s="120" t="n">
        <f aca="false">INDEX(MW_Avg,1,11)*(1-INDEX(MW_OwnSh,1,11))*IF(P$5&lt;=LastHist,PUE_B,PUE)*RentMW/4</f>
        <v>77.6741340361446</v>
      </c>
      <c r="Q18" s="120" t="n">
        <f aca="false">INDEX(MW_Avg,1,12)*(1-INDEX(MW_OwnSh,1,12))*IF(Q$5&lt;=LastHist,PUE_B,PUE)*RentMW/4</f>
        <v>99.4579209772572</v>
      </c>
      <c r="R18" s="120" t="n">
        <f aca="false">INDEX(MW_Avg,1,13)*(1-INDEX(MW_OwnSh,1,13))*IF(R$5&lt;=LastHist,PUE_B,PUE)*RentMW/4</f>
        <v>139.870930520533</v>
      </c>
      <c r="S18" s="120" t="n">
        <f aca="false">INDEX(MW_Avg,1,14)*(1-INDEX(MW_OwnSh,1,14))*IF(S$5&lt;=LastHist,PUE_B,PUE)*RentMW/4</f>
        <v>199.359142817832</v>
      </c>
      <c r="T18" s="120" t="n">
        <f aca="false">INDEX(MW_Avg,1,15)*(1-INDEX(MW_OwnSh,1,15))*IF(T$5&lt;=LastHist,PUE_B,PUE)*RentMW/4</f>
        <v>247.656264266801</v>
      </c>
      <c r="U18" s="120" t="n">
        <f aca="false">INDEX(MW_Avg,1,16)*(1-INDEX(MW_OwnSh,1,16))*IF(U$5&lt;=LastHist,PUE_B,PUE)*RentMW/4</f>
        <v>276.204967105263</v>
      </c>
      <c r="V18" s="120" t="n">
        <f aca="false">INDEX(MW_Avg,1,17)*(1-INDEX(MW_OwnSh,1,17))*IF(V$5&lt;=LastHist,PUE_B,PUE)*RentMW/4</f>
        <v>341.470127023381</v>
      </c>
      <c r="W18" s="120" t="n">
        <f aca="false">INDEX(MW_Avg,1,18)*(1-INDEX(MW_OwnSh,1,18))*IF(W$5&lt;=LastHist,PUE_B,PUE)*RentMW/4</f>
        <v>362.079674788798</v>
      </c>
      <c r="X18" s="120" t="n">
        <f aca="false">INDEX(MW_Avg,1,19)*(1-INDEX(MW_OwnSh,1,19))*IF(X$5&lt;=LastHist,PUE_B,PUE)*RentMW/4</f>
        <v>411.166133360859</v>
      </c>
      <c r="Y18" s="120" t="n">
        <f aca="false">INDEX(MW_Avg,1,20)*(1-INDEX(MW_OwnSh,1,20))*IF(Y$5&lt;=LastHist,PUE_B,PUE)*RentMW/4</f>
        <v>374.282711988304</v>
      </c>
      <c r="Z18" s="120" t="n">
        <f aca="false">INDEX(MW_Avg,1,21)*(1-INDEX(MW_OwnSh,1,21))*IF(Z$5&lt;=LastHist,PUE_B,PUE)*RentMW/4</f>
        <v>427.174707602339</v>
      </c>
      <c r="AA18" s="120" t="n">
        <f aca="false">INDEX(MW_Avg,1,22)*(1-INDEX(MW_OwnSh,1,22))*IF(AA$5&lt;=LastHist,PUE_B,PUE)*RentMW/4</f>
        <v>392.445</v>
      </c>
      <c r="AB18" s="120" t="n">
        <f aca="false">INDEX(MW_Avg,1,23)*(1-INDEX(MW_OwnSh,1,23))*IF(AB$5&lt;=LastHist,PUE_B,PUE)*RentMW/4</f>
        <v>435.285</v>
      </c>
      <c r="AC18" s="120" t="n">
        <f aca="false">INDEX(MW_Avg,1,24)*(1-INDEX(MW_OwnSh,1,24))*IF(AC$5&lt;=LastHist,PUE_B,PUE)*RentMW/4</f>
        <v>382.622439180538</v>
      </c>
      <c r="AD18" s="120" t="n">
        <f aca="false">INDEX(MW_Avg,1,25)*(1-INDEX(MW_OwnSh,1,25))*IF(AD$5&lt;=LastHist,PUE_B,PUE)*RentMW/4</f>
        <v>430.373719590269</v>
      </c>
      <c r="AE18" s="120" t="n">
        <f aca="false">INDEX(MW_Avg,1,26)*(1-INDEX(MW_OwnSh,1,26))*IF(AE$5&lt;=LastHist,PUE_B,PUE)*RentMW/4</f>
        <v>478.125</v>
      </c>
      <c r="AF18" s="120" t="n">
        <f aca="false">INDEX(MW_Avg,1,27)*(1-INDEX(MW_OwnSh,1,27))*IF(AF$5&lt;=LastHist,PUE_B,PUE)*RentMW/4</f>
        <v>478.125</v>
      </c>
      <c r="AG18" s="120" t="n">
        <f aca="false">INDEX(MW_Avg,1,28)*(1-INDEX(MW_OwnSh,1,28))*IF(AG$5&lt;=LastHist,PUE_B,PUE)*RentMW/4</f>
        <v>399.659962540136</v>
      </c>
      <c r="AI18" s="120" t="n">
        <f aca="false">SUMIF($F$7:$AG$7,AI$7,$F18:$AG18)</f>
        <v>3.22265625</v>
      </c>
      <c r="AJ18" s="120" t="n">
        <f aca="false">SUMIF($F$7:$AG$7,AJ$7,$F18:$AG18)</f>
        <v>80.2548940525558</v>
      </c>
      <c r="AK18" s="120" t="n">
        <f aca="false">SUMIF($F$7:$AG$7,AK$7,$F18:$AG18)</f>
        <v>308.88307339402</v>
      </c>
      <c r="AL18" s="120" t="n">
        <f aca="false">SUMIF($F$7:$AG$7,AL$7,$F18:$AG18)</f>
        <v>863.091304710428</v>
      </c>
      <c r="AM18" s="120" t="n">
        <f aca="false">SUMIF($F$7:$AG$7,AM$7,$F18:$AG18)</f>
        <v>1488.99864716134</v>
      </c>
      <c r="AN18" s="120" t="n">
        <f aca="false">SUMIF($F$7:$AG$7,AN$7,$F18:$AG18)</f>
        <v>1637.52714678288</v>
      </c>
      <c r="AO18" s="120" t="n">
        <f aca="false">SUMIF($F$7:$AG$7,AO$7,$F18:$AG18)</f>
        <v>1786.2836821304</v>
      </c>
    </row>
    <row r="19" customFormat="false" ht="15" hidden="false" customHeight="false" outlineLevel="0" collapsed="false">
      <c r="A19" s="101" t="s">
        <v>1835</v>
      </c>
      <c r="B19" s="18" t="s">
        <v>400</v>
      </c>
      <c r="C19" s="18" t="s">
        <v>354</v>
      </c>
      <c r="D19" s="18" t="s">
        <v>1836</v>
      </c>
      <c r="F19" s="119" t="n">
        <f aca="false">IF(F$5&lt;=LastHist,0,INDEX(CLT1_En,1,MAX(1,1-EnLag))*(CLT1Rent-RentMW*PUE)/4)</f>
        <v>0</v>
      </c>
      <c r="G19" s="119" t="n">
        <f aca="false">IF(G$5&lt;=LastHist,0,INDEX(CLT1_En,1,MAX(1,2-EnLag))*(CLT1Rent-RentMW*PUE)/4)</f>
        <v>0</v>
      </c>
      <c r="H19" s="119" t="n">
        <f aca="false">IF(H$5&lt;=LastHist,0,INDEX(CLT1_En,1,MAX(1,3-EnLag))*(CLT1Rent-RentMW*PUE)/4)</f>
        <v>0</v>
      </c>
      <c r="I19" s="119" t="n">
        <f aca="false">IF(I$5&lt;=LastHist,0,INDEX(CLT1_En,1,MAX(1,4-EnLag))*(CLT1Rent-RentMW*PUE)/4)</f>
        <v>0</v>
      </c>
      <c r="J19" s="119" t="n">
        <f aca="false">IF(J$5&lt;=LastHist,0,INDEX(CLT1_En,1,MAX(1,5-EnLag))*(CLT1Rent-RentMW*PUE)/4)</f>
        <v>0</v>
      </c>
      <c r="K19" s="119" t="n">
        <f aca="false">IF(K$5&lt;=LastHist,0,INDEX(CLT1_En,1,MAX(1,6-EnLag))*(CLT1Rent-RentMW*PUE)/4)</f>
        <v>0</v>
      </c>
      <c r="L19" s="119" t="n">
        <f aca="false">IF(L$5&lt;=LastHist,0,INDEX(CLT1_En,1,MAX(1,7-EnLag))*(CLT1Rent-RentMW*PUE)/4)</f>
        <v>0</v>
      </c>
      <c r="M19" s="119" t="n">
        <f aca="false">IF(M$5&lt;=LastHist,0,INDEX(CLT1_En,1,MAX(1,8-EnLag))*(CLT1Rent-RentMW*PUE)/4)</f>
        <v>0</v>
      </c>
      <c r="N19" s="119" t="n">
        <f aca="false">IF(N$5&lt;=LastHist,0,INDEX(CLT1_En,1,MAX(1,9-EnLag))*(CLT1Rent-RentMW*PUE)/4)</f>
        <v>0</v>
      </c>
      <c r="O19" s="119" t="n">
        <f aca="false">IF(O$5&lt;=LastHist,0,INDEX(CLT1_En,1,MAX(1,10-EnLag))*(CLT1Rent-RentMW*PUE)/4)</f>
        <v>0</v>
      </c>
      <c r="P19" s="120" t="n">
        <f aca="false">IF(P$5&lt;=LastHist,0,INDEX(CLT1_En,1,MAX(1,11-EnLag))*(CLT1Rent-RentMW*PUE)/4)</f>
        <v>-0</v>
      </c>
      <c r="Q19" s="120" t="n">
        <f aca="false">IF(Q$5&lt;=LastHist,0,INDEX(CLT1_En,1,MAX(1,12-EnLag))*(CLT1Rent-RentMW*PUE)/4)</f>
        <v>-0</v>
      </c>
      <c r="R19" s="120" t="n">
        <f aca="false">IF(R$5&lt;=LastHist,0,INDEX(CLT1_En,1,MAX(1,13-EnLag))*(CLT1Rent-RentMW*PUE)/4)</f>
        <v>-0</v>
      </c>
      <c r="S19" s="120" t="n">
        <f aca="false">IF(S$5&lt;=LastHist,0,INDEX(CLT1_En,1,MAX(1,14-EnLag))*(CLT1Rent-RentMW*PUE)/4)</f>
        <v>-0</v>
      </c>
      <c r="T19" s="120" t="n">
        <f aca="false">IF(T$5&lt;=LastHist,0,INDEX(CLT1_En,1,MAX(1,15-EnLag))*(CLT1Rent-RentMW*PUE)/4)</f>
        <v>-0</v>
      </c>
      <c r="U19" s="120" t="n">
        <f aca="false">IF(U$5&lt;=LastHist,0,INDEX(CLT1_En,1,MAX(1,16-EnLag))*(CLT1Rent-RentMW*PUE)/4)</f>
        <v>-1.9140625</v>
      </c>
      <c r="V19" s="120" t="n">
        <f aca="false">IF(V$5&lt;=LastHist,0,INDEX(CLT1_En,1,MAX(1,17-EnLag))*(CLT1Rent-RentMW*PUE)/4)</f>
        <v>-3.828125</v>
      </c>
      <c r="W19" s="120" t="n">
        <f aca="false">IF(W$5&lt;=LastHist,0,INDEX(CLT1_En,1,MAX(1,18-EnLag))*(CLT1Rent-RentMW*PUE)/4)</f>
        <v>-5.7421875</v>
      </c>
      <c r="X19" s="120" t="n">
        <f aca="false">IF(X$5&lt;=LastHist,0,INDEX(CLT1_En,1,MAX(1,19-EnLag))*(CLT1Rent-RentMW*PUE)/4)</f>
        <v>-5.7421875</v>
      </c>
      <c r="Y19" s="120" t="n">
        <f aca="false">IF(Y$5&lt;=LastHist,0,INDEX(CLT1_En,1,MAX(1,20-EnLag))*(CLT1Rent-RentMW*PUE)/4)</f>
        <v>-7.65625</v>
      </c>
      <c r="Z19" s="120" t="n">
        <f aca="false">IF(Z$5&lt;=LastHist,0,INDEX(CLT1_En,1,MAX(1,21-EnLag))*(CLT1Rent-RentMW*PUE)/4)</f>
        <v>-7.65625</v>
      </c>
      <c r="AA19" s="120" t="n">
        <f aca="false">IF(AA$5&lt;=LastHist,0,INDEX(CLT1_En,1,MAX(1,22-EnLag))*(CLT1Rent-RentMW*PUE)/4)</f>
        <v>-7.65625</v>
      </c>
      <c r="AB19" s="120" t="n">
        <f aca="false">IF(AB$5&lt;=LastHist,0,INDEX(CLT1_En,1,MAX(1,23-EnLag))*(CLT1Rent-RentMW*PUE)/4)</f>
        <v>-7.65625</v>
      </c>
      <c r="AC19" s="120" t="n">
        <f aca="false">IF(AC$5&lt;=LastHist,0,INDEX(CLT1_En,1,MAX(1,24-EnLag))*(CLT1Rent-RentMW*PUE)/4)</f>
        <v>-7.65625</v>
      </c>
      <c r="AD19" s="120" t="n">
        <f aca="false">IF(AD$5&lt;=LastHist,0,INDEX(CLT1_En,1,MAX(1,25-EnLag))*(CLT1Rent-RentMW*PUE)/4)</f>
        <v>-7.65625</v>
      </c>
      <c r="AE19" s="120" t="n">
        <f aca="false">IF(AE$5&lt;=LastHist,0,INDEX(CLT1_En,1,MAX(1,26-EnLag))*(CLT1Rent-RentMW*PUE)/4)</f>
        <v>-7.65625</v>
      </c>
      <c r="AF19" s="120" t="n">
        <f aca="false">IF(AF$5&lt;=LastHist,0,INDEX(CLT1_En,1,MAX(1,27-EnLag))*(CLT1Rent-RentMW*PUE)/4)</f>
        <v>-7.65625</v>
      </c>
      <c r="AG19" s="120" t="n">
        <f aca="false">IF(AG$5&lt;=LastHist,0,INDEX(CLT1_En,1,MAX(1,28-EnLag))*(CLT1Rent-RentMW*PUE)/4)</f>
        <v>-7.65625</v>
      </c>
      <c r="AI19" s="120" t="n">
        <f aca="false">SUMIF($F$7:$AG$7,AI$7,$F19:$AG19)</f>
        <v>0</v>
      </c>
      <c r="AJ19" s="120" t="n">
        <f aca="false">SUMIF($F$7:$AG$7,AJ$7,$F19:$AG19)</f>
        <v>0</v>
      </c>
      <c r="AK19" s="120" t="n">
        <f aca="false">SUMIF($F$7:$AG$7,AK$7,$F19:$AG19)</f>
        <v>0</v>
      </c>
      <c r="AL19" s="120" t="n">
        <f aca="false">SUMIF($F$7:$AG$7,AL$7,$F19:$AG19)</f>
        <v>-1.9140625</v>
      </c>
      <c r="AM19" s="120" t="n">
        <f aca="false">SUMIF($F$7:$AG$7,AM$7,$F19:$AG19)</f>
        <v>-22.96875</v>
      </c>
      <c r="AN19" s="120" t="n">
        <f aca="false">SUMIF($F$7:$AG$7,AN$7,$F19:$AG19)</f>
        <v>-30.625</v>
      </c>
      <c r="AO19" s="120" t="n">
        <f aca="false">SUMIF($F$7:$AG$7,AO$7,$F19:$AG19)</f>
        <v>-30.625</v>
      </c>
    </row>
    <row r="20" customFormat="false" ht="15" hidden="false" customHeight="false" outlineLevel="0" collapsed="false">
      <c r="A20" s="101" t="s">
        <v>1837</v>
      </c>
      <c r="B20" s="18" t="s">
        <v>400</v>
      </c>
      <c r="C20" s="18" t="s">
        <v>336</v>
      </c>
      <c r="D20" s="18"/>
      <c r="F20" s="119" t="n">
        <f aca="false">OtherCOR*F11</f>
        <v>0.684</v>
      </c>
      <c r="G20" s="119" t="n">
        <f aca="false">OtherCOR*G11</f>
        <v>0.87</v>
      </c>
      <c r="H20" s="119" t="n">
        <f aca="false">OtherCOR*H11</f>
        <v>1.926</v>
      </c>
      <c r="I20" s="119" t="n">
        <f aca="false">OtherCOR*I11</f>
        <v>2.112</v>
      </c>
      <c r="J20" s="119" t="n">
        <f aca="false">OtherCOR*J11</f>
        <v>3.054</v>
      </c>
      <c r="K20" s="119" t="n">
        <f aca="false">OtherCOR*K11</f>
        <v>6.306</v>
      </c>
      <c r="L20" s="119" t="n">
        <f aca="false">OtherCOR*L11</f>
        <v>8.766</v>
      </c>
      <c r="M20" s="119" t="n">
        <f aca="false">OtherCOR*M11</f>
        <v>13.662</v>
      </c>
      <c r="N20" s="119" t="n">
        <f aca="false">OtherCOR*N11</f>
        <v>23.94</v>
      </c>
      <c r="O20" s="119" t="n">
        <f aca="false">OtherCOR*O11</f>
        <v>34.938</v>
      </c>
      <c r="P20" s="120" t="n">
        <f aca="false">OtherCOR*P11</f>
        <v>39.2210023957319</v>
      </c>
      <c r="Q20" s="120" t="n">
        <f aca="false">OtherCOR*Q11</f>
        <v>47.305497801089</v>
      </c>
      <c r="R20" s="120" t="n">
        <f aca="false">OtherCOR*R11</f>
        <v>61.909814861344</v>
      </c>
      <c r="S20" s="120" t="n">
        <f aca="false">OtherCOR*S11</f>
        <v>90.5325747931586</v>
      </c>
      <c r="T20" s="120" t="n">
        <f aca="false">OtherCOR*T11</f>
        <v>124.689644441976</v>
      </c>
      <c r="U20" s="120" t="n">
        <f aca="false">OtherCOR*U11</f>
        <v>162.085552606947</v>
      </c>
      <c r="V20" s="120" t="n">
        <f aca="false">OtherCOR*V11</f>
        <v>221.175841766306</v>
      </c>
      <c r="W20" s="120" t="n">
        <f aca="false">OtherCOR*W11</f>
        <v>274.028632079312</v>
      </c>
      <c r="X20" s="120" t="n">
        <f aca="false">OtherCOR*X11</f>
        <v>310.807565887741</v>
      </c>
      <c r="Y20" s="120" t="n">
        <f aca="false">OtherCOR*Y11</f>
        <v>335.48101887225</v>
      </c>
      <c r="Z20" s="120" t="n">
        <f aca="false">OtherCOR*Z11</f>
        <v>383.018024588043</v>
      </c>
      <c r="AA20" s="120" t="n">
        <f aca="false">OtherCOR*AA11</f>
        <v>430.294713108743</v>
      </c>
      <c r="AB20" s="120" t="n">
        <f aca="false">OtherCOR*AB11</f>
        <v>475.840260057187</v>
      </c>
      <c r="AC20" s="120" t="n">
        <f aca="false">OtherCOR*AC11</f>
        <v>522.759531631538</v>
      </c>
      <c r="AD20" s="120" t="n">
        <f aca="false">OtherCOR*AD11</f>
        <v>584.004521059605</v>
      </c>
      <c r="AE20" s="120" t="n">
        <f aca="false">OtherCOR*AE11</f>
        <v>647.731177440296</v>
      </c>
      <c r="AF20" s="120" t="n">
        <f aca="false">OtherCOR*AF11</f>
        <v>643.957481418006</v>
      </c>
      <c r="AG20" s="120" t="n">
        <f aca="false">OtherCOR*AG11</f>
        <v>650.85797415803</v>
      </c>
      <c r="AI20" s="120" t="n">
        <f aca="false">SUMIF($F$7:$AG$7,AI$7,$F20:$AG20)</f>
        <v>5.592</v>
      </c>
      <c r="AJ20" s="120" t="n">
        <f aca="false">SUMIF($F$7:$AG$7,AJ$7,$F20:$AG20)</f>
        <v>31.788</v>
      </c>
      <c r="AK20" s="120" t="n">
        <f aca="false">SUMIF($F$7:$AG$7,AK$7,$F20:$AG20)</f>
        <v>145.404500196821</v>
      </c>
      <c r="AL20" s="120" t="n">
        <f aca="false">SUMIF($F$7:$AG$7,AL$7,$F20:$AG20)</f>
        <v>439.217586703425</v>
      </c>
      <c r="AM20" s="120" t="n">
        <f aca="false">SUMIF($F$7:$AG$7,AM$7,$F20:$AG20)</f>
        <v>1141.49305860561</v>
      </c>
      <c r="AN20" s="120" t="n">
        <f aca="false">SUMIF($F$7:$AG$7,AN$7,$F20:$AG20)</f>
        <v>1811.91252938551</v>
      </c>
      <c r="AO20" s="120" t="n">
        <f aca="false">SUMIF($F$7:$AG$7,AO$7,$F20:$AG20)</f>
        <v>2526.55115407594</v>
      </c>
    </row>
    <row r="21" customFormat="false" ht="15" hidden="false" customHeight="false" outlineLevel="0" collapsed="false">
      <c r="A21" s="101" t="s">
        <v>1838</v>
      </c>
      <c r="B21" s="18" t="s">
        <v>400</v>
      </c>
      <c r="C21" s="18" t="s">
        <v>354</v>
      </c>
      <c r="D21" s="18" t="s">
        <v>1839</v>
      </c>
      <c r="F21" s="119" t="n">
        <f aca="false">IF(F$5&lt;=LastHist,0,INDEX(MW_Avg,1,1)*INDEX(MW_OwnSh,1,1)*OM_MW/4)</f>
        <v>0</v>
      </c>
      <c r="G21" s="119" t="n">
        <f aca="false">IF(G$5&lt;=LastHist,0,INDEX(MW_Avg,1,2)*INDEX(MW_OwnSh,1,2)*OM_MW/4)</f>
        <v>0</v>
      </c>
      <c r="H21" s="119" t="n">
        <f aca="false">IF(H$5&lt;=LastHist,0,INDEX(MW_Avg,1,3)*INDEX(MW_OwnSh,1,3)*OM_MW/4)</f>
        <v>0</v>
      </c>
      <c r="I21" s="119" t="n">
        <f aca="false">IF(I$5&lt;=LastHist,0,INDEX(MW_Avg,1,4)*INDEX(MW_OwnSh,1,4)*OM_MW/4)</f>
        <v>0</v>
      </c>
      <c r="J21" s="119" t="n">
        <f aca="false">IF(J$5&lt;=LastHist,0,INDEX(MW_Avg,1,5)*INDEX(MW_OwnSh,1,5)*OM_MW/4)</f>
        <v>0</v>
      </c>
      <c r="K21" s="119" t="n">
        <f aca="false">IF(K$5&lt;=LastHist,0,INDEX(MW_Avg,1,6)*INDEX(MW_OwnSh,1,6)*OM_MW/4)</f>
        <v>0</v>
      </c>
      <c r="L21" s="119" t="n">
        <f aca="false">IF(L$5&lt;=LastHist,0,INDEX(MW_Avg,1,7)*INDEX(MW_OwnSh,1,7)*OM_MW/4)</f>
        <v>0</v>
      </c>
      <c r="M21" s="119" t="n">
        <f aca="false">IF(M$5&lt;=LastHist,0,INDEX(MW_Avg,1,8)*INDEX(MW_OwnSh,1,8)*OM_MW/4)</f>
        <v>0</v>
      </c>
      <c r="N21" s="119" t="n">
        <f aca="false">IF(N$5&lt;=LastHist,0,INDEX(MW_Avg,1,9)*INDEX(MW_OwnSh,1,9)*OM_MW/4)</f>
        <v>0</v>
      </c>
      <c r="O21" s="119" t="n">
        <f aca="false">IF(O$5&lt;=LastHist,0,INDEX(MW_Avg,1,10)*INDEX(MW_OwnSh,1,10)*OM_MW/4)</f>
        <v>0</v>
      </c>
      <c r="P21" s="120" t="n">
        <f aca="false">IF(P$5&lt;=LastHist,0,INDEX(MW_Avg,1,11)*INDEX(MW_OwnSh,1,11)*OM_MW/4)</f>
        <v>11.7243975903614</v>
      </c>
      <c r="Q21" s="120" t="n">
        <f aca="false">IF(Q$5&lt;=LastHist,0,INDEX(MW_Avg,1,12)*INDEX(MW_OwnSh,1,12)*OM_MW/4)</f>
        <v>9.14976273939809</v>
      </c>
      <c r="R21" s="120" t="n">
        <f aca="false">IF(R$5&lt;=LastHist,0,INDEX(MW_Avg,1,13)*INDEX(MW_OwnSh,1,13)*OM_MW/4)</f>
        <v>9.5667101945245</v>
      </c>
      <c r="S21" s="120" t="n">
        <f aca="false">IF(S$5&lt;=LastHist,0,INDEX(MW_Avg,1,14)*INDEX(MW_OwnSh,1,14)*OM_MW/4)</f>
        <v>13.2875619152449</v>
      </c>
      <c r="T21" s="120" t="n">
        <f aca="false">IF(T$5&lt;=LastHist,0,INDEX(MW_Avg,1,15)*INDEX(MW_OwnSh,1,15)*OM_MW/4)</f>
        <v>24.0989545288532</v>
      </c>
      <c r="U21" s="120" t="n">
        <f aca="false">IF(U$5&lt;=LastHist,0,INDEX(MW_Avg,1,16)*INDEX(MW_OwnSh,1,16)*OM_MW/4)</f>
        <v>41.6203421052632</v>
      </c>
      <c r="V21" s="120" t="n">
        <f aca="false">IF(V$5&lt;=LastHist,0,INDEX(MW_Avg,1,17)*INDEX(MW_OwnSh,1,17)*OM_MW/4)</f>
        <v>62.1756744604317</v>
      </c>
      <c r="W21" s="120" t="n">
        <f aca="false">IF(W$5&lt;=LastHist,0,INDEX(MW_Avg,1,18)*INDEX(MW_OwnSh,1,18)*OM_MW/4)</f>
        <v>90.2422950563204</v>
      </c>
      <c r="X21" s="120" t="n">
        <f aca="false">IF(X$5&lt;=LastHist,0,INDEX(MW_Avg,1,19)*INDEX(MW_OwnSh,1,19)*OM_MW/4)</f>
        <v>100.449447770438</v>
      </c>
      <c r="Y21" s="120" t="n">
        <f aca="false">IF(Y$5&lt;=LastHist,0,INDEX(MW_Avg,1,20)*INDEX(MW_OwnSh,1,20)*OM_MW/4)</f>
        <v>126.081901803119</v>
      </c>
      <c r="Z21" s="120" t="n">
        <f aca="false">IF(Z$5&lt;=LastHist,0,INDEX(MW_Avg,1,21)*INDEX(MW_OwnSh,1,21)*OM_MW/4)</f>
        <v>143.899244639376</v>
      </c>
      <c r="AA21" s="120" t="n">
        <f aca="false">IF(AA$5&lt;=LastHist,0,INDEX(MW_Avg,1,22)*INDEX(MW_OwnSh,1,22)*OM_MW/4)</f>
        <v>183.9105</v>
      </c>
      <c r="AB21" s="120" t="n">
        <f aca="false">IF(AB$5&lt;=LastHist,0,INDEX(MW_Avg,1,23)*INDEX(MW_OwnSh,1,23)*OM_MW/4)</f>
        <v>203.9865</v>
      </c>
      <c r="AC21" s="120" t="n">
        <f aca="false">IF(AC$5&lt;=LastHist,0,INDEX(MW_Avg,1,24)*INDEX(MW_OwnSh,1,24)*OM_MW/4)</f>
        <v>249.529849551857</v>
      </c>
      <c r="AD21" s="120" t="n">
        <f aca="false">IF(AD$5&lt;=LastHist,0,INDEX(MW_Avg,1,25)*INDEX(MW_OwnSh,1,25)*OM_MW/4)</f>
        <v>280.671174775928</v>
      </c>
      <c r="AE21" s="120" t="n">
        <f aca="false">IF(AE$5&lt;=LastHist,0,INDEX(MW_Avg,1,26)*INDEX(MW_OwnSh,1,26)*OM_MW/4)</f>
        <v>311.8125</v>
      </c>
      <c r="AF21" s="120" t="n">
        <f aca="false">IF(AF$5&lt;=LastHist,0,INDEX(MW_Avg,1,27)*INDEX(MW_OwnSh,1,27)*OM_MW/4)</f>
        <v>311.8125</v>
      </c>
      <c r="AG21" s="120" t="n">
        <f aca="false">IF(AG$5&lt;=LastHist,0,INDEX(MW_Avg,1,28)*INDEX(MW_OwnSh,1,28)*OM_MW/4)</f>
        <v>332.736509989297</v>
      </c>
      <c r="AI21" s="120" t="n">
        <f aca="false">SUMIF($F$7:$AG$7,AI$7,$F21:$AG21)</f>
        <v>0</v>
      </c>
      <c r="AJ21" s="120" t="n">
        <f aca="false">SUMIF($F$7:$AG$7,AJ$7,$F21:$AG21)</f>
        <v>0</v>
      </c>
      <c r="AK21" s="120" t="n">
        <f aca="false">SUMIF($F$7:$AG$7,AK$7,$F21:$AG21)</f>
        <v>20.8741603297595</v>
      </c>
      <c r="AL21" s="120" t="n">
        <f aca="false">SUMIF($F$7:$AG$7,AL$7,$F21:$AG21)</f>
        <v>88.5735687438857</v>
      </c>
      <c r="AM21" s="120" t="n">
        <f aca="false">SUMIF($F$7:$AG$7,AM$7,$F21:$AG21)</f>
        <v>378.949319090309</v>
      </c>
      <c r="AN21" s="120" t="n">
        <f aca="false">SUMIF($F$7:$AG$7,AN$7,$F21:$AG21)</f>
        <v>781.326094191233</v>
      </c>
      <c r="AO21" s="120" t="n">
        <f aca="false">SUMIF($F$7:$AG$7,AO$7,$F21:$AG21)</f>
        <v>1237.03268476523</v>
      </c>
    </row>
    <row r="22" customFormat="false" ht="15" hidden="false" customHeight="false" outlineLevel="0" collapsed="false">
      <c r="A22" s="3" t="s">
        <v>1840</v>
      </c>
      <c r="B22" s="18" t="s">
        <v>400</v>
      </c>
      <c r="C22" s="18" t="s">
        <v>336</v>
      </c>
      <c r="D22" s="18"/>
      <c r="F22" s="121" t="n">
        <f aca="false">IF(F$5&lt;=LastHist,INDEX(H_COR,1,F$5),F16+F17+F18+F19+F20+F21)</f>
        <v>9.1</v>
      </c>
      <c r="G22" s="121" t="n">
        <f aca="false">IF(G$5&lt;=LastHist,INDEX(H_COR,1,G$5),G16+G17+G18+G19+G20+G21)</f>
        <v>8.1</v>
      </c>
      <c r="H22" s="121" t="n">
        <f aca="false">IF(H$5&lt;=LastHist,INDEX(H_COR,1,H$5),H16+H17+H18+H19+H20+H21)</f>
        <v>9.9</v>
      </c>
      <c r="I22" s="121" t="n">
        <f aca="false">IF(I$5&lt;=LastHist,INDEX(H_COR,1,I$5),I16+I17+I18+I19+I20+I21)</f>
        <v>21.1</v>
      </c>
      <c r="J22" s="121" t="n">
        <f aca="false">IF(J$5&lt;=LastHist,INDEX(H_COR,1,J$5),J16+J17+J18+J19+J20+J21)</f>
        <v>24.7</v>
      </c>
      <c r="K22" s="121" t="n">
        <f aca="false">IF(K$5&lt;=LastHist,INDEX(H_COR,1,K$5),K16+K17+K18+K19+K20+K21)</f>
        <v>30.1</v>
      </c>
      <c r="L22" s="121" t="n">
        <f aca="false">IF(L$5&lt;=LastHist,INDEX(H_COR,1,L$5),L16+L17+L18+L19+L20+L21)</f>
        <v>42.9</v>
      </c>
      <c r="M22" s="121" t="n">
        <f aca="false">IF(M$5&lt;=LastHist,INDEX(H_COR,1,M$5),M16+M17+M18+M19+M20+M21)</f>
        <v>68.5</v>
      </c>
      <c r="N22" s="121" t="n">
        <f aca="false">IF(N$5&lt;=LastHist,INDEX(H_COR,1,N$5),N16+N17+N18+N19+N20+N21)</f>
        <v>103.8</v>
      </c>
      <c r="O22" s="121" t="n">
        <f aca="false">IF(O$5&lt;=LastHist,INDEX(H_COR,1,O$5),O16+O17+O18+O19+O20+O21)</f>
        <v>133.6</v>
      </c>
      <c r="P22" s="93" t="n">
        <f aca="false">IF(P$5&lt;=LastHist,INDEX(H_COR,1,P$5),P16+P17+P18+P19+P20+P21)</f>
        <v>164.216184022238</v>
      </c>
      <c r="Q22" s="93" t="n">
        <f aca="false">IF(Q$5&lt;=LastHist,INDEX(H_COR,1,Q$5),Q16+Q17+Q18+Q19+Q20+Q21)</f>
        <v>199.176481517744</v>
      </c>
      <c r="R22" s="93" t="n">
        <f aca="false">IF(R$5&lt;=LastHist,INDEX(H_COR,1,R$5),R16+R17+R18+R19+R20+R21)</f>
        <v>266.706505576402</v>
      </c>
      <c r="S22" s="93" t="n">
        <f aca="false">IF(S$5&lt;=LastHist,INDEX(H_COR,1,S$5),S16+S17+S18+S19+S20+S21)</f>
        <v>382.554074526235</v>
      </c>
      <c r="T22" s="93" t="n">
        <f aca="false">IF(T$5&lt;=LastHist,INDEX(H_COR,1,T$5),T16+T17+T18+T19+T20+T21)</f>
        <v>506.07533823763</v>
      </c>
      <c r="U22" s="93" t="n">
        <f aca="false">IF(U$5&lt;=LastHist,INDEX(H_COR,1,U$5),U16+U17+U18+U19+U20+U21)</f>
        <v>616.328429317473</v>
      </c>
      <c r="V22" s="93" t="n">
        <f aca="false">IF(V$5&lt;=LastHist,INDEX(H_COR,1,V$5),V16+V17+V18+V19+V20+V21)</f>
        <v>798.047068250119</v>
      </c>
      <c r="W22" s="93" t="n">
        <f aca="false">IF(W$5&lt;=LastHist,INDEX(H_COR,1,W$5),W16+W17+W18+W19+W20+W21)</f>
        <v>926.982164424431</v>
      </c>
      <c r="X22" s="93" t="n">
        <f aca="false">IF(X$5&lt;=LastHist,INDEX(H_COR,1,X$5),X16+X17+X18+X19+X20+X21)</f>
        <v>1044.99175951904</v>
      </c>
      <c r="Y22" s="93" t="n">
        <f aca="false">IF(Y$5&lt;=LastHist,INDEX(H_COR,1,Y$5),Y16+Y17+Y18+Y19+Y20+Y21)</f>
        <v>1070.45198266367</v>
      </c>
      <c r="Z22" s="93" t="n">
        <f aca="false">IF(Z$5&lt;=LastHist,INDEX(H_COR,1,Z$5),Z16+Z17+Z18+Z19+Z20+Z21)</f>
        <v>1212.80572682976</v>
      </c>
      <c r="AA22" s="93" t="n">
        <f aca="false">IF(AA$5&lt;=LastHist,INDEX(H_COR,1,AA$5),AA16+AA17+AA18+AA19+AA20+AA21)</f>
        <v>1294.27016310874</v>
      </c>
      <c r="AB22" s="93" t="n">
        <f aca="false">IF(AB$5&lt;=LastHist,INDEX(H_COR,1,AB$5),AB16+AB17+AB18+AB19+AB20+AB21)</f>
        <v>1432.89071005719</v>
      </c>
      <c r="AC22" s="93" t="n">
        <f aca="false">IF(AC$5&lt;=LastHist,INDEX(H_COR,1,AC$5),AC16+AC17+AC18+AC19+AC20+AC21)</f>
        <v>1500.51157036393</v>
      </c>
      <c r="AD22" s="93" t="n">
        <f aca="false">IF(AD$5&lt;=LastHist,INDEX(H_COR,1,AD$5),AD16+AD17+AD18+AD19+AD20+AD21)</f>
        <v>1672.6711654258</v>
      </c>
      <c r="AE22" s="93" t="n">
        <f aca="false">IF(AE$5&lt;=LastHist,INDEX(H_COR,1,AE$5),AE16+AE17+AE18+AE19+AE20+AE21)</f>
        <v>1856.9838274403</v>
      </c>
      <c r="AF22" s="93" t="n">
        <f aca="false">IF(AF$5&lt;=LastHist,INDEX(H_COR,1,AF$5),AF16+AF17+AF18+AF19+AF20+AF21)</f>
        <v>1856.99553141801</v>
      </c>
      <c r="AG22" s="93" t="n">
        <f aca="false">IF(AG$5&lt;=LastHist,INDEX(H_COR,1,AG$5),AG16+AG17+AG18+AG19+AG20+AG21)</f>
        <v>1801.6043300208</v>
      </c>
      <c r="AI22" s="93" t="n">
        <f aca="false">SUMIF($F$7:$AG$7,AI$7,$F22:$AG22)</f>
        <v>48.2</v>
      </c>
      <c r="AJ22" s="93" t="n">
        <f aca="false">SUMIF($F$7:$AG$7,AJ$7,$F22:$AG22)</f>
        <v>166.2</v>
      </c>
      <c r="AK22" s="93" t="n">
        <f aca="false">SUMIF($F$7:$AG$7,AK$7,$F22:$AG22)</f>
        <v>600.792665539982</v>
      </c>
      <c r="AL22" s="93" t="n">
        <f aca="false">SUMIF($F$7:$AG$7,AL$7,$F22:$AG22)</f>
        <v>1771.66434765774</v>
      </c>
      <c r="AM22" s="93" t="n">
        <f aca="false">SUMIF($F$7:$AG$7,AM$7,$F22:$AG22)</f>
        <v>3840.47297485726</v>
      </c>
      <c r="AN22" s="93" t="n">
        <f aca="false">SUMIF($F$7:$AG$7,AN$7,$F22:$AG22)</f>
        <v>5440.47817035962</v>
      </c>
      <c r="AO22" s="93" t="n">
        <f aca="false">SUMIF($F$7:$AG$7,AO$7,$F22:$AG22)</f>
        <v>7188.2548543049</v>
      </c>
    </row>
    <row r="23" customFormat="false" ht="15" hidden="false" customHeight="false" outlineLevel="0" collapsed="false">
      <c r="A23" s="101" t="s">
        <v>1841</v>
      </c>
      <c r="B23" s="18" t="s">
        <v>400</v>
      </c>
      <c r="C23" s="18" t="s">
        <v>336</v>
      </c>
      <c r="D23" s="18"/>
      <c r="F23" s="119" t="n">
        <f aca="false">IF(F$5&lt;=LastHist,INDEX(H_PD,1,F$5),IF(AND(OpexHold=1,F$7&gt;2028),INDEX(PDpct,1,2028-FYBase),INDEX(PDpct,1,F$7-FYBase))*F11)</f>
        <v>29</v>
      </c>
      <c r="G23" s="119" t="n">
        <f aca="false">IF(G$5&lt;=LastHist,INDEX(H_PD,1,G$5),IF(AND(OpexHold=1,G$7&gt;2028),INDEX(PDpct,1,2028-FYBase),INDEX(PDpct,1,G$7-FYBase))*G11)</f>
        <v>25.6</v>
      </c>
      <c r="H23" s="119" t="n">
        <f aca="false">IF(H$5&lt;=LastHist,INDEX(H_PD,1,H$5),IF(AND(OpexHold=1,H$7&gt;2028),INDEX(PDpct,1,2028-FYBase),INDEX(PDpct,1,H$7-FYBase))*H11)</f>
        <v>31.4</v>
      </c>
      <c r="I23" s="119" t="n">
        <f aca="false">IF(I$5&lt;=LastHist,INDEX(H_PD,1,I$5),IF(AND(OpexHold=1,I$7&gt;2028),INDEX(PDpct,1,2028-FYBase),INDEX(PDpct,1,I$7-FYBase))*I11)</f>
        <v>31.9</v>
      </c>
      <c r="J23" s="119" t="n">
        <f aca="false">IF(J$5&lt;=LastHist,INDEX(H_PD,1,J$5),IF(AND(OpexHold=1,J$7&gt;2028),INDEX(PDpct,1,2028-FYBase),INDEX(PDpct,1,J$7-FYBase))*J11)</f>
        <v>36.5</v>
      </c>
      <c r="K23" s="119" t="n">
        <f aca="false">IF(K$5&lt;=LastHist,INDEX(H_PD,1,K$5),IF(AND(OpexHold=1,K$7&gt;2028),INDEX(PDpct,1,2028-FYBase),INDEX(PDpct,1,K$7-FYBase))*K11)</f>
        <v>42.8</v>
      </c>
      <c r="L23" s="119" t="n">
        <f aca="false">IF(L$5&lt;=LastHist,INDEX(H_PD,1,L$5),IF(AND(OpexHold=1,L$7&gt;2028),INDEX(PDpct,1,2028-FYBase),INDEX(PDpct,1,L$7-FYBase))*L11)</f>
        <v>44.9</v>
      </c>
      <c r="M23" s="119" t="n">
        <f aca="false">IF(M$5&lt;=LastHist,INDEX(H_PD,1,M$5),IF(AND(OpexHold=1,M$7&gt;2028),INDEX(PDpct,1,2028-FYBase),INDEX(PDpct,1,M$7-FYBase))*M11)</f>
        <v>53.1</v>
      </c>
      <c r="N23" s="119" t="n">
        <f aca="false">IF(N$5&lt;=LastHist,INDEX(H_PD,1,N$5),IF(AND(OpexHold=1,N$7&gt;2028),INDEX(PDpct,1,2028-FYBase),INDEX(PDpct,1,N$7-FYBase))*N11)</f>
        <v>67.4</v>
      </c>
      <c r="O23" s="119" t="n">
        <f aca="false">IF(O$5&lt;=LastHist,INDEX(H_PD,1,O$5),IF(AND(OpexHold=1,O$7&gt;2028),INDEX(PDpct,1,2028-FYBase),INDEX(PDpct,1,O$7-FYBase))*O11)</f>
        <v>191</v>
      </c>
      <c r="P23" s="120" t="n">
        <f aca="false">IF(P$5&lt;=LastHist,INDEX(H_PD,1,P$5),IF(AND(OpexHold=1,P$7&gt;2028),INDEX(PDpct,1,2028-FYBase),INDEX(PDpct,1,P$7-FYBase))*P11)</f>
        <v>71.9051710588418</v>
      </c>
      <c r="Q23" s="120" t="n">
        <f aca="false">IF(Q$5&lt;=LastHist,INDEX(H_PD,1,Q$5),IF(AND(OpexHold=1,Q$7&gt;2028),INDEX(PDpct,1,2028-FYBase),INDEX(PDpct,1,Q$7-FYBase))*Q11)</f>
        <v>86.7267459686631</v>
      </c>
      <c r="R23" s="120" t="n">
        <f aca="false">IF(R$5&lt;=LastHist,INDEX(H_PD,1,R$5),IF(AND(OpexHold=1,R$7&gt;2028),INDEX(PDpct,1,2028-FYBase),INDEX(PDpct,1,R$7-FYBase))*R11)</f>
        <v>92.864722292016</v>
      </c>
      <c r="S23" s="120" t="n">
        <f aca="false">IF(S$5&lt;=LastHist,INDEX(H_PD,1,S$5),IF(AND(OpexHold=1,S$7&gt;2028),INDEX(PDpct,1,2028-FYBase),INDEX(PDpct,1,S$7-FYBase))*S11)</f>
        <v>135.798862189738</v>
      </c>
      <c r="T23" s="120" t="n">
        <f aca="false">IF(T$5&lt;=LastHist,INDEX(H_PD,1,T$5),IF(AND(OpexHold=1,T$7&gt;2028),INDEX(PDpct,1,2028-FYBase),INDEX(PDpct,1,T$7-FYBase))*T11)</f>
        <v>187.034466662964</v>
      </c>
      <c r="U23" s="120" t="n">
        <f aca="false">IF(U$5&lt;=LastHist,INDEX(H_PD,1,U$5),IF(AND(OpexHold=1,U$7&gt;2028),INDEX(PDpct,1,2028-FYBase),INDEX(PDpct,1,U$7-FYBase))*U11)</f>
        <v>243.12832891042</v>
      </c>
      <c r="V23" s="120" t="n">
        <f aca="false">IF(V$5&lt;=LastHist,INDEX(H_PD,1,V$5),IF(AND(OpexHold=1,V$7&gt;2028),INDEX(PDpct,1,2028-FYBase),INDEX(PDpct,1,V$7-FYBase))*V11)</f>
        <v>294.901122355074</v>
      </c>
      <c r="W23" s="120" t="n">
        <f aca="false">IF(W$5&lt;=LastHist,INDEX(H_PD,1,W$5),IF(AND(OpexHold=1,W$7&gt;2028),INDEX(PDpct,1,2028-FYBase),INDEX(PDpct,1,W$7-FYBase))*W11)</f>
        <v>365.371509439083</v>
      </c>
      <c r="X23" s="120" t="n">
        <f aca="false">IF(X$5&lt;=LastHist,INDEX(H_PD,1,X$5),IF(AND(OpexHold=1,X$7&gt;2028),INDEX(PDpct,1,2028-FYBase),INDEX(PDpct,1,X$7-FYBase))*X11)</f>
        <v>414.410087850321</v>
      </c>
      <c r="Y23" s="120" t="n">
        <f aca="false">IF(Y$5&lt;=LastHist,INDEX(H_PD,1,Y$5),IF(AND(OpexHold=1,Y$7&gt;2028),INDEX(PDpct,1,2028-FYBase),INDEX(PDpct,1,Y$7-FYBase))*Y11)</f>
        <v>447.308025163001</v>
      </c>
      <c r="Z23" s="120" t="n">
        <f aca="false">IF(Z$5&lt;=LastHist,INDEX(H_PD,1,Z$5),IF(AND(OpexHold=1,Z$7&gt;2028),INDEX(PDpct,1,2028-FYBase),INDEX(PDpct,1,Z$7-FYBase))*Z11)</f>
        <v>446.854362019384</v>
      </c>
      <c r="AA23" s="120" t="n">
        <f aca="false">IF(AA$5&lt;=LastHist,INDEX(H_PD,1,AA$5),IF(AND(OpexHold=1,AA$7&gt;2028),INDEX(PDpct,1,2028-FYBase),INDEX(PDpct,1,AA$7-FYBase))*AA11)</f>
        <v>502.010498626866</v>
      </c>
      <c r="AB23" s="120" t="n">
        <f aca="false">IF(AB$5&lt;=LastHist,INDEX(H_PD,1,AB$5),IF(AND(OpexHold=1,AB$7&gt;2028),INDEX(PDpct,1,2028-FYBase),INDEX(PDpct,1,AB$7-FYBase))*AB11)</f>
        <v>555.146970066718</v>
      </c>
      <c r="AC23" s="120" t="n">
        <f aca="false">IF(AC$5&lt;=LastHist,INDEX(H_PD,1,AC$5),IF(AND(OpexHold=1,AC$7&gt;2028),INDEX(PDpct,1,2028-FYBase),INDEX(PDpct,1,AC$7-FYBase))*AC11)</f>
        <v>609.886120236795</v>
      </c>
      <c r="AD23" s="120" t="n">
        <f aca="false">IF(AD$5&lt;=LastHist,INDEX(H_PD,1,AD$5),IF(AND(OpexHold=1,AD$7&gt;2028),INDEX(PDpct,1,2028-FYBase),INDEX(PDpct,1,AD$7-FYBase))*AD11)</f>
        <v>584.004521059605</v>
      </c>
      <c r="AE23" s="120" t="n">
        <f aca="false">IF(AE$5&lt;=LastHist,INDEX(H_PD,1,AE$5),IF(AND(OpexHold=1,AE$7&gt;2028),INDEX(PDpct,1,2028-FYBase),INDEX(PDpct,1,AE$7-FYBase))*AE11)</f>
        <v>647.731177440296</v>
      </c>
      <c r="AF23" s="120" t="n">
        <f aca="false">IF(AF$5&lt;=LastHist,INDEX(H_PD,1,AF$5),IF(AND(OpexHold=1,AF$7&gt;2028),INDEX(PDpct,1,2028-FYBase),INDEX(PDpct,1,AF$7-FYBase))*AF11)</f>
        <v>643.957481418006</v>
      </c>
      <c r="AG23" s="120" t="n">
        <f aca="false">IF(AG$5&lt;=LastHist,INDEX(H_PD,1,AG$5),IF(AND(OpexHold=1,AG$7&gt;2028),INDEX(PDpct,1,2028-FYBase),INDEX(PDpct,1,AG$7-FYBase))*AG11)</f>
        <v>650.85797415803</v>
      </c>
      <c r="AI23" s="120" t="n">
        <f aca="false">SUMIF($F$7:$AG$7,AI$7,$F23:$AG23)</f>
        <v>117.9</v>
      </c>
      <c r="AJ23" s="120" t="n">
        <f aca="false">SUMIF($F$7:$AG$7,AJ$7,$F23:$AG23)</f>
        <v>177.3</v>
      </c>
      <c r="AK23" s="120" t="n">
        <f aca="false">SUMIF($F$7:$AG$7,AK$7,$F23:$AG23)</f>
        <v>417.031917027505</v>
      </c>
      <c r="AL23" s="120" t="n">
        <f aca="false">SUMIF($F$7:$AG$7,AL$7,$F23:$AG23)</f>
        <v>658.826380055138</v>
      </c>
      <c r="AM23" s="120" t="n">
        <f aca="false">SUMIF($F$7:$AG$7,AM$7,$F23:$AG23)</f>
        <v>1521.99074480748</v>
      </c>
      <c r="AN23" s="120" t="n">
        <f aca="false">SUMIF($F$7:$AG$7,AN$7,$F23:$AG23)</f>
        <v>2113.89795094976</v>
      </c>
      <c r="AO23" s="120" t="n">
        <f aca="false">SUMIF($F$7:$AG$7,AO$7,$F23:$AG23)</f>
        <v>2526.55115407594</v>
      </c>
    </row>
    <row r="24" customFormat="false" ht="15" hidden="false" customHeight="false" outlineLevel="0" collapsed="false">
      <c r="A24" s="101" t="s">
        <v>1842</v>
      </c>
      <c r="B24" s="18" t="s">
        <v>400</v>
      </c>
      <c r="C24" s="18" t="s">
        <v>336</v>
      </c>
      <c r="D24" s="18"/>
      <c r="F24" s="119" t="n">
        <f aca="false">IF(F$5&lt;=LastHist,INDEX(H_SGA,1,F$5),IF(AND(OpexHold=1,F$7&gt;2028),INDEX(SGApct,1,2028-FYBase),INDEX(SGApct,1,F$7-FYBase))*F11)</f>
        <v>44.2</v>
      </c>
      <c r="G24" s="119" t="n">
        <f aca="false">IF(G$5&lt;=LastHist,INDEX(H_SGA,1,G$5),IF(AND(OpexHold=1,G$7&gt;2028),INDEX(SGApct,1,2028-FYBase),INDEX(SGApct,1,G$7-FYBase))*G11)</f>
        <v>39</v>
      </c>
      <c r="H24" s="119" t="n">
        <f aca="false">IF(H$5&lt;=LastHist,INDEX(H_SGA,1,H$5),IF(AND(OpexHold=1,H$7&gt;2028),INDEX(SGApct,1,2028-FYBase),INDEX(SGApct,1,H$7-FYBase))*H11)</f>
        <v>47.9</v>
      </c>
      <c r="I24" s="119" t="n">
        <f aca="false">IF(I$5&lt;=LastHist,INDEX(H_SGA,1,I$5),IF(AND(OpexHold=1,I$7&gt;2028),INDEX(SGApct,1,2028-FYBase),INDEX(SGApct,1,I$7-FYBase))*I11)</f>
        <v>85.4</v>
      </c>
      <c r="J24" s="119" t="n">
        <f aca="false">IF(J$5&lt;=LastHist,INDEX(H_SGA,1,J$5),IF(AND(OpexHold=1,J$7&gt;2028),INDEX(SGApct,1,2028-FYBase),INDEX(SGApct,1,J$7-FYBase))*J11)</f>
        <v>60.9</v>
      </c>
      <c r="K24" s="119" t="n">
        <f aca="false">IF(K$5&lt;=LastHist,INDEX(H_SGA,1,K$5),IF(AND(OpexHold=1,K$7&gt;2028),INDEX(SGApct,1,2028-FYBase),INDEX(SGApct,1,K$7-FYBase))*K11)</f>
        <v>68.2</v>
      </c>
      <c r="L24" s="119" t="n">
        <f aca="false">IF(L$5&lt;=LastHist,INDEX(H_SGA,1,L$5),IF(AND(OpexHold=1,L$7&gt;2028),INDEX(SGApct,1,2028-FYBase),INDEX(SGApct,1,L$7-FYBase))*L11)</f>
        <v>89.5</v>
      </c>
      <c r="M24" s="119" t="n">
        <f aca="false">IF(M$5&lt;=LastHist,INDEX(H_SGA,1,M$5),IF(AND(OpexHold=1,M$7&gt;2028),INDEX(SGApct,1,2028-FYBase),INDEX(SGApct,1,M$7-FYBase))*M11)</f>
        <v>159.9</v>
      </c>
      <c r="N24" s="119" t="n">
        <f aca="false">IF(N$5&lt;=LastHist,INDEX(H_SGA,1,N$5),IF(AND(OpexHold=1,N$7&gt;2028),INDEX(SGApct,1,2028-FYBase),INDEX(SGApct,1,N$7-FYBase))*N11)</f>
        <v>143.8</v>
      </c>
      <c r="O24" s="119" t="n">
        <f aca="false">IF(O$5&lt;=LastHist,INDEX(H_SGA,1,O$5),IF(AND(OpexHold=1,O$7&gt;2028),INDEX(SGApct,1,2028-FYBase),INDEX(SGApct,1,O$7-FYBase))*O11)</f>
        <v>173.9</v>
      </c>
      <c r="P24" s="120" t="n">
        <f aca="false">IF(P$5&lt;=LastHist,INDEX(H_SGA,1,P$5),IF(AND(OpexHold=1,P$7&gt;2028),INDEX(SGApct,1,2028-FYBase),INDEX(SGApct,1,P$7-FYBase))*P11)</f>
        <v>143.810342117684</v>
      </c>
      <c r="Q24" s="120" t="n">
        <f aca="false">IF(Q$5&lt;=LastHist,INDEX(H_SGA,1,Q$5),IF(AND(OpexHold=1,Q$7&gt;2028),INDEX(SGApct,1,2028-FYBase),INDEX(SGApct,1,Q$7-FYBase))*Q11)</f>
        <v>173.453491937326</v>
      </c>
      <c r="R24" s="120" t="n">
        <f aca="false">IF(R$5&lt;=LastHist,INDEX(H_SGA,1,R$5),IF(AND(OpexHold=1,R$7&gt;2028),INDEX(SGApct,1,2028-FYBase),INDEX(SGApct,1,R$7-FYBase))*R11)</f>
        <v>144.456234676469</v>
      </c>
      <c r="S24" s="120" t="n">
        <f aca="false">IF(S$5&lt;=LastHist,INDEX(H_SGA,1,S$5),IF(AND(OpexHold=1,S$7&gt;2028),INDEX(SGApct,1,2028-FYBase),INDEX(SGApct,1,S$7-FYBase))*S11)</f>
        <v>211.24267451737</v>
      </c>
      <c r="T24" s="120" t="n">
        <f aca="false">IF(T$5&lt;=LastHist,INDEX(H_SGA,1,T$5),IF(AND(OpexHold=1,T$7&gt;2028),INDEX(SGApct,1,2028-FYBase),INDEX(SGApct,1,T$7-FYBase))*T11)</f>
        <v>290.942503697944</v>
      </c>
      <c r="U24" s="120" t="n">
        <f aca="false">IF(U$5&lt;=LastHist,INDEX(H_SGA,1,U$5),IF(AND(OpexHold=1,U$7&gt;2028),INDEX(SGApct,1,2028-FYBase),INDEX(SGApct,1,U$7-FYBase))*U11)</f>
        <v>378.199622749542</v>
      </c>
      <c r="V24" s="120" t="n">
        <f aca="false">IF(V$5&lt;=LastHist,INDEX(H_SGA,1,V$5),IF(AND(OpexHold=1,V$7&gt;2028),INDEX(SGApct,1,2028-FYBase),INDEX(SGApct,1,V$7-FYBase))*V11)</f>
        <v>368.626402943843</v>
      </c>
      <c r="W24" s="120" t="n">
        <f aca="false">IF(W$5&lt;=LastHist,INDEX(H_SGA,1,W$5),IF(AND(OpexHold=1,W$7&gt;2028),INDEX(SGApct,1,2028-FYBase),INDEX(SGApct,1,W$7-FYBase))*W11)</f>
        <v>456.714386798854</v>
      </c>
      <c r="X24" s="120" t="n">
        <f aca="false">IF(X$5&lt;=LastHist,INDEX(H_SGA,1,X$5),IF(AND(OpexHold=1,X$7&gt;2028),INDEX(SGApct,1,2028-FYBase),INDEX(SGApct,1,X$7-FYBase))*X11)</f>
        <v>518.012609812901</v>
      </c>
      <c r="Y24" s="120" t="n">
        <f aca="false">IF(Y$5&lt;=LastHist,INDEX(H_SGA,1,Y$5),IF(AND(OpexHold=1,Y$7&gt;2028),INDEX(SGApct,1,2028-FYBase),INDEX(SGApct,1,Y$7-FYBase))*Y11)</f>
        <v>559.135031453751</v>
      </c>
      <c r="Z24" s="120" t="n">
        <f aca="false">IF(Z$5&lt;=LastHist,INDEX(H_SGA,1,Z$5),IF(AND(OpexHold=1,Z$7&gt;2028),INDEX(SGApct,1,2028-FYBase),INDEX(SGApct,1,Z$7-FYBase))*Z11)</f>
        <v>510.690699450724</v>
      </c>
      <c r="AA24" s="120" t="n">
        <f aca="false">IF(AA$5&lt;=LastHist,INDEX(H_SGA,1,AA$5),IF(AND(OpexHold=1,AA$7&gt;2028),INDEX(SGApct,1,2028-FYBase),INDEX(SGApct,1,AA$7-FYBase))*AA11)</f>
        <v>573.72628414499</v>
      </c>
      <c r="AB24" s="120" t="n">
        <f aca="false">IF(AB$5&lt;=LastHist,INDEX(H_SGA,1,AB$5),IF(AND(OpexHold=1,AB$7&gt;2028),INDEX(SGApct,1,2028-FYBase),INDEX(SGApct,1,AB$7-FYBase))*AB11)</f>
        <v>634.453680076249</v>
      </c>
      <c r="AC24" s="120" t="n">
        <f aca="false">IF(AC$5&lt;=LastHist,INDEX(H_SGA,1,AC$5),IF(AND(OpexHold=1,AC$7&gt;2028),INDEX(SGApct,1,2028-FYBase),INDEX(SGApct,1,AC$7-FYBase))*AC11)</f>
        <v>697.012708842051</v>
      </c>
      <c r="AD24" s="120" t="n">
        <f aca="false">IF(AD$5&lt;=LastHist,INDEX(H_SGA,1,AD$5),IF(AND(OpexHold=1,AD$7&gt;2028),INDEX(SGApct,1,2028-FYBase),INDEX(SGApct,1,AD$7-FYBase))*AD11)</f>
        <v>681.338607902872</v>
      </c>
      <c r="AE24" s="120" t="n">
        <f aca="false">IF(AE$5&lt;=LastHist,INDEX(H_SGA,1,AE$5),IF(AND(OpexHold=1,AE$7&gt;2028),INDEX(SGApct,1,2028-FYBase),INDEX(SGApct,1,AE$7-FYBase))*AE11)</f>
        <v>755.686373680346</v>
      </c>
      <c r="AF24" s="120" t="n">
        <f aca="false">IF(AF$5&lt;=LastHist,INDEX(H_SGA,1,AF$5),IF(AND(OpexHold=1,AF$7&gt;2028),INDEX(SGApct,1,2028-FYBase),INDEX(SGApct,1,AF$7-FYBase))*AF11)</f>
        <v>751.283728321007</v>
      </c>
      <c r="AG24" s="120" t="n">
        <f aca="false">IF(AG$5&lt;=LastHist,INDEX(H_SGA,1,AG$5),IF(AND(OpexHold=1,AG$7&gt;2028),INDEX(SGApct,1,2028-FYBase),INDEX(SGApct,1,AG$7-FYBase))*AG11)</f>
        <v>759.334303184368</v>
      </c>
      <c r="AI24" s="120" t="n">
        <f aca="false">SUMIF($F$7:$AG$7,AI$7,$F24:$AG24)</f>
        <v>216.5</v>
      </c>
      <c r="AJ24" s="120" t="n">
        <f aca="false">SUMIF($F$7:$AG$7,AJ$7,$F24:$AG24)</f>
        <v>378.5</v>
      </c>
      <c r="AK24" s="120" t="n">
        <f aca="false">SUMIF($F$7:$AG$7,AK$7,$F24:$AG24)</f>
        <v>634.96383405501</v>
      </c>
      <c r="AL24" s="120" t="n">
        <f aca="false">SUMIF($F$7:$AG$7,AL$7,$F24:$AG24)</f>
        <v>1024.84103564133</v>
      </c>
      <c r="AM24" s="120" t="n">
        <f aca="false">SUMIF($F$7:$AG$7,AM$7,$F24:$AG24)</f>
        <v>1902.48843100935</v>
      </c>
      <c r="AN24" s="120" t="n">
        <f aca="false">SUMIF($F$7:$AG$7,AN$7,$F24:$AG24)</f>
        <v>2415.88337251401</v>
      </c>
      <c r="AO24" s="120" t="n">
        <f aca="false">SUMIF($F$7:$AG$7,AO$7,$F24:$AG24)</f>
        <v>2947.64301308859</v>
      </c>
    </row>
    <row r="26" customFormat="false" ht="15" hidden="false" customHeight="false" outlineLevel="0" collapsed="false">
      <c r="A26" s="48" t="s">
        <v>1843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</row>
    <row r="27" customFormat="false" ht="15" hidden="false" customHeight="false" outlineLevel="0" collapsed="false">
      <c r="A27" s="101" t="s">
        <v>1844</v>
      </c>
      <c r="B27" s="18" t="s">
        <v>400</v>
      </c>
      <c r="C27" s="18" t="s">
        <v>385</v>
      </c>
      <c r="D27" s="18"/>
      <c r="F27" s="119" t="n">
        <f aca="false">IF(F$5&lt;=LastHist,0,PeerMarginOn*(F$7&gt;=PeerMarginYr)*MAX(0,F11-F22-F23-F24-MarginPeer*F11))</f>
        <v>0</v>
      </c>
      <c r="G27" s="119" t="n">
        <f aca="false">IF(G$5&lt;=LastHist,0,PeerMarginOn*(G$7&gt;=PeerMarginYr)*MAX(0,G11-G22-G23-G24-MarginPeer*G11))</f>
        <v>0</v>
      </c>
      <c r="H27" s="119" t="n">
        <f aca="false">IF(H$5&lt;=LastHist,0,PeerMarginOn*(H$7&gt;=PeerMarginYr)*MAX(0,H11-H22-H23-H24-MarginPeer*H11))</f>
        <v>0</v>
      </c>
      <c r="I27" s="119" t="n">
        <f aca="false">IF(I$5&lt;=LastHist,0,PeerMarginOn*(I$7&gt;=PeerMarginYr)*MAX(0,I11-I22-I23-I24-MarginPeer*I11))</f>
        <v>0</v>
      </c>
      <c r="J27" s="119" t="n">
        <f aca="false">IF(J$5&lt;=LastHist,0,PeerMarginOn*(J$7&gt;=PeerMarginYr)*MAX(0,J11-J22-J23-J24-MarginPeer*J11))</f>
        <v>0</v>
      </c>
      <c r="K27" s="119" t="n">
        <f aca="false">IF(K$5&lt;=LastHist,0,PeerMarginOn*(K$7&gt;=PeerMarginYr)*MAX(0,K11-K22-K23-K24-MarginPeer*K11))</f>
        <v>0</v>
      </c>
      <c r="L27" s="119" t="n">
        <f aca="false">IF(L$5&lt;=LastHist,0,PeerMarginOn*(L$7&gt;=PeerMarginYr)*MAX(0,L11-L22-L23-L24-MarginPeer*L11))</f>
        <v>0</v>
      </c>
      <c r="M27" s="119" t="n">
        <f aca="false">IF(M$5&lt;=LastHist,0,PeerMarginOn*(M$7&gt;=PeerMarginYr)*MAX(0,M11-M22-M23-M24-MarginPeer*M11))</f>
        <v>0</v>
      </c>
      <c r="N27" s="119" t="n">
        <f aca="false">IF(N$5&lt;=LastHist,0,PeerMarginOn*(N$7&gt;=PeerMarginYr)*MAX(0,N11-N22-N23-N24-MarginPeer*N11))</f>
        <v>0</v>
      </c>
      <c r="O27" s="119" t="n">
        <f aca="false">IF(O$5&lt;=LastHist,0,PeerMarginOn*(O$7&gt;=PeerMarginYr)*MAX(0,O11-O22-O23-O24-MarginPeer*O11))</f>
        <v>0</v>
      </c>
      <c r="P27" s="120" t="n">
        <f aca="false">IF(P$5&lt;=LastHist,0,PeerMarginOn*(P$7&gt;=PeerMarginYr)*MAX(0,P11-P22-P23-P24-MarginPeer*P11))</f>
        <v>0</v>
      </c>
      <c r="Q27" s="120" t="n">
        <f aca="false">IF(Q$5&lt;=LastHist,0,PeerMarginOn*(Q$7&gt;=PeerMarginYr)*MAX(0,Q11-Q22-Q23-Q24-MarginPeer*Q11))</f>
        <v>0</v>
      </c>
      <c r="R27" s="120" t="n">
        <f aca="false">IF(R$5&lt;=LastHist,0,PeerMarginOn*(R$7&gt;=PeerMarginYr)*MAX(0,R11-R22-R23-R24-MarginPeer*R11))</f>
        <v>0</v>
      </c>
      <c r="S27" s="120" t="n">
        <f aca="false">IF(S$5&lt;=LastHist,0,PeerMarginOn*(S$7&gt;=PeerMarginYr)*MAX(0,S11-S22-S23-S24-MarginPeer*S11))</f>
        <v>0</v>
      </c>
      <c r="T27" s="120" t="n">
        <f aca="false">IF(T$5&lt;=LastHist,0,PeerMarginOn*(T$7&gt;=PeerMarginYr)*MAX(0,T11-T22-T23-T24-MarginPeer*T11))</f>
        <v>0</v>
      </c>
      <c r="U27" s="120" t="n">
        <f aca="false">IF(U$5&lt;=LastHist,0,PeerMarginOn*(U$7&gt;=PeerMarginYr)*MAX(0,U11-U22-U23-U24-MarginPeer*U11))</f>
        <v>0</v>
      </c>
      <c r="V27" s="120" t="n">
        <f aca="false">IF(V$5&lt;=LastHist,0,PeerMarginOn*(V$7&gt;=PeerMarginYr)*MAX(0,V11-V22-V23-V24-MarginPeer*V11))</f>
        <v>0</v>
      </c>
      <c r="W27" s="120" t="n">
        <f aca="false">IF(W$5&lt;=LastHist,0,PeerMarginOn*(W$7&gt;=PeerMarginYr)*MAX(0,W11-W22-W23-W24-MarginPeer*W11))</f>
        <v>0</v>
      </c>
      <c r="X27" s="120" t="n">
        <f aca="false">IF(X$5&lt;=LastHist,0,PeerMarginOn*(X$7&gt;=PeerMarginYr)*MAX(0,X11-X22-X23-X24-MarginPeer*X11))</f>
        <v>0</v>
      </c>
      <c r="Y27" s="120" t="n">
        <f aca="false">IF(Y$5&lt;=LastHist,0,PeerMarginOn*(Y$7&gt;=PeerMarginYr)*MAX(0,Y11-Y22-Y23-Y24-MarginPeer*Y11))</f>
        <v>0</v>
      </c>
      <c r="Z27" s="120" t="n">
        <f aca="false">IF(Z$5&lt;=LastHist,0,PeerMarginOn*(Z$7&gt;=PeerMarginYr)*MAX(0,Z11-Z22-Z23-Z24-MarginPeer*Z11))</f>
        <v>0</v>
      </c>
      <c r="AA27" s="120" t="n">
        <f aca="false">IF(AA$5&lt;=LastHist,0,PeerMarginOn*(AA$7&gt;=PeerMarginYr)*MAX(0,AA11-AA22-AA23-AA24-MarginPeer*AA11))</f>
        <v>0</v>
      </c>
      <c r="AB27" s="120" t="n">
        <f aca="false">IF(AB$5&lt;=LastHist,0,PeerMarginOn*(AB$7&gt;=PeerMarginYr)*MAX(0,AB11-AB22-AB23-AB24-MarginPeer*AB11))</f>
        <v>0</v>
      </c>
      <c r="AC27" s="120" t="n">
        <f aca="false">IF(AC$5&lt;=LastHist,0,PeerMarginOn*(AC$7&gt;=PeerMarginYr)*MAX(0,AC11-AC22-AC23-AC24-MarginPeer*AC11))</f>
        <v>0</v>
      </c>
      <c r="AD27" s="120" t="n">
        <f aca="false">IF(AD$5&lt;=LastHist,0,PeerMarginOn*(AD$7&gt;=PeerMarginYr)*MAX(0,AD11-AD22-AD23-AD24-MarginPeer*AD11))</f>
        <v>0</v>
      </c>
      <c r="AE27" s="120" t="n">
        <f aca="false">IF(AE$5&lt;=LastHist,0,PeerMarginOn*(AE$7&gt;=PeerMarginYr)*MAX(0,AE11-AE22-AE23-AE24-MarginPeer*AE11))</f>
        <v>0</v>
      </c>
      <c r="AF27" s="120" t="n">
        <f aca="false">IF(AF$5&lt;=LastHist,0,PeerMarginOn*(AF$7&gt;=PeerMarginYr)*MAX(0,AF11-AF22-AF23-AF24-MarginPeer*AF11))</f>
        <v>0</v>
      </c>
      <c r="AG27" s="120" t="n">
        <f aca="false">IF(AG$5&lt;=LastHist,0,PeerMarginOn*(AG$7&gt;=PeerMarginYr)*MAX(0,AG11-AG22-AG23-AG24-MarginPeer*AG11))</f>
        <v>0</v>
      </c>
      <c r="AI27" s="120" t="n">
        <f aca="false">SUMIF($F$7:$AG$7,AI$7,$F27:$AG27)</f>
        <v>0</v>
      </c>
      <c r="AJ27" s="120" t="n">
        <f aca="false">SUMIF($F$7:$AG$7,AJ$7,$F27:$AG27)</f>
        <v>0</v>
      </c>
      <c r="AK27" s="120" t="n">
        <f aca="false">SUMIF($F$7:$AG$7,AK$7,$F27:$AG27)</f>
        <v>0</v>
      </c>
      <c r="AL27" s="120" t="n">
        <f aca="false">SUMIF($F$7:$AG$7,AL$7,$F27:$AG27)</f>
        <v>0</v>
      </c>
      <c r="AM27" s="120" t="n">
        <f aca="false">SUMIF($F$7:$AG$7,AM$7,$F27:$AG27)</f>
        <v>0</v>
      </c>
      <c r="AN27" s="120" t="n">
        <f aca="false">SUMIF($F$7:$AG$7,AN$7,$F27:$AG27)</f>
        <v>0</v>
      </c>
      <c r="AO27" s="120" t="n">
        <f aca="false">SUMIF($F$7:$AG$7,AO$7,$F27:$AG27)</f>
        <v>0</v>
      </c>
    </row>
    <row r="28" customFormat="false" ht="15" hidden="false" customHeight="false" outlineLevel="0" collapsed="false">
      <c r="A28" s="3" t="s">
        <v>1845</v>
      </c>
      <c r="B28" s="18" t="s">
        <v>400</v>
      </c>
      <c r="C28" s="18" t="s">
        <v>336</v>
      </c>
      <c r="D28" s="18" t="s">
        <v>1846</v>
      </c>
      <c r="F28" s="121" t="n">
        <f aca="false">IF(F$5&lt;=LastHist,INDEX(H_EBITDA,1,F$5),F11-F22-F23-F24-F27)</f>
        <v>-70.9</v>
      </c>
      <c r="G28" s="121" t="n">
        <f aca="false">IF(G$5&lt;=LastHist,INDEX(H_EBITDA,1,G$5),G11-G22-G23-G24-G27)</f>
        <v>-58.1</v>
      </c>
      <c r="H28" s="121" t="n">
        <f aca="false">IF(H$5&lt;=LastHist,INDEX(H_EBITDA,1,H$5),H11-H22-H23-H24-H27)</f>
        <v>-45.9</v>
      </c>
      <c r="I28" s="121" t="n">
        <f aca="false">IF(I$5&lt;=LastHist,INDEX(H_EBITDA,1,I$5),I11-I22-I23-I24-I27)</f>
        <v>-63.9</v>
      </c>
      <c r="J28" s="121" t="n">
        <f aca="false">IF(J$5&lt;=LastHist,INDEX(H_EBITDA,1,J$5),J11-J22-J23-J24-J27)</f>
        <v>-53.7</v>
      </c>
      <c r="K28" s="121" t="n">
        <f aca="false">IF(K$5&lt;=LastHist,INDEX(H_EBITDA,1,K$5),K11-K22-K23-K24-K27)</f>
        <v>-21</v>
      </c>
      <c r="L28" s="121" t="n">
        <f aca="false">IF(L$5&lt;=LastHist,INDEX(H_EBITDA,1,L$5),L11-L22-L23-L24-L27)</f>
        <v>-5.2</v>
      </c>
      <c r="M28" s="121" t="n">
        <f aca="false">IF(M$5&lt;=LastHist,INDEX(H_EBITDA,1,M$5),M11-M22-M23-M24-M27)</f>
        <v>15</v>
      </c>
      <c r="N28" s="121" t="n">
        <f aca="false">IF(N$5&lt;=LastHist,INDEX(H_EBITDA,1,N$5),N11-N22-N23-N24-N27)</f>
        <v>129.5</v>
      </c>
      <c r="O28" s="121" t="n">
        <f aca="false">IF(O$5&lt;=LastHist,INDEX(H_EBITDA,1,O$5),O11-O22-O23-O24-O27)</f>
        <v>236.2</v>
      </c>
      <c r="P28" s="93" t="n">
        <f aca="false">IF(P$5&lt;=LastHist,INDEX(H_EBITDA,1,P$5),P11-P22-P23-P24-P27)</f>
        <v>273.751676063435</v>
      </c>
      <c r="Q28" s="93" t="n">
        <f aca="false">IF(Q$5&lt;=LastHist,INDEX(H_EBITDA,1,Q$5),Q11-Q22-Q23-Q24-Q27)</f>
        <v>329.068243927749</v>
      </c>
      <c r="R28" s="93" t="n">
        <f aca="false">IF(R$5&lt;=LastHist,INDEX(H_EBITDA,1,R$5),R11-R22-R23-R24-R27)</f>
        <v>527.80278514418</v>
      </c>
      <c r="S28" s="93" t="n">
        <f aca="false">IF(S$5&lt;=LastHist,INDEX(H_EBITDA,1,S$5),S11-S22-S23-S24-S27)</f>
        <v>779.280635319301</v>
      </c>
      <c r="T28" s="93" t="n">
        <f aca="false">IF(T$5&lt;=LastHist,INDEX(H_EBITDA,1,T$5),T11-T22-T23-T24-T27)</f>
        <v>1094.10843210106</v>
      </c>
      <c r="U28" s="93" t="n">
        <f aca="false">IF(U$5&lt;=LastHist,INDEX(H_EBITDA,1,U$5),U11-U22-U23-U24-U27)</f>
        <v>1463.76949580501</v>
      </c>
      <c r="V28" s="93" t="n">
        <f aca="false">IF(V$5&lt;=LastHist,INDEX(H_EBITDA,1,V$5),V11-V22-V23-V24-V27)</f>
        <v>2224.68943588939</v>
      </c>
      <c r="W28" s="93" t="n">
        <f aca="false">IF(W$5&lt;=LastHist,INDEX(H_EBITDA,1,W$5),W11-W22-W23-W24-W27)</f>
        <v>2818.07580732617</v>
      </c>
      <c r="X28" s="93" t="n">
        <f aca="false">IF(X$5&lt;=LastHist,INDEX(H_EBITDA,1,X$5),X11-X22-X23-X24-X27)</f>
        <v>3202.71164094675</v>
      </c>
      <c r="Y28" s="93" t="n">
        <f aca="false">IF(Y$5&lt;=LastHist,INDEX(H_EBITDA,1,Y$5),Y11-Y22-Y23-Y24-Y27)</f>
        <v>3514.45527525708</v>
      </c>
      <c r="Z28" s="93" t="n">
        <f aca="false">IF(Z$5&lt;=LastHist,INDEX(H_EBITDA,1,Z$5),Z11-Z22-Z23-Z24-Z27)</f>
        <v>4213.28295483418</v>
      </c>
      <c r="AA28" s="93" t="n">
        <f aca="false">IF(AA$5&lt;=LastHist,INDEX(H_EBITDA,1,AA$5),AA11-AA22-AA23-AA24-AA27)</f>
        <v>4801.57160593178</v>
      </c>
      <c r="AB28" s="93" t="n">
        <f aca="false">IF(AB$5&lt;=LastHist,INDEX(H_EBITDA,1,AB$5),AB11-AB22-AB23-AB24-AB27)</f>
        <v>5308.17964075296</v>
      </c>
      <c r="AC28" s="93" t="n">
        <f aca="false">IF(AC$5&lt;=LastHist,INDEX(H_EBITDA,1,AC$5),AC11-AC22-AC23-AC24-AC27)</f>
        <v>5905.24846108286</v>
      </c>
      <c r="AD28" s="93" t="n">
        <f aca="false">IF(AD$5&lt;=LastHist,INDEX(H_EBITDA,1,AD$5),AD11-AD22-AD23-AD24-AD27)</f>
        <v>6795.39438993847</v>
      </c>
      <c r="AE28" s="93" t="n">
        <f aca="false">IF(AE$5&lt;=LastHist,INDEX(H_EBITDA,1,AE$5),AE11-AE22-AE23-AE24-AE27)</f>
        <v>7535.118245444</v>
      </c>
      <c r="AF28" s="93" t="n">
        <f aca="false">IF(AF$5&lt;=LastHist,INDEX(H_EBITDA,1,AF$5),AF11-AF22-AF23-AF24-AF27)</f>
        <v>7480.38794914308</v>
      </c>
      <c r="AG28" s="93" t="n">
        <f aca="false">IF(AG$5&lt;=LastHist,INDEX(H_EBITDA,1,AG$5),AG11-AG22-AG23-AG24-AG27)</f>
        <v>7635.83629527064</v>
      </c>
      <c r="AI28" s="93" t="n">
        <f aca="false">SUMIF($F$7:$AG$7,AI$7,$F28:$AG28)</f>
        <v>-238.8</v>
      </c>
      <c r="AJ28" s="93" t="n">
        <f aca="false">SUMIF($F$7:$AG$7,AJ$7,$F28:$AG28)</f>
        <v>-64.9</v>
      </c>
      <c r="AK28" s="93" t="n">
        <f aca="false">SUMIF($F$7:$AG$7,AK$7,$F28:$AG28)</f>
        <v>968.519919991184</v>
      </c>
      <c r="AL28" s="93" t="n">
        <f aca="false">SUMIF($F$7:$AG$7,AL$7,$F28:$AG28)</f>
        <v>3864.96134836955</v>
      </c>
      <c r="AM28" s="93" t="n">
        <f aca="false">SUMIF($F$7:$AG$7,AM$7,$F28:$AG28)</f>
        <v>11759.9321594194</v>
      </c>
      <c r="AN28" s="93" t="n">
        <f aca="false">SUMIF($F$7:$AG$7,AN$7,$F28:$AG28)</f>
        <v>20228.2826626018</v>
      </c>
      <c r="AO28" s="93" t="n">
        <f aca="false">SUMIF($F$7:$AG$7,AO$7,$F28:$AG28)</f>
        <v>29446.7368797962</v>
      </c>
    </row>
    <row r="29" customFormat="false" ht="15" hidden="false" customHeight="false" outlineLevel="0" collapsed="false">
      <c r="A29" s="101" t="s">
        <v>1847</v>
      </c>
      <c r="B29" s="18" t="s">
        <v>388</v>
      </c>
      <c r="C29" s="18"/>
      <c r="D29" s="18"/>
      <c r="F29" s="113" t="n">
        <f aca="false">IF(F11&lt;&gt;0,F28/F11,0)</f>
        <v>-6.21929824561404</v>
      </c>
      <c r="G29" s="113" t="n">
        <f aca="false">IF(G11&lt;&gt;0,G28/G11,0)</f>
        <v>-4.00689655172414</v>
      </c>
      <c r="H29" s="113" t="n">
        <f aca="false">IF(H11&lt;&gt;0,H28/H11,0)</f>
        <v>-1.42990654205607</v>
      </c>
      <c r="I29" s="113" t="n">
        <f aca="false">IF(I11&lt;&gt;0,I28/I11,0)</f>
        <v>-1.81534090909091</v>
      </c>
      <c r="J29" s="113" t="n">
        <f aca="false">IF(J11&lt;&gt;0,J28/J11,0)</f>
        <v>-1.05500982318271</v>
      </c>
      <c r="K29" s="113" t="n">
        <f aca="false">IF(K11&lt;&gt;0,K28/K11,0)</f>
        <v>-0.199809705042816</v>
      </c>
      <c r="L29" s="113" t="n">
        <f aca="false">IF(L11&lt;&gt;0,L28/L11,0)</f>
        <v>-0.0355920602327173</v>
      </c>
      <c r="M29" s="113" t="n">
        <f aca="false">IF(M11&lt;&gt;0,M28/M11,0)</f>
        <v>0.0658761528326746</v>
      </c>
      <c r="N29" s="113" t="n">
        <f aca="false">IF(N11&lt;&gt;0,N28/N11,0)</f>
        <v>0.324561403508772</v>
      </c>
      <c r="O29" s="113" t="n">
        <f aca="false">IF(O11&lt;&gt;0,O28/O11,0)</f>
        <v>0.40563283530826</v>
      </c>
      <c r="P29" s="31" t="n">
        <f aca="false">IF(P11&lt;&gt;0,P28/P11,0)</f>
        <v>0.418783293656806</v>
      </c>
      <c r="Q29" s="31" t="n">
        <f aca="false">IF(Q11&lt;&gt;0,Q28/Q11,0)</f>
        <v>0.417374207088683</v>
      </c>
      <c r="R29" s="31" t="n">
        <f aca="false">IF(R11&lt;&gt;0,R28/R11,0)</f>
        <v>0.511520946712185</v>
      </c>
      <c r="S29" s="31" t="n">
        <f aca="false">IF(S11&lt;&gt;0,S28/S11,0)</f>
        <v>0.516464247548291</v>
      </c>
      <c r="T29" s="31" t="n">
        <f aca="false">IF(T11&lt;&gt;0,T28/T11,0)</f>
        <v>0.526479213409035</v>
      </c>
      <c r="U29" s="31" t="n">
        <f aca="false">IF(U11&lt;&gt;0,U28/U11,0)</f>
        <v>0.54185069758362</v>
      </c>
      <c r="V29" s="31" t="n">
        <f aca="false">IF(V11&lt;&gt;0,V28/V11,0)</f>
        <v>0.603507892577164</v>
      </c>
      <c r="W29" s="31" t="n">
        <f aca="false">IF(W11&lt;&gt;0,W28/W11,0)</f>
        <v>0.617032414301262</v>
      </c>
      <c r="X29" s="31" t="n">
        <f aca="false">IF(X11&lt;&gt;0,X28/X11,0)</f>
        <v>0.618269049879602</v>
      </c>
      <c r="Y29" s="31" t="n">
        <f aca="false">IF(Y11&lt;&gt;0,Y28/Y11,0)</f>
        <v>0.628552152441513</v>
      </c>
      <c r="Z29" s="31" t="n">
        <f aca="false">IF(Z11&lt;&gt;0,Z28/Z11,0)</f>
        <v>0.660013265855956</v>
      </c>
      <c r="AA29" s="31" t="n">
        <f aca="false">IF(AA11&lt;&gt;0,AA28/AA11,0)</f>
        <v>0.669527855163539</v>
      </c>
      <c r="AB29" s="31" t="n">
        <f aca="false">IF(AB11&lt;&gt;0,AB28/AB11,0)</f>
        <v>0.669322890851861</v>
      </c>
      <c r="AC29" s="31" t="n">
        <f aca="false">IF(AC11&lt;&gt;0,AC28/AC11,0)</f>
        <v>0.677777995858155</v>
      </c>
      <c r="AD29" s="31" t="n">
        <f aca="false">IF(AD11&lt;&gt;0,AD28/AD11,0)</f>
        <v>0.698151553101923</v>
      </c>
      <c r="AE29" s="31" t="n">
        <f aca="false">IF(AE11&lt;&gt;0,AE28/AE11,0)</f>
        <v>0.697985692943293</v>
      </c>
      <c r="AF29" s="31" t="n">
        <f aca="false">IF(AF11&lt;&gt;0,AF28/AF11,0)</f>
        <v>0.696976570503177</v>
      </c>
      <c r="AG29" s="31" t="n">
        <f aca="false">IF(AG11&lt;&gt;0,AG28/AG11,0)</f>
        <v>0.703917284425862</v>
      </c>
      <c r="AI29" s="31" t="n">
        <f aca="false">IF(AI11&lt;&gt;0,AI28/AI11,0)</f>
        <v>-2.56223175965665</v>
      </c>
      <c r="AJ29" s="31" t="n">
        <f aca="false">IF(AJ11&lt;&gt;0,AJ28/AJ11,0)</f>
        <v>-0.122499056247641</v>
      </c>
      <c r="AK29" s="31" t="n">
        <f aca="false">IF(AK11&lt;&gt;0,AK28/AK11,0)</f>
        <v>0.399651971712094</v>
      </c>
      <c r="AL29" s="31" t="n">
        <f aca="false">IF(AL11&lt;&gt;0,AL28/AL11,0)</f>
        <v>0.527979042557689</v>
      </c>
      <c r="AM29" s="31" t="n">
        <f aca="false">IF(AM11&lt;&gt;0,AM28/AM11,0)</f>
        <v>0.61813422713852</v>
      </c>
      <c r="AN29" s="31" t="n">
        <f aca="false">IF(AN11&lt;&gt;0,AN28/AN11,0)</f>
        <v>0.669843019501454</v>
      </c>
      <c r="AO29" s="31" t="n">
        <f aca="false">IF(AO11&lt;&gt;0,AO28/AO11,0)</f>
        <v>0.699294850981936</v>
      </c>
    </row>
    <row r="30" customFormat="false" ht="15" hidden="false" customHeight="false" outlineLevel="0" collapsed="false">
      <c r="A30" s="101" t="s">
        <v>1848</v>
      </c>
      <c r="B30" s="18" t="s">
        <v>400</v>
      </c>
      <c r="C30" s="18" t="s">
        <v>389</v>
      </c>
      <c r="D30" s="18" t="s">
        <v>1849</v>
      </c>
      <c r="F30" s="119" t="n">
        <f aca="false">IF(F$5&lt;=LastHist,F28-(F11-F22-F23-F24),SBCpct*F11)</f>
        <v>0</v>
      </c>
      <c r="G30" s="119" t="n">
        <f aca="false">IF(G$5&lt;=LastHist,G28-(G11-G22-G23-G24),SBCpct*G11)</f>
        <v>0.100000000000001</v>
      </c>
      <c r="H30" s="119" t="n">
        <f aca="false">IF(H$5&lt;=LastHist,H28-(H11-H22-H23-H24),SBCpct*H11)</f>
        <v>11.2</v>
      </c>
      <c r="I30" s="119" t="n">
        <f aca="false">IF(I$5&lt;=LastHist,I28-(I11-I22-I23-I24),SBCpct*I11)</f>
        <v>39.3</v>
      </c>
      <c r="J30" s="119" t="n">
        <f aca="false">IF(J$5&lt;=LastHist,J28-(J11-J22-J23-J24),SBCpct*J11)</f>
        <v>17.5</v>
      </c>
      <c r="K30" s="119" t="n">
        <f aca="false">IF(K$5&lt;=LastHist,K28-(K11-K22-K23-K24),SBCpct*K11)</f>
        <v>15</v>
      </c>
      <c r="L30" s="119" t="n">
        <f aca="false">IF(L$5&lt;=LastHist,L28-(L11-L22-L23-L24),SBCpct*L11)</f>
        <v>26</v>
      </c>
      <c r="M30" s="119" t="n">
        <f aca="false">IF(M$5&lt;=LastHist,M28-(M11-M22-M23-M24),SBCpct*M11)</f>
        <v>68.8</v>
      </c>
      <c r="N30" s="119" t="n">
        <f aca="false">IF(N$5&lt;=LastHist,N28-(N11-N22-N23-N24),SBCpct*N11)</f>
        <v>45.5</v>
      </c>
      <c r="O30" s="119" t="n">
        <f aca="false">IF(O$5&lt;=LastHist,O28-(O11-O22-O23-O24),SBCpct*O11)</f>
        <v>152.4</v>
      </c>
      <c r="P30" s="120" t="n">
        <f aca="false">IF(P$5&lt;=LastHist,P28-(P11-P22-P23-P24),SBCpct*P11)</f>
        <v>26.1473349304879</v>
      </c>
      <c r="Q30" s="120" t="n">
        <f aca="false">IF(Q$5&lt;=LastHist,Q28-(Q11-Q22-Q23-Q24),SBCpct*Q11)</f>
        <v>31.5369985340593</v>
      </c>
      <c r="R30" s="120" t="n">
        <f aca="false">IF(R$5&lt;=LastHist,R28-(R11-R22-R23-R24),SBCpct*R11)</f>
        <v>41.2732099075627</v>
      </c>
      <c r="S30" s="120" t="n">
        <f aca="false">IF(S$5&lt;=LastHist,S28-(S11-S22-S23-S24),SBCpct*S11)</f>
        <v>60.3550498621058</v>
      </c>
      <c r="T30" s="120" t="n">
        <f aca="false">IF(T$5&lt;=LastHist,T28-(T11-T22-T23-T24),SBCpct*T11)</f>
        <v>83.1264296279841</v>
      </c>
      <c r="U30" s="120" t="n">
        <f aca="false">IF(U$5&lt;=LastHist,U28-(U11-U22-U23-U24),SBCpct*U11)</f>
        <v>108.057035071298</v>
      </c>
      <c r="V30" s="120" t="n">
        <f aca="false">IF(V$5&lt;=LastHist,V28-(V11-V22-V23-V24),SBCpct*V11)</f>
        <v>147.450561177537</v>
      </c>
      <c r="W30" s="120" t="n">
        <f aca="false">IF(W$5&lt;=LastHist,W28-(W11-W22-W23-W24),SBCpct*W11)</f>
        <v>182.685754719542</v>
      </c>
      <c r="X30" s="120" t="n">
        <f aca="false">IF(X$5&lt;=LastHist,X28-(X11-X22-X23-X24),SBCpct*X11)</f>
        <v>207.20504392516</v>
      </c>
      <c r="Y30" s="120" t="n">
        <f aca="false">IF(Y$5&lt;=LastHist,Y28-(Y11-Y22-Y23-Y24),SBCpct*Y11)</f>
        <v>223.6540125815</v>
      </c>
      <c r="Z30" s="120" t="n">
        <f aca="false">IF(Z$5&lt;=LastHist,Z28-(Z11-Z22-Z23-Z24),SBCpct*Z11)</f>
        <v>255.345349725362</v>
      </c>
      <c r="AA30" s="120" t="n">
        <f aca="false">IF(AA$5&lt;=LastHist,AA28-(AA11-AA22-AA23-AA24),SBCpct*AA11)</f>
        <v>286.863142072495</v>
      </c>
      <c r="AB30" s="120" t="n">
        <f aca="false">IF(AB$5&lt;=LastHist,AB28-(AB11-AB22-AB23-AB24),SBCpct*AB11)</f>
        <v>317.226840038124</v>
      </c>
      <c r="AC30" s="120" t="n">
        <f aca="false">IF(AC$5&lt;=LastHist,AC28-(AC11-AC22-AC23-AC24),SBCpct*AC11)</f>
        <v>348.506354421026</v>
      </c>
      <c r="AD30" s="120" t="n">
        <f aca="false">IF(AD$5&lt;=LastHist,AD28-(AD11-AD22-AD23-AD24),SBCpct*AD11)</f>
        <v>389.33634737307</v>
      </c>
      <c r="AE30" s="120" t="n">
        <f aca="false">IF(AE$5&lt;=LastHist,AE28-(AE11-AE22-AE23-AE24),SBCpct*AE11)</f>
        <v>431.820784960197</v>
      </c>
      <c r="AF30" s="120" t="n">
        <f aca="false">IF(AF$5&lt;=LastHist,AF28-(AF11-AF22-AF23-AF24),SBCpct*AF11)</f>
        <v>429.304987612004</v>
      </c>
      <c r="AG30" s="120" t="n">
        <f aca="false">IF(AG$5&lt;=LastHist,AG28-(AG11-AG22-AG23-AG24),SBCpct*AG11)</f>
        <v>433.905316105353</v>
      </c>
      <c r="AI30" s="120" t="n">
        <f aca="false">SUMIF($F$7:$AG$7,AI$7,$F30:$AG30)</f>
        <v>50.6</v>
      </c>
      <c r="AJ30" s="120" t="n">
        <f aca="false">SUMIF($F$7:$AG$7,AJ$7,$F30:$AG30)</f>
        <v>127.3</v>
      </c>
      <c r="AK30" s="120" t="n">
        <f aca="false">SUMIF($F$7:$AG$7,AK$7,$F30:$AG30)</f>
        <v>255.584333464547</v>
      </c>
      <c r="AL30" s="120" t="n">
        <f aca="false">SUMIF($F$7:$AG$7,AL$7,$F30:$AG30)</f>
        <v>292.81172446895</v>
      </c>
      <c r="AM30" s="120" t="n">
        <f aca="false">SUMIF($F$7:$AG$7,AM$7,$F30:$AG30)</f>
        <v>760.995372403739</v>
      </c>
      <c r="AN30" s="120" t="n">
        <f aca="false">SUMIF($F$7:$AG$7,AN$7,$F30:$AG30)</f>
        <v>1207.94168625701</v>
      </c>
      <c r="AO30" s="120" t="n">
        <f aca="false">SUMIF($F$7:$AG$7,AO$7,$F30:$AG30)</f>
        <v>1684.36743605062</v>
      </c>
    </row>
    <row r="31" customFormat="false" ht="15" hidden="false" customHeight="false" outlineLevel="0" collapsed="false">
      <c r="A31" s="101" t="s">
        <v>979</v>
      </c>
      <c r="B31" s="18" t="s">
        <v>400</v>
      </c>
      <c r="C31" s="18" t="s">
        <v>1622</v>
      </c>
      <c r="D31" s="18"/>
      <c r="F31" s="119" t="n">
        <f aca="false">INDEX(DA,1,1)</f>
        <v>8.9</v>
      </c>
      <c r="G31" s="119" t="n">
        <f aca="false">INDEX(DA,1,2)</f>
        <v>11.4</v>
      </c>
      <c r="H31" s="119" t="n">
        <f aca="false">INDEX(DA,1,3)</f>
        <v>23.5</v>
      </c>
      <c r="I31" s="119" t="n">
        <f aca="false">INDEX(DA,1,4)</f>
        <v>33.3</v>
      </c>
      <c r="J31" s="119" t="n">
        <f aca="false">INDEX(DA,1,5)</f>
        <v>49.1</v>
      </c>
      <c r="K31" s="119" t="n">
        <f aca="false">INDEX(DA,1,6)</f>
        <v>75.2</v>
      </c>
      <c r="L31" s="119" t="n">
        <f aca="false">INDEX(DA,1,7)</f>
        <v>99</v>
      </c>
      <c r="M31" s="119" t="n">
        <f aca="false">INDEX(DA,1,8)</f>
        <v>180.7</v>
      </c>
      <c r="N31" s="119" t="n">
        <f aca="false">INDEX(DA,1,9)</f>
        <v>212</v>
      </c>
      <c r="O31" s="119" t="n">
        <f aca="false">INDEX(DA,1,10)</f>
        <v>259.7</v>
      </c>
      <c r="P31" s="120" t="n">
        <f aca="false">INDEX(DA,1,11)</f>
        <v>587.0866</v>
      </c>
      <c r="Q31" s="120" t="n">
        <f aca="false">INDEX(DA,1,12)</f>
        <v>591.164990717076</v>
      </c>
      <c r="R31" s="120" t="n">
        <f aca="false">INDEX(DA,1,13)</f>
        <v>766.338123024241</v>
      </c>
      <c r="S31" s="120" t="n">
        <f aca="false">INDEX(DA,1,14)</f>
        <v>1016.41966061574</v>
      </c>
      <c r="T31" s="120" t="n">
        <f aca="false">INDEX(DA,1,15)</f>
        <v>1290.73824420611</v>
      </c>
      <c r="U31" s="120" t="n">
        <f aca="false">INDEX(DA,1,16)</f>
        <v>1573.32111229062</v>
      </c>
      <c r="V31" s="120" t="n">
        <f aca="false">INDEX(DA,1,17)</f>
        <v>2056.59724551122</v>
      </c>
      <c r="W31" s="120" t="n">
        <f aca="false">INDEX(DA,1,18)</f>
        <v>2245.80821688447</v>
      </c>
      <c r="X31" s="120" t="n">
        <f aca="false">INDEX(DA,1,19)</f>
        <v>2501.45006809627</v>
      </c>
      <c r="Y31" s="120" t="n">
        <f aca="false">INDEX(DA,1,20)</f>
        <v>2593.05490153821</v>
      </c>
      <c r="Z31" s="120" t="n">
        <f aca="false">INDEX(DA,1,21)</f>
        <v>3144.97095919656</v>
      </c>
      <c r="AA31" s="120" t="n">
        <f aca="false">INDEX(DA,1,22)</f>
        <v>3230.37930028351</v>
      </c>
      <c r="AB31" s="120" t="n">
        <f aca="false">INDEX(DA,1,23)</f>
        <v>3774.34636977392</v>
      </c>
      <c r="AC31" s="120" t="n">
        <f aca="false">INDEX(DA,1,24)</f>
        <v>3890.97253171347</v>
      </c>
      <c r="AD31" s="120" t="n">
        <f aca="false">INDEX(DA,1,25)</f>
        <v>4646.03068151259</v>
      </c>
      <c r="AE31" s="120" t="n">
        <f aca="false">INDEX(DA,1,26)</f>
        <v>4658.61544203244</v>
      </c>
      <c r="AF31" s="120" t="n">
        <f aca="false">INDEX(DA,1,27)</f>
        <v>4672.26231349197</v>
      </c>
      <c r="AG31" s="120" t="n">
        <f aca="false">INDEX(DA,1,28)</f>
        <v>4685.55056590494</v>
      </c>
      <c r="AI31" s="120" t="n">
        <f aca="false">SUMIF($F$7:$AG$7,AI$7,$F31:$AG31)</f>
        <v>77.1</v>
      </c>
      <c r="AJ31" s="120" t="n">
        <f aca="false">SUMIF($F$7:$AG$7,AJ$7,$F31:$AG31)</f>
        <v>404</v>
      </c>
      <c r="AK31" s="120" t="n">
        <f aca="false">SUMIF($F$7:$AG$7,AK$7,$F31:$AG31)</f>
        <v>1649.95159071708</v>
      </c>
      <c r="AL31" s="120" t="n">
        <f aca="false">SUMIF($F$7:$AG$7,AL$7,$F31:$AG31)</f>
        <v>4646.81714013671</v>
      </c>
      <c r="AM31" s="120" t="n">
        <f aca="false">SUMIF($F$7:$AG$7,AM$7,$F31:$AG31)</f>
        <v>9396.91043203017</v>
      </c>
      <c r="AN31" s="120" t="n">
        <f aca="false">SUMIF($F$7:$AG$7,AN$7,$F31:$AG31)</f>
        <v>14040.6691609675</v>
      </c>
      <c r="AO31" s="120" t="n">
        <f aca="false">SUMIF($F$7:$AG$7,AO$7,$F31:$AG31)</f>
        <v>18662.4590029419</v>
      </c>
    </row>
    <row r="32" customFormat="false" ht="15" hidden="false" customHeight="false" outlineLevel="0" collapsed="false">
      <c r="A32" s="101" t="s">
        <v>1850</v>
      </c>
      <c r="B32" s="18" t="s">
        <v>400</v>
      </c>
      <c r="C32" s="18" t="s">
        <v>347</v>
      </c>
      <c r="D32" s="18"/>
      <c r="F32" s="119" t="n">
        <f aca="false">INDEX(Imp,1,1)</f>
        <v>0</v>
      </c>
      <c r="G32" s="119" t="n">
        <f aca="false">INDEX(Imp,1,2)</f>
        <v>0</v>
      </c>
      <c r="H32" s="119" t="n">
        <f aca="false">INDEX(Imp,1,3)</f>
        <v>0</v>
      </c>
      <c r="I32" s="119" t="n">
        <f aca="false">INDEX(Imp,1,4)</f>
        <v>0</v>
      </c>
      <c r="J32" s="119" t="n">
        <f aca="false">INDEX(Imp,1,5)</f>
        <v>0</v>
      </c>
      <c r="K32" s="119" t="n">
        <f aca="false">INDEX(Imp,1,6)</f>
        <v>0</v>
      </c>
      <c r="L32" s="119" t="n">
        <f aca="false">INDEX(Imp,1,7)</f>
        <v>0</v>
      </c>
      <c r="M32" s="119" t="n">
        <f aca="false">INDEX(Imp,1,8)</f>
        <v>0</v>
      </c>
      <c r="N32" s="119" t="n">
        <f aca="false">INDEX(Imp,1,9)</f>
        <v>0</v>
      </c>
      <c r="O32" s="119" t="n">
        <f aca="false">INDEX(Imp,1,10)</f>
        <v>0</v>
      </c>
      <c r="P32" s="120" t="n">
        <f aca="false">INDEX(Imp,1,11)</f>
        <v>0</v>
      </c>
      <c r="Q32" s="120" t="n">
        <f aca="false">INDEX(Imp,1,12)</f>
        <v>0</v>
      </c>
      <c r="R32" s="120" t="n">
        <f aca="false">INDEX(Imp,1,13)</f>
        <v>0</v>
      </c>
      <c r="S32" s="120" t="n">
        <f aca="false">INDEX(Imp,1,14)</f>
        <v>0</v>
      </c>
      <c r="T32" s="120" t="n">
        <f aca="false">INDEX(Imp,1,15)</f>
        <v>0</v>
      </c>
      <c r="U32" s="120" t="n">
        <f aca="false">INDEX(Imp,1,16)</f>
        <v>0</v>
      </c>
      <c r="V32" s="120" t="n">
        <f aca="false">INDEX(Imp,1,17)</f>
        <v>0</v>
      </c>
      <c r="W32" s="120" t="n">
        <f aca="false">INDEX(Imp,1,18)</f>
        <v>0</v>
      </c>
      <c r="X32" s="120" t="n">
        <f aca="false">INDEX(Imp,1,19)</f>
        <v>0</v>
      </c>
      <c r="Y32" s="120" t="n">
        <f aca="false">INDEX(Imp,1,20)</f>
        <v>0</v>
      </c>
      <c r="Z32" s="120" t="n">
        <f aca="false">INDEX(Imp,1,21)</f>
        <v>0</v>
      </c>
      <c r="AA32" s="120" t="n">
        <f aca="false">INDEX(Imp,1,22)</f>
        <v>0</v>
      </c>
      <c r="AB32" s="120" t="n">
        <f aca="false">INDEX(Imp,1,23)</f>
        <v>0</v>
      </c>
      <c r="AC32" s="120" t="n">
        <f aca="false">INDEX(Imp,1,24)</f>
        <v>0</v>
      </c>
      <c r="AD32" s="120" t="n">
        <f aca="false">INDEX(Imp,1,25)</f>
        <v>0</v>
      </c>
      <c r="AE32" s="120" t="n">
        <f aca="false">INDEX(Imp,1,26)</f>
        <v>0</v>
      </c>
      <c r="AF32" s="120" t="n">
        <f aca="false">INDEX(Imp,1,27)</f>
        <v>0</v>
      </c>
      <c r="AG32" s="120" t="n">
        <f aca="false">INDEX(Imp,1,28)</f>
        <v>0</v>
      </c>
      <c r="AI32" s="120" t="n">
        <f aca="false">SUMIF($F$7:$AG$7,AI$7,$F32:$AG32)</f>
        <v>0</v>
      </c>
      <c r="AJ32" s="120" t="n">
        <f aca="false">SUMIF($F$7:$AG$7,AJ$7,$F32:$AG32)</f>
        <v>0</v>
      </c>
      <c r="AK32" s="120" t="n">
        <f aca="false">SUMIF($F$7:$AG$7,AK$7,$F32:$AG32)</f>
        <v>0</v>
      </c>
      <c r="AL32" s="120" t="n">
        <f aca="false">SUMIF($F$7:$AG$7,AL$7,$F32:$AG32)</f>
        <v>0</v>
      </c>
      <c r="AM32" s="120" t="n">
        <f aca="false">SUMIF($F$7:$AG$7,AM$7,$F32:$AG32)</f>
        <v>0</v>
      </c>
      <c r="AN32" s="120" t="n">
        <f aca="false">SUMIF($F$7:$AG$7,AN$7,$F32:$AG32)</f>
        <v>0</v>
      </c>
      <c r="AO32" s="120" t="n">
        <f aca="false">SUMIF($F$7:$AG$7,AO$7,$F32:$AG32)</f>
        <v>0</v>
      </c>
    </row>
    <row r="33" customFormat="false" ht="15" hidden="false" customHeight="false" outlineLevel="0" collapsed="false">
      <c r="A33" s="3" t="s">
        <v>1851</v>
      </c>
      <c r="B33" s="18" t="s">
        <v>400</v>
      </c>
      <c r="C33" s="18" t="s">
        <v>336</v>
      </c>
      <c r="D33" s="18"/>
      <c r="F33" s="121" t="n">
        <f aca="false">F28-F30-F31-F32</f>
        <v>-79.8</v>
      </c>
      <c r="G33" s="121" t="n">
        <f aca="false">G28-G30-G31-G32</f>
        <v>-69.6</v>
      </c>
      <c r="H33" s="121" t="n">
        <f aca="false">H28-H30-H31-H32</f>
        <v>-80.6</v>
      </c>
      <c r="I33" s="121" t="n">
        <f aca="false">I28-I30-I31-I32</f>
        <v>-136.5</v>
      </c>
      <c r="J33" s="121" t="n">
        <f aca="false">J28-J30-J31-J32</f>
        <v>-120.3</v>
      </c>
      <c r="K33" s="121" t="n">
        <f aca="false">K28-K30-K31-K32</f>
        <v>-111.2</v>
      </c>
      <c r="L33" s="121" t="n">
        <f aca="false">L28-L30-L31-L32</f>
        <v>-130.2</v>
      </c>
      <c r="M33" s="121" t="n">
        <f aca="false">M28-M30-M31-M32</f>
        <v>-234.5</v>
      </c>
      <c r="N33" s="121" t="n">
        <f aca="false">N28-N30-N31-N32</f>
        <v>-128</v>
      </c>
      <c r="O33" s="121" t="n">
        <f aca="false">O28-O30-O31-O32</f>
        <v>-175.9</v>
      </c>
      <c r="P33" s="93" t="n">
        <f aca="false">P28-P30-P31-P32</f>
        <v>-339.482258867053</v>
      </c>
      <c r="Q33" s="93" t="n">
        <f aca="false">Q28-Q30-Q31-Q32</f>
        <v>-293.633745323386</v>
      </c>
      <c r="R33" s="93" t="n">
        <f aca="false">R28-R30-R31-R32</f>
        <v>-279.808547787624</v>
      </c>
      <c r="S33" s="93" t="n">
        <f aca="false">S28-S30-S31-S32</f>
        <v>-297.494075158548</v>
      </c>
      <c r="T33" s="93" t="n">
        <f aca="false">T28-T30-T31-T32</f>
        <v>-279.75624173303</v>
      </c>
      <c r="U33" s="93" t="n">
        <f aca="false">U28-U30-U31-U32</f>
        <v>-217.60865155691</v>
      </c>
      <c r="V33" s="93" t="n">
        <f aca="false">V28-V30-V31-V32</f>
        <v>20.6416292006352</v>
      </c>
      <c r="W33" s="93" t="n">
        <f aca="false">W28-W30-W31-W32</f>
        <v>389.581835722159</v>
      </c>
      <c r="X33" s="93" t="n">
        <f aca="false">X28-X30-X31-X32</f>
        <v>494.05652892532</v>
      </c>
      <c r="Y33" s="93" t="n">
        <f aca="false">Y28-Y30-Y31-Y32</f>
        <v>697.746361137367</v>
      </c>
      <c r="Z33" s="93" t="n">
        <f aca="false">Z28-Z30-Z31-Z32</f>
        <v>812.966645912258</v>
      </c>
      <c r="AA33" s="93" t="n">
        <f aca="false">AA28-AA30-AA31-AA32</f>
        <v>1284.32916357577</v>
      </c>
      <c r="AB33" s="93" t="n">
        <f aca="false">AB28-AB30-AB31-AB32</f>
        <v>1216.60643094091</v>
      </c>
      <c r="AC33" s="93" t="n">
        <f aca="false">AC28-AC30-AC31-AC32</f>
        <v>1665.76957494837</v>
      </c>
      <c r="AD33" s="93" t="n">
        <f aca="false">AD28-AD30-AD31-AD32</f>
        <v>1760.02736105281</v>
      </c>
      <c r="AE33" s="93" t="n">
        <f aca="false">AE28-AE30-AE31-AE32</f>
        <v>2444.68201845136</v>
      </c>
      <c r="AF33" s="93" t="n">
        <f aca="false">AF28-AF30-AF31-AF32</f>
        <v>2378.8206480391</v>
      </c>
      <c r="AG33" s="93" t="n">
        <f aca="false">AG28-AG30-AG31-AG32</f>
        <v>2516.38041326034</v>
      </c>
      <c r="AI33" s="93" t="n">
        <f aca="false">SUMIF($F$7:$AG$7,AI$7,$F33:$AG33)</f>
        <v>-366.5</v>
      </c>
      <c r="AJ33" s="93" t="n">
        <f aca="false">SUMIF($F$7:$AG$7,AJ$7,$F33:$AG33)</f>
        <v>-596.2</v>
      </c>
      <c r="AK33" s="93" t="n">
        <f aca="false">SUMIF($F$7:$AG$7,AK$7,$F33:$AG33)</f>
        <v>-937.016004190439</v>
      </c>
      <c r="AL33" s="93" t="n">
        <f aca="false">SUMIF($F$7:$AG$7,AL$7,$F33:$AG33)</f>
        <v>-1074.66751623611</v>
      </c>
      <c r="AM33" s="93" t="n">
        <f aca="false">SUMIF($F$7:$AG$7,AM$7,$F33:$AG33)</f>
        <v>1602.02635498548</v>
      </c>
      <c r="AN33" s="93" t="n">
        <f aca="false">SUMIF($F$7:$AG$7,AN$7,$F33:$AG33)</f>
        <v>4979.67181537731</v>
      </c>
      <c r="AO33" s="93" t="n">
        <f aca="false">SUMIF($F$7:$AG$7,AO$7,$F33:$AG33)</f>
        <v>9099.91044080361</v>
      </c>
    </row>
    <row r="34" customFormat="false" ht="15" hidden="false" customHeight="false" outlineLevel="0" collapsed="false">
      <c r="A34" s="101" t="s">
        <v>1852</v>
      </c>
      <c r="B34" s="18" t="s">
        <v>388</v>
      </c>
      <c r="C34" s="18"/>
      <c r="D34" s="18"/>
      <c r="F34" s="113" t="n">
        <f aca="false">IF(F11&lt;&gt;0,F33/F11,0)</f>
        <v>-7</v>
      </c>
      <c r="G34" s="113" t="n">
        <f aca="false">IF(G11&lt;&gt;0,G33/G11,0)</f>
        <v>-4.8</v>
      </c>
      <c r="H34" s="113" t="n">
        <f aca="false">IF(H11&lt;&gt;0,H33/H11,0)</f>
        <v>-2.51090342679128</v>
      </c>
      <c r="I34" s="113" t="n">
        <f aca="false">IF(I11&lt;&gt;0,I33/I11,0)</f>
        <v>-3.87784090909091</v>
      </c>
      <c r="J34" s="113" t="n">
        <f aca="false">IF(J11&lt;&gt;0,J33/J11,0)</f>
        <v>-2.36345776031434</v>
      </c>
      <c r="K34" s="113" t="n">
        <f aca="false">IF(K11&lt;&gt;0,K33/K11,0)</f>
        <v>-1.05803996194101</v>
      </c>
      <c r="L34" s="113" t="n">
        <f aca="false">IF(L11&lt;&gt;0,L33/L11,0)</f>
        <v>-0.891170431211499</v>
      </c>
      <c r="M34" s="113" t="n">
        <f aca="false">IF(M11&lt;&gt;0,M33/M11,0)</f>
        <v>-1.02986385595081</v>
      </c>
      <c r="N34" s="113" t="n">
        <f aca="false">IF(N11&lt;&gt;0,N33/N11,0)</f>
        <v>-0.320802005012531</v>
      </c>
      <c r="O34" s="113" t="n">
        <f aca="false">IF(O11&lt;&gt;0,O33/O11,0)</f>
        <v>-0.30207796668384</v>
      </c>
      <c r="P34" s="31" t="n">
        <f aca="false">IF(P11&lt;&gt;0,P33/P11,0)</f>
        <v>-0.51933745411463</v>
      </c>
      <c r="Q34" s="31" t="n">
        <f aca="false">IF(Q11&lt;&gt;0,Q33/Q11,0)</f>
        <v>-0.372430806953639</v>
      </c>
      <c r="R34" s="31" t="n">
        <f aca="false">IF(R11&lt;&gt;0,R33/R11,0)</f>
        <v>-0.271176919279402</v>
      </c>
      <c r="S34" s="31" t="n">
        <f aca="false">IF(S11&lt;&gt;0,S33/S11,0)</f>
        <v>-0.197162673770124</v>
      </c>
      <c r="T34" s="31" t="n">
        <f aca="false">IF(T11&lt;&gt;0,T33/T11,0)</f>
        <v>-0.134617229675339</v>
      </c>
      <c r="U34" s="31" t="n">
        <f aca="false">IF(U11&lt;&gt;0,U33/U11,0)</f>
        <v>-0.0805532564958233</v>
      </c>
      <c r="V34" s="31" t="n">
        <f aca="false">IF(V11&lt;&gt;0,V33/V11,0)</f>
        <v>0.00559960682029056</v>
      </c>
      <c r="W34" s="31" t="n">
        <f aca="false">IF(W11&lt;&gt;0,W33/W11,0)</f>
        <v>0.0853009773685405</v>
      </c>
      <c r="X34" s="31" t="n">
        <f aca="false">IF(X11&lt;&gt;0,X33/X11,0)</f>
        <v>0.095375386538132</v>
      </c>
      <c r="Y34" s="31" t="n">
        <f aca="false">IF(Y11&lt;&gt;0,Y33/Y11,0)</f>
        <v>0.124790313946745</v>
      </c>
      <c r="Z34" s="31" t="n">
        <f aca="false">IF(Z11&lt;&gt;0,Z33/Z11,0)</f>
        <v>0.127351705725074</v>
      </c>
      <c r="AA34" s="31" t="n">
        <f aca="false">IF(AA11&lt;&gt;0,AA33/AA11,0)</f>
        <v>0.179085978672185</v>
      </c>
      <c r="AB34" s="31" t="n">
        <f aca="false">IF(AB11&lt;&gt;0,AB33/AB11,0)</f>
        <v>0.153405232772196</v>
      </c>
      <c r="AC34" s="31" t="n">
        <f aca="false">IF(AC11&lt;&gt;0,AC33/AC11,0)</f>
        <v>0.191189578475918</v>
      </c>
      <c r="AD34" s="31" t="n">
        <f aca="false">IF(AD11&lt;&gt;0,AD33/AD11,0)</f>
        <v>0.180823329024178</v>
      </c>
      <c r="AE34" s="31" t="n">
        <f aca="false">IF(AE11&lt;&gt;0,AE33/AE11,0)</f>
        <v>0.226453390257877</v>
      </c>
      <c r="AF34" s="31" t="n">
        <f aca="false">IF(AF11&lt;&gt;0,AF33/AF11,0)</f>
        <v>0.221643886438051</v>
      </c>
      <c r="AG34" s="31" t="n">
        <f aca="false">IF(AG11&lt;&gt;0,AG33/AG11,0)</f>
        <v>0.231975071045164</v>
      </c>
      <c r="AI34" s="31" t="n">
        <f aca="false">IF(AI11&lt;&gt;0,AI33/AI11,0)</f>
        <v>-3.93240343347639</v>
      </c>
      <c r="AJ34" s="31" t="n">
        <f aca="false">IF(AJ11&lt;&gt;0,AJ33/AJ11,0)</f>
        <v>-1.12533031332578</v>
      </c>
      <c r="AK34" s="31" t="n">
        <f aca="false">IF(AK11&lt;&gt;0,AK33/AK11,0)</f>
        <v>-0.386652133705113</v>
      </c>
      <c r="AL34" s="31" t="n">
        <f aca="false">IF(AL11&lt;&gt;0,AL33/AL11,0)</f>
        <v>-0.146806623701309</v>
      </c>
      <c r="AM34" s="31" t="n">
        <f aca="false">IF(AM11&lt;&gt;0,AM33/AM11,0)</f>
        <v>0.0842068907686098</v>
      </c>
      <c r="AN34" s="31" t="n">
        <f aca="false">IF(AN11&lt;&gt;0,AN33/AN11,0)</f>
        <v>0.164897755314914</v>
      </c>
      <c r="AO34" s="31" t="n">
        <f aca="false">IF(AO11&lt;&gt;0,AO33/AO11,0)</f>
        <v>0.216102739723831</v>
      </c>
    </row>
    <row r="36" customFormat="false" ht="15" hidden="false" customHeight="false" outlineLevel="0" collapsed="false">
      <c r="A36" s="48" t="s">
        <v>1853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</row>
    <row r="37" customFormat="false" ht="15" hidden="false" customHeight="false" outlineLevel="0" collapsed="false">
      <c r="A37" s="101" t="s">
        <v>1854</v>
      </c>
      <c r="B37" s="18" t="s">
        <v>400</v>
      </c>
      <c r="C37" s="18" t="s">
        <v>1709</v>
      </c>
      <c r="D37" s="18"/>
      <c r="F37" s="119" t="n">
        <f aca="false">IF(F$5&lt;=LastHist,0,INDEX(CV_cpn,1,1))</f>
        <v>0</v>
      </c>
      <c r="G37" s="119" t="n">
        <f aca="false">IF(G$5&lt;=LastHist,0,INDEX(CV_cpn,1,2))</f>
        <v>0</v>
      </c>
      <c r="H37" s="119" t="n">
        <f aca="false">IF(H$5&lt;=LastHist,0,INDEX(CV_cpn,1,3))</f>
        <v>0</v>
      </c>
      <c r="I37" s="119" t="n">
        <f aca="false">IF(I$5&lt;=LastHist,0,INDEX(CV_cpn,1,4))</f>
        <v>0</v>
      </c>
      <c r="J37" s="119" t="n">
        <f aca="false">IF(J$5&lt;=LastHist,0,INDEX(CV_cpn,1,5))</f>
        <v>0</v>
      </c>
      <c r="K37" s="119" t="n">
        <f aca="false">IF(K$5&lt;=LastHist,0,INDEX(CV_cpn,1,6))</f>
        <v>0</v>
      </c>
      <c r="L37" s="119" t="n">
        <f aca="false">IF(L$5&lt;=LastHist,0,INDEX(CV_cpn,1,7))</f>
        <v>0</v>
      </c>
      <c r="M37" s="119" t="n">
        <f aca="false">IF(M$5&lt;=LastHist,0,INDEX(CV_cpn,1,8))</f>
        <v>0</v>
      </c>
      <c r="N37" s="119" t="n">
        <f aca="false">IF(N$5&lt;=LastHist,0,INDEX(CV_cpn,1,9))</f>
        <v>0</v>
      </c>
      <c r="O37" s="119" t="n">
        <f aca="false">IF(O$5&lt;=LastHist,0,INDEX(CV_cpn,1,10))</f>
        <v>0</v>
      </c>
      <c r="P37" s="120" t="n">
        <f aca="false">IF(P$5&lt;=LastHist,0,INDEX(CV_cpn,1,11))</f>
        <v>65.67578125</v>
      </c>
      <c r="Q37" s="120" t="n">
        <f aca="false">IF(Q$5&lt;=LastHist,0,INDEX(CV_cpn,1,12))</f>
        <v>65.67578125</v>
      </c>
      <c r="R37" s="120" t="n">
        <f aca="false">IF(R$5&lt;=LastHist,0,INDEX(CV_cpn,1,13))</f>
        <v>65.67578125</v>
      </c>
      <c r="S37" s="120" t="n">
        <f aca="false">IF(S$5&lt;=LastHist,0,INDEX(CV_cpn,1,14))</f>
        <v>65.67578125</v>
      </c>
      <c r="T37" s="120" t="n">
        <f aca="false">IF(T$5&lt;=LastHist,0,INDEX(CV_cpn,1,15))</f>
        <v>65.67578125</v>
      </c>
      <c r="U37" s="120" t="n">
        <f aca="false">IF(U$5&lt;=LastHist,0,INDEX(CV_cpn,1,16))</f>
        <v>65.67578125</v>
      </c>
      <c r="V37" s="120" t="n">
        <f aca="false">IF(V$5&lt;=LastHist,0,INDEX(CV_cpn,1,17))</f>
        <v>65.67578125</v>
      </c>
      <c r="W37" s="120" t="n">
        <f aca="false">IF(W$5&lt;=LastHist,0,INDEX(CV_cpn,1,18))</f>
        <v>65.67578125</v>
      </c>
      <c r="X37" s="120" t="n">
        <f aca="false">IF(X$5&lt;=LastHist,0,INDEX(CV_cpn,1,19))</f>
        <v>65.67578125</v>
      </c>
      <c r="Y37" s="120" t="n">
        <f aca="false">IF(Y$5&lt;=LastHist,0,INDEX(CV_cpn,1,20))</f>
        <v>65.67578125</v>
      </c>
      <c r="Z37" s="120" t="n">
        <f aca="false">IF(Z$5&lt;=LastHist,0,INDEX(CV_cpn,1,21))</f>
        <v>65.67578125</v>
      </c>
      <c r="AA37" s="120" t="n">
        <f aca="false">IF(AA$5&lt;=LastHist,0,INDEX(CV_cpn,1,22))</f>
        <v>65.23828125</v>
      </c>
      <c r="AB37" s="120" t="n">
        <f aca="false">IF(AB$5&lt;=LastHist,0,INDEX(CV_cpn,1,23))</f>
        <v>65.23828125</v>
      </c>
      <c r="AC37" s="120" t="n">
        <f aca="false">IF(AC$5&lt;=LastHist,0,INDEX(CV_cpn,1,24))</f>
        <v>65.23828125</v>
      </c>
      <c r="AD37" s="120" t="n">
        <f aca="false">IF(AD$5&lt;=LastHist,0,INDEX(CV_cpn,1,25))</f>
        <v>60.92578125</v>
      </c>
      <c r="AE37" s="120" t="n">
        <f aca="false">IF(AE$5&lt;=LastHist,0,INDEX(CV_cpn,1,26))</f>
        <v>60.92578125</v>
      </c>
      <c r="AF37" s="120" t="n">
        <f aca="false">IF(AF$5&lt;=LastHist,0,INDEX(CV_cpn,1,27))</f>
        <v>56.97265625</v>
      </c>
      <c r="AG37" s="120" t="n">
        <f aca="false">IF(AG$5&lt;=LastHist,0,INDEX(CV_cpn,1,28))</f>
        <v>56.97265625</v>
      </c>
      <c r="AI37" s="120" t="n">
        <f aca="false">SUMIF($F$7:$AG$7,AI$7,$F37:$AG37)</f>
        <v>0</v>
      </c>
      <c r="AJ37" s="120" t="n">
        <f aca="false">SUMIF($F$7:$AG$7,AJ$7,$F37:$AG37)</f>
        <v>0</v>
      </c>
      <c r="AK37" s="120" t="n">
        <f aca="false">SUMIF($F$7:$AG$7,AK$7,$F37:$AG37)</f>
        <v>131.3515625</v>
      </c>
      <c r="AL37" s="120" t="n">
        <f aca="false">SUMIF($F$7:$AG$7,AL$7,$F37:$AG37)</f>
        <v>262.703125</v>
      </c>
      <c r="AM37" s="120" t="n">
        <f aca="false">SUMIF($F$7:$AG$7,AM$7,$F37:$AG37)</f>
        <v>262.703125</v>
      </c>
      <c r="AN37" s="120" t="n">
        <f aca="false">SUMIF($F$7:$AG$7,AN$7,$F37:$AG37)</f>
        <v>261.390625</v>
      </c>
      <c r="AO37" s="120" t="n">
        <f aca="false">SUMIF($F$7:$AG$7,AO$7,$F37:$AG37)</f>
        <v>235.796875</v>
      </c>
    </row>
    <row r="38" customFormat="false" ht="15" hidden="false" customHeight="false" outlineLevel="0" collapsed="false">
      <c r="A38" s="101" t="s">
        <v>1855</v>
      </c>
      <c r="B38" s="18" t="s">
        <v>400</v>
      </c>
      <c r="C38" s="18" t="s">
        <v>1709</v>
      </c>
      <c r="D38" s="18"/>
      <c r="F38" s="119" t="n">
        <f aca="false">IF(F$5&lt;=LastHist,0,INDEX(CV_acc,1,1))</f>
        <v>0</v>
      </c>
      <c r="G38" s="119" t="n">
        <f aca="false">IF(G$5&lt;=LastHist,0,INDEX(CV_acc,1,2))</f>
        <v>0</v>
      </c>
      <c r="H38" s="119" t="n">
        <f aca="false">IF(H$5&lt;=LastHist,0,INDEX(CV_acc,1,3))</f>
        <v>0</v>
      </c>
      <c r="I38" s="119" t="n">
        <f aca="false">IF(I$5&lt;=LastHist,0,INDEX(CV_acc,1,4))</f>
        <v>0</v>
      </c>
      <c r="J38" s="119" t="n">
        <f aca="false">IF(J$5&lt;=LastHist,0,INDEX(CV_acc,1,5))</f>
        <v>0</v>
      </c>
      <c r="K38" s="119" t="n">
        <f aca="false">IF(K$5&lt;=LastHist,0,INDEX(CV_acc,1,6))</f>
        <v>0</v>
      </c>
      <c r="L38" s="119" t="n">
        <f aca="false">IF(L$5&lt;=LastHist,0,INDEX(CV_acc,1,7))</f>
        <v>0</v>
      </c>
      <c r="M38" s="119" t="n">
        <f aca="false">IF(M$5&lt;=LastHist,0,INDEX(CV_acc,1,8))</f>
        <v>0</v>
      </c>
      <c r="N38" s="119" t="n">
        <f aca="false">IF(N$5&lt;=LastHist,0,INDEX(CV_acc,1,9))</f>
        <v>0</v>
      </c>
      <c r="O38" s="119" t="n">
        <f aca="false">IF(O$5&lt;=LastHist,0,INDEX(CV_acc,1,10))</f>
        <v>0</v>
      </c>
      <c r="P38" s="120" t="n">
        <f aca="false">IF(P$5&lt;=LastHist,0,INDEX(CV_acc,1,11))</f>
        <v>104.869898900448</v>
      </c>
      <c r="Q38" s="120" t="n">
        <f aca="false">IF(Q$5&lt;=LastHist,0,INDEX(CV_acc,1,12))</f>
        <v>104.869898900448</v>
      </c>
      <c r="R38" s="120" t="n">
        <f aca="false">IF(R$5&lt;=LastHist,0,INDEX(CV_acc,1,13))</f>
        <v>104.869898900448</v>
      </c>
      <c r="S38" s="120" t="n">
        <f aca="false">IF(S$5&lt;=LastHist,0,INDEX(CV_acc,1,14))</f>
        <v>104.869898900448</v>
      </c>
      <c r="T38" s="120" t="n">
        <f aca="false">IF(T$5&lt;=LastHist,0,INDEX(CV_acc,1,15))</f>
        <v>104.869898900448</v>
      </c>
      <c r="U38" s="120" t="n">
        <f aca="false">IF(U$5&lt;=LastHist,0,INDEX(CV_acc,1,16))</f>
        <v>104.869898900448</v>
      </c>
      <c r="V38" s="120" t="n">
        <f aca="false">IF(V$5&lt;=LastHist,0,INDEX(CV_acc,1,17))</f>
        <v>104.869898900448</v>
      </c>
      <c r="W38" s="120" t="n">
        <f aca="false">IF(W$5&lt;=LastHist,0,INDEX(CV_acc,1,18))</f>
        <v>104.869898900448</v>
      </c>
      <c r="X38" s="120" t="n">
        <f aca="false">IF(X$5&lt;=LastHist,0,INDEX(CV_acc,1,19))</f>
        <v>104.869898900448</v>
      </c>
      <c r="Y38" s="120" t="n">
        <f aca="false">IF(Y$5&lt;=LastHist,0,INDEX(CV_acc,1,20))</f>
        <v>104.869898900448</v>
      </c>
      <c r="Z38" s="120" t="n">
        <f aca="false">IF(Z$5&lt;=LastHist,0,INDEX(CV_acc,1,21))</f>
        <v>104.869898900448</v>
      </c>
      <c r="AA38" s="120" t="n">
        <f aca="false">IF(AA$5&lt;=LastHist,0,INDEX(CV_acc,1,22))</f>
        <v>103.745024289815</v>
      </c>
      <c r="AB38" s="120" t="n">
        <f aca="false">IF(AB$5&lt;=LastHist,0,INDEX(CV_acc,1,23))</f>
        <v>103.745024289815</v>
      </c>
      <c r="AC38" s="120" t="n">
        <f aca="false">IF(AC$5&lt;=LastHist,0,INDEX(CV_acc,1,24))</f>
        <v>103.745024289815</v>
      </c>
      <c r="AD38" s="120" t="n">
        <f aca="false">IF(AD$5&lt;=LastHist,0,INDEX(CV_acc,1,25))</f>
        <v>78.9591765321438</v>
      </c>
      <c r="AE38" s="120" t="n">
        <f aca="false">IF(AE$5&lt;=LastHist,0,INDEX(CV_acc,1,26))</f>
        <v>78.9591765321438</v>
      </c>
      <c r="AF38" s="120" t="n">
        <f aca="false">IF(AF$5&lt;=LastHist,0,INDEX(CV_acc,1,27))</f>
        <v>67.0981778499149</v>
      </c>
      <c r="AG38" s="120" t="n">
        <f aca="false">IF(AG$5&lt;=LastHist,0,INDEX(CV_acc,1,28))</f>
        <v>67.0981778499149</v>
      </c>
      <c r="AI38" s="120" t="n">
        <f aca="false">SUMIF($F$7:$AG$7,AI$7,$F38:$AG38)</f>
        <v>0</v>
      </c>
      <c r="AJ38" s="120" t="n">
        <f aca="false">SUMIF($F$7:$AG$7,AJ$7,$F38:$AG38)</f>
        <v>0</v>
      </c>
      <c r="AK38" s="120" t="n">
        <f aca="false">SUMIF($F$7:$AG$7,AK$7,$F38:$AG38)</f>
        <v>209.739797800896</v>
      </c>
      <c r="AL38" s="120" t="n">
        <f aca="false">SUMIF($F$7:$AG$7,AL$7,$F38:$AG38)</f>
        <v>419.479595601792</v>
      </c>
      <c r="AM38" s="120" t="n">
        <f aca="false">SUMIF($F$7:$AG$7,AM$7,$F38:$AG38)</f>
        <v>419.479595601792</v>
      </c>
      <c r="AN38" s="120" t="n">
        <f aca="false">SUMIF($F$7:$AG$7,AN$7,$F38:$AG38)</f>
        <v>416.104971769893</v>
      </c>
      <c r="AO38" s="120" t="n">
        <f aca="false">SUMIF($F$7:$AG$7,AO$7,$F38:$AG38)</f>
        <v>292.114708764117</v>
      </c>
    </row>
    <row r="39" customFormat="false" ht="15" hidden="false" customHeight="false" outlineLevel="0" collapsed="false">
      <c r="A39" s="101" t="s">
        <v>1822</v>
      </c>
      <c r="B39" s="18" t="s">
        <v>400</v>
      </c>
      <c r="C39" s="18" t="s">
        <v>1709</v>
      </c>
      <c r="D39" s="18"/>
      <c r="F39" s="119" t="n">
        <f aca="false">IF(F$5&lt;=LastHist,0,INDEX(Sec_Int,1,1))</f>
        <v>0</v>
      </c>
      <c r="G39" s="119" t="n">
        <f aca="false">IF(G$5&lt;=LastHist,0,INDEX(Sec_Int,1,2))</f>
        <v>0</v>
      </c>
      <c r="H39" s="119" t="n">
        <f aca="false">IF(H$5&lt;=LastHist,0,INDEX(Sec_Int,1,3))</f>
        <v>0</v>
      </c>
      <c r="I39" s="119" t="n">
        <f aca="false">IF(I$5&lt;=LastHist,0,INDEX(Sec_Int,1,4))</f>
        <v>0</v>
      </c>
      <c r="J39" s="119" t="n">
        <f aca="false">IF(J$5&lt;=LastHist,0,INDEX(Sec_Int,1,5))</f>
        <v>0</v>
      </c>
      <c r="K39" s="119" t="n">
        <f aca="false">IF(K$5&lt;=LastHist,0,INDEX(Sec_Int,1,6))</f>
        <v>0</v>
      </c>
      <c r="L39" s="119" t="n">
        <f aca="false">IF(L$5&lt;=LastHist,0,INDEX(Sec_Int,1,7))</f>
        <v>0</v>
      </c>
      <c r="M39" s="119" t="n">
        <f aca="false">IF(M$5&lt;=LastHist,0,INDEX(Sec_Int,1,8))</f>
        <v>0</v>
      </c>
      <c r="N39" s="119" t="n">
        <f aca="false">IF(N$5&lt;=LastHist,0,INDEX(Sec_Int,1,9))</f>
        <v>0</v>
      </c>
      <c r="O39" s="119" t="n">
        <f aca="false">IF(O$5&lt;=LastHist,0,INDEX(Sec_Int,1,10))</f>
        <v>0</v>
      </c>
      <c r="P39" s="120" t="n">
        <f aca="false">IF(P$5&lt;=LastHist,0,INDEX(Sec_Int,1,11))</f>
        <v>12.59375</v>
      </c>
      <c r="Q39" s="120" t="n">
        <f aca="false">IF(Q$5&lt;=LastHist,0,INDEX(Sec_Int,1,12))</f>
        <v>12.59375</v>
      </c>
      <c r="R39" s="120" t="n">
        <f aca="false">IF(R$5&lt;=LastHist,0,INDEX(Sec_Int,1,13))</f>
        <v>12.59375</v>
      </c>
      <c r="S39" s="120" t="n">
        <f aca="false">IF(S$5&lt;=LastHist,0,INDEX(Sec_Int,1,14))</f>
        <v>12.59375</v>
      </c>
      <c r="T39" s="120" t="n">
        <f aca="false">IF(T$5&lt;=LastHist,0,INDEX(Sec_Int,1,15))</f>
        <v>12.59375</v>
      </c>
      <c r="U39" s="120" t="n">
        <f aca="false">IF(U$5&lt;=LastHist,0,INDEX(Sec_Int,1,16))</f>
        <v>12.59375</v>
      </c>
      <c r="V39" s="120" t="n">
        <f aca="false">IF(V$5&lt;=LastHist,0,INDEX(Sec_Int,1,17))</f>
        <v>12.59375</v>
      </c>
      <c r="W39" s="120" t="n">
        <f aca="false">IF(W$5&lt;=LastHist,0,INDEX(Sec_Int,1,18))</f>
        <v>12.59375</v>
      </c>
      <c r="X39" s="120" t="n">
        <f aca="false">IF(X$5&lt;=LastHist,0,INDEX(Sec_Int,1,19))</f>
        <v>12.59375</v>
      </c>
      <c r="Y39" s="120" t="n">
        <f aca="false">IF(Y$5&lt;=LastHist,0,INDEX(Sec_Int,1,20))</f>
        <v>12.59375</v>
      </c>
      <c r="Z39" s="120" t="n">
        <f aca="false">IF(Z$5&lt;=LastHist,0,INDEX(Sec_Int,1,21))</f>
        <v>12.59375</v>
      </c>
      <c r="AA39" s="120" t="n">
        <f aca="false">IF(AA$5&lt;=LastHist,0,INDEX(Sec_Int,1,22))</f>
        <v>12.59375</v>
      </c>
      <c r="AB39" s="120" t="n">
        <f aca="false">IF(AB$5&lt;=LastHist,0,INDEX(Sec_Int,1,23))</f>
        <v>12.59375</v>
      </c>
      <c r="AC39" s="120" t="n">
        <f aca="false">IF(AC$5&lt;=LastHist,0,INDEX(Sec_Int,1,24))</f>
        <v>12.59375</v>
      </c>
      <c r="AD39" s="120" t="n">
        <f aca="false">IF(AD$5&lt;=LastHist,0,INDEX(Sec_Int,1,25))</f>
        <v>12.59375</v>
      </c>
      <c r="AE39" s="120" t="n">
        <f aca="false">IF(AE$5&lt;=LastHist,0,INDEX(Sec_Int,1,26))</f>
        <v>12.59375</v>
      </c>
      <c r="AF39" s="120" t="n">
        <f aca="false">IF(AF$5&lt;=LastHist,0,INDEX(Sec_Int,1,27))</f>
        <v>12.59375</v>
      </c>
      <c r="AG39" s="120" t="n">
        <f aca="false">IF(AG$5&lt;=LastHist,0,INDEX(Sec_Int,1,28))</f>
        <v>0</v>
      </c>
      <c r="AI39" s="120" t="n">
        <f aca="false">SUMIF($F$7:$AG$7,AI$7,$F39:$AG39)</f>
        <v>0</v>
      </c>
      <c r="AJ39" s="120" t="n">
        <f aca="false">SUMIF($F$7:$AG$7,AJ$7,$F39:$AG39)</f>
        <v>0</v>
      </c>
      <c r="AK39" s="120" t="n">
        <f aca="false">SUMIF($F$7:$AG$7,AK$7,$F39:$AG39)</f>
        <v>25.1875</v>
      </c>
      <c r="AL39" s="120" t="n">
        <f aca="false">SUMIF($F$7:$AG$7,AL$7,$F39:$AG39)</f>
        <v>50.375</v>
      </c>
      <c r="AM39" s="120" t="n">
        <f aca="false">SUMIF($F$7:$AG$7,AM$7,$F39:$AG39)</f>
        <v>50.375</v>
      </c>
      <c r="AN39" s="120" t="n">
        <f aca="false">SUMIF($F$7:$AG$7,AN$7,$F39:$AG39)</f>
        <v>50.375</v>
      </c>
      <c r="AO39" s="120" t="n">
        <f aca="false">SUMIF($F$7:$AG$7,AO$7,$F39:$AG39)</f>
        <v>37.78125</v>
      </c>
    </row>
    <row r="40" customFormat="false" ht="15" hidden="false" customHeight="false" outlineLevel="0" collapsed="false">
      <c r="A40" s="101" t="s">
        <v>1856</v>
      </c>
      <c r="B40" s="18" t="s">
        <v>400</v>
      </c>
      <c r="C40" s="18" t="s">
        <v>1857</v>
      </c>
      <c r="D40" s="18"/>
      <c r="F40" s="119" t="n">
        <f aca="false">IF(F$5&lt;=LastHist,0,INDEX(CF_PlugInt,1,1))</f>
        <v>0</v>
      </c>
      <c r="G40" s="119" t="n">
        <f aca="false">IF(G$5&lt;=LastHist,0,INDEX(CF_PlugInt,1,2))</f>
        <v>0</v>
      </c>
      <c r="H40" s="119" t="n">
        <f aca="false">IF(H$5&lt;=LastHist,0,INDEX(CF_PlugInt,1,3))</f>
        <v>0</v>
      </c>
      <c r="I40" s="119" t="n">
        <f aca="false">IF(I$5&lt;=LastHist,0,INDEX(CF_PlugInt,1,4))</f>
        <v>0</v>
      </c>
      <c r="J40" s="119" t="n">
        <f aca="false">IF(J$5&lt;=LastHist,0,INDEX(CF_PlugInt,1,5))</f>
        <v>0</v>
      </c>
      <c r="K40" s="119" t="n">
        <f aca="false">IF(K$5&lt;=LastHist,0,INDEX(CF_PlugInt,1,6))</f>
        <v>0</v>
      </c>
      <c r="L40" s="119" t="n">
        <f aca="false">IF(L$5&lt;=LastHist,0,INDEX(CF_PlugInt,1,7))</f>
        <v>0</v>
      </c>
      <c r="M40" s="119" t="n">
        <f aca="false">IF(M$5&lt;=LastHist,0,INDEX(CF_PlugInt,1,8))</f>
        <v>0</v>
      </c>
      <c r="N40" s="119" t="n">
        <f aca="false">IF(N$5&lt;=LastHist,0,INDEX(CF_PlugInt,1,9))</f>
        <v>0</v>
      </c>
      <c r="O40" s="119" t="n">
        <f aca="false">IF(O$5&lt;=LastHist,0,INDEX(CF_PlugInt,1,10))</f>
        <v>0</v>
      </c>
      <c r="P40" s="120" t="n">
        <f aca="false">IF(P$5&lt;=LastHist,0,INDEX(CF_PlugInt,1,11))</f>
        <v>0</v>
      </c>
      <c r="Q40" s="120" t="n">
        <f aca="false">IF(Q$5&lt;=LastHist,0,INDEX(CF_PlugInt,1,12))</f>
        <v>0</v>
      </c>
      <c r="R40" s="120" t="n">
        <f aca="false">IF(R$5&lt;=LastHist,0,INDEX(CF_PlugInt,1,13))</f>
        <v>0</v>
      </c>
      <c r="S40" s="120" t="n">
        <f aca="false">IF(S$5&lt;=LastHist,0,INDEX(CF_PlugInt,1,14))</f>
        <v>0</v>
      </c>
      <c r="T40" s="120" t="n">
        <f aca="false">IF(T$5&lt;=LastHist,0,INDEX(CF_PlugInt,1,15))</f>
        <v>10.6137798265352</v>
      </c>
      <c r="U40" s="120" t="n">
        <f aca="false">IF(U$5&lt;=LastHist,0,INDEX(CF_PlugInt,1,16))</f>
        <v>64.6887527992575</v>
      </c>
      <c r="V40" s="120" t="n">
        <f aca="false">IF(V$5&lt;=LastHist,0,INDEX(CF_PlugInt,1,17))</f>
        <v>89.2477530725573</v>
      </c>
      <c r="W40" s="120" t="n">
        <f aca="false">IF(W$5&lt;=LastHist,0,INDEX(CF_PlugInt,1,18))</f>
        <v>109.364702311915</v>
      </c>
      <c r="X40" s="120" t="n">
        <f aca="false">IF(X$5&lt;=LastHist,0,INDEX(CF_PlugInt,1,19))</f>
        <v>117.959215333771</v>
      </c>
      <c r="Y40" s="120" t="n">
        <f aca="false">IF(Y$5&lt;=LastHist,0,INDEX(CF_PlugInt,1,20))</f>
        <v>162.955849287947</v>
      </c>
      <c r="Z40" s="120" t="n">
        <f aca="false">IF(Z$5&lt;=LastHist,0,INDEX(CF_PlugInt,1,21))</f>
        <v>171.296779621592</v>
      </c>
      <c r="AA40" s="120" t="n">
        <f aca="false">IF(AA$5&lt;=LastHist,0,INDEX(CF_PlugInt,1,22))</f>
        <v>210.635318433355</v>
      </c>
      <c r="AB40" s="120" t="n">
        <f aca="false">IF(AB$5&lt;=LastHist,0,INDEX(CF_PlugInt,1,23))</f>
        <v>219.076148943446</v>
      </c>
      <c r="AC40" s="120" t="n">
        <f aca="false">IF(AC$5&lt;=LastHist,0,INDEX(CF_PlugInt,1,24))</f>
        <v>274.942341251674</v>
      </c>
      <c r="AD40" s="120" t="n">
        <f aca="false">IF(AD$5&lt;=LastHist,0,INDEX(CF_PlugInt,1,25))</f>
        <v>274.942341251674</v>
      </c>
      <c r="AE40" s="120" t="n">
        <f aca="false">IF(AE$5&lt;=LastHist,0,INDEX(CF_PlugInt,1,26))</f>
        <v>274.942341251674</v>
      </c>
      <c r="AF40" s="120" t="n">
        <f aca="false">IF(AF$5&lt;=LastHist,0,INDEX(CF_PlugInt,1,27))</f>
        <v>274.942341251674</v>
      </c>
      <c r="AG40" s="120" t="n">
        <f aca="false">IF(AG$5&lt;=LastHist,0,INDEX(CF_PlugInt,1,28))</f>
        <v>274.942341251674</v>
      </c>
      <c r="AI40" s="120" t="n">
        <f aca="false">SUMIF($F$7:$AG$7,AI$7,$F40:$AG40)</f>
        <v>0</v>
      </c>
      <c r="AJ40" s="120" t="n">
        <f aca="false">SUMIF($F$7:$AG$7,AJ$7,$F40:$AG40)</f>
        <v>0</v>
      </c>
      <c r="AK40" s="120" t="n">
        <f aca="false">SUMIF($F$7:$AG$7,AK$7,$F40:$AG40)</f>
        <v>0</v>
      </c>
      <c r="AL40" s="120" t="n">
        <f aca="false">SUMIF($F$7:$AG$7,AL$7,$F40:$AG40)</f>
        <v>75.3025326257927</v>
      </c>
      <c r="AM40" s="120" t="n">
        <f aca="false">SUMIF($F$7:$AG$7,AM$7,$F40:$AG40)</f>
        <v>479.527520006191</v>
      </c>
      <c r="AN40" s="120" t="n">
        <f aca="false">SUMIF($F$7:$AG$7,AN$7,$F40:$AG40)</f>
        <v>875.950588250067</v>
      </c>
      <c r="AO40" s="120" t="n">
        <f aca="false">SUMIF($F$7:$AG$7,AO$7,$F40:$AG40)</f>
        <v>1099.7693650067</v>
      </c>
    </row>
    <row r="41" customFormat="false" ht="15" hidden="false" customHeight="false" outlineLevel="0" collapsed="false">
      <c r="A41" s="101" t="s">
        <v>1858</v>
      </c>
      <c r="B41" s="18" t="s">
        <v>400</v>
      </c>
      <c r="C41" s="18" t="s">
        <v>1857</v>
      </c>
      <c r="D41" s="18"/>
      <c r="F41" s="119" t="n">
        <f aca="false">IF(F$5&lt;=LastHist,0,INDEX(CF_IntInc,1,1))</f>
        <v>0</v>
      </c>
      <c r="G41" s="119" t="n">
        <f aca="false">IF(G$5&lt;=LastHist,0,INDEX(CF_IntInc,1,2))</f>
        <v>0</v>
      </c>
      <c r="H41" s="119" t="n">
        <f aca="false">IF(H$5&lt;=LastHist,0,INDEX(CF_IntInc,1,3))</f>
        <v>0</v>
      </c>
      <c r="I41" s="119" t="n">
        <f aca="false">IF(I$5&lt;=LastHist,0,INDEX(CF_IntInc,1,4))</f>
        <v>0</v>
      </c>
      <c r="J41" s="119" t="n">
        <f aca="false">IF(J$5&lt;=LastHist,0,INDEX(CF_IntInc,1,5))</f>
        <v>0</v>
      </c>
      <c r="K41" s="119" t="n">
        <f aca="false">IF(K$5&lt;=LastHist,0,INDEX(CF_IntInc,1,6))</f>
        <v>0</v>
      </c>
      <c r="L41" s="119" t="n">
        <f aca="false">IF(L$5&lt;=LastHist,0,INDEX(CF_IntInc,1,7))</f>
        <v>0</v>
      </c>
      <c r="M41" s="119" t="n">
        <f aca="false">IF(M$5&lt;=LastHist,0,INDEX(CF_IntInc,1,8))</f>
        <v>0</v>
      </c>
      <c r="N41" s="119" t="n">
        <f aca="false">IF(N$5&lt;=LastHist,0,INDEX(CF_IntInc,1,9))</f>
        <v>0</v>
      </c>
      <c r="O41" s="119" t="n">
        <f aca="false">IF(O$5&lt;=LastHist,0,INDEX(CF_IntInc,1,10))</f>
        <v>0</v>
      </c>
      <c r="P41" s="120" t="n">
        <f aca="false">IF(P$5&lt;=LastHist,0,INDEX(CF_IntInc,1,11))</f>
        <v>70.368375</v>
      </c>
      <c r="Q41" s="120" t="n">
        <f aca="false">IF(Q$5&lt;=LastHist,0,INDEX(CF_IntInc,1,12))</f>
        <v>105.941847249713</v>
      </c>
      <c r="R41" s="120" t="n">
        <f aca="false">IF(R$5&lt;=LastHist,0,INDEX(CF_IntInc,1,13))</f>
        <v>76.6456746728533</v>
      </c>
      <c r="S41" s="120" t="n">
        <f aca="false">IF(S$5&lt;=LastHist,0,INDEX(CF_IntInc,1,14))</f>
        <v>43.4059669474669</v>
      </c>
      <c r="T41" s="120" t="n">
        <f aca="false">IF(T$5&lt;=LastHist,0,INDEX(CF_IntInc,1,15))</f>
        <v>17.5</v>
      </c>
      <c r="U41" s="120" t="n">
        <f aca="false">IF(U$5&lt;=LastHist,0,INDEX(CF_IntInc,1,16))</f>
        <v>17.5</v>
      </c>
      <c r="V41" s="120" t="n">
        <f aca="false">IF(V$5&lt;=LastHist,0,INDEX(CF_IntInc,1,17))</f>
        <v>17.5</v>
      </c>
      <c r="W41" s="120" t="n">
        <f aca="false">IF(W$5&lt;=LastHist,0,INDEX(CF_IntInc,1,18))</f>
        <v>17.5</v>
      </c>
      <c r="X41" s="120" t="n">
        <f aca="false">IF(X$5&lt;=LastHist,0,INDEX(CF_IntInc,1,19))</f>
        <v>17.5</v>
      </c>
      <c r="Y41" s="120" t="n">
        <f aca="false">IF(Y$5&lt;=LastHist,0,INDEX(CF_IntInc,1,20))</f>
        <v>17.5</v>
      </c>
      <c r="Z41" s="120" t="n">
        <f aca="false">IF(Z$5&lt;=LastHist,0,INDEX(CF_IntInc,1,21))</f>
        <v>17.5</v>
      </c>
      <c r="AA41" s="120" t="n">
        <f aca="false">IF(AA$5&lt;=LastHist,0,INDEX(CF_IntInc,1,22))</f>
        <v>17.5</v>
      </c>
      <c r="AB41" s="120" t="n">
        <f aca="false">IF(AB$5&lt;=LastHist,0,INDEX(CF_IntInc,1,23))</f>
        <v>17.5</v>
      </c>
      <c r="AC41" s="120" t="n">
        <f aca="false">IF(AC$5&lt;=LastHist,0,INDEX(CF_IntInc,1,24))</f>
        <v>17.5</v>
      </c>
      <c r="AD41" s="120" t="n">
        <f aca="false">IF(AD$5&lt;=LastHist,0,INDEX(CF_IntInc,1,25))</f>
        <v>40.4173502004383</v>
      </c>
      <c r="AE41" s="120" t="n">
        <f aca="false">IF(AE$5&lt;=LastHist,0,INDEX(CF_IntInc,1,26))</f>
        <v>38.3238554745998</v>
      </c>
      <c r="AF41" s="120" t="n">
        <f aca="false">IF(AF$5&lt;=LastHist,0,INDEX(CF_IntInc,1,27))</f>
        <v>75.8072476743291</v>
      </c>
      <c r="AG41" s="120" t="n">
        <f aca="false">IF(AG$5&lt;=LastHist,0,INDEX(CF_IntInc,1,28))</f>
        <v>111.404619731215</v>
      </c>
      <c r="AI41" s="120" t="n">
        <f aca="false">SUMIF($F$7:$AG$7,AI$7,$F41:$AG41)</f>
        <v>0</v>
      </c>
      <c r="AJ41" s="120" t="n">
        <f aca="false">SUMIF($F$7:$AG$7,AJ$7,$F41:$AG41)</f>
        <v>0</v>
      </c>
      <c r="AK41" s="120" t="n">
        <f aca="false">SUMIF($F$7:$AG$7,AK$7,$F41:$AG41)</f>
        <v>176.310222249713</v>
      </c>
      <c r="AL41" s="120" t="n">
        <f aca="false">SUMIF($F$7:$AG$7,AL$7,$F41:$AG41)</f>
        <v>155.05164162032</v>
      </c>
      <c r="AM41" s="120" t="n">
        <f aca="false">SUMIF($F$7:$AG$7,AM$7,$F41:$AG41)</f>
        <v>70</v>
      </c>
      <c r="AN41" s="120" t="n">
        <f aca="false">SUMIF($F$7:$AG$7,AN$7,$F41:$AG41)</f>
        <v>70</v>
      </c>
      <c r="AO41" s="120" t="n">
        <f aca="false">SUMIF($F$7:$AG$7,AO$7,$F41:$AG41)</f>
        <v>265.953073080582</v>
      </c>
    </row>
    <row r="42" customFormat="false" ht="15" hidden="false" customHeight="false" outlineLevel="0" collapsed="false">
      <c r="A42" s="101" t="s">
        <v>1859</v>
      </c>
      <c r="B42" s="18" t="s">
        <v>400</v>
      </c>
      <c r="C42" s="18" t="s">
        <v>1622</v>
      </c>
      <c r="D42" s="18"/>
      <c r="F42" s="119" t="n">
        <f aca="false">IF(F$5&lt;=LastHist,0,INDEX(CapInt,1,1))</f>
        <v>0</v>
      </c>
      <c r="G42" s="119" t="n">
        <f aca="false">IF(G$5&lt;=LastHist,0,INDEX(CapInt,1,2))</f>
        <v>0</v>
      </c>
      <c r="H42" s="119" t="n">
        <f aca="false">IF(H$5&lt;=LastHist,0,INDEX(CapInt,1,3))</f>
        <v>0</v>
      </c>
      <c r="I42" s="119" t="n">
        <f aca="false">IF(I$5&lt;=LastHist,0,INDEX(CapInt,1,4))</f>
        <v>0</v>
      </c>
      <c r="J42" s="119" t="n">
        <f aca="false">IF(J$5&lt;=LastHist,0,INDEX(CapInt,1,5))</f>
        <v>0</v>
      </c>
      <c r="K42" s="119" t="n">
        <f aca="false">IF(K$5&lt;=LastHist,0,INDEX(CapInt,1,6))</f>
        <v>0</v>
      </c>
      <c r="L42" s="119" t="n">
        <f aca="false">IF(L$5&lt;=LastHist,0,INDEX(CapInt,1,7))</f>
        <v>0</v>
      </c>
      <c r="M42" s="119" t="n">
        <f aca="false">IF(M$5&lt;=LastHist,0,INDEX(CapInt,1,8))</f>
        <v>0</v>
      </c>
      <c r="N42" s="119" t="n">
        <f aca="false">IF(N$5&lt;=LastHist,0,INDEX(CapInt,1,9))</f>
        <v>0</v>
      </c>
      <c r="O42" s="119" t="n">
        <f aca="false">IF(O$5&lt;=LastHist,0,INDEX(CapInt,1,10))</f>
        <v>0</v>
      </c>
      <c r="P42" s="120" t="n">
        <f aca="false">IF(P$5&lt;=LastHist,0,INDEX(CapInt,1,11))</f>
        <v>68.4941468762675</v>
      </c>
      <c r="Q42" s="120" t="n">
        <f aca="false">IF(Q$5&lt;=LastHist,0,INDEX(CapInt,1,12))</f>
        <v>68.4941468762675</v>
      </c>
      <c r="R42" s="120" t="n">
        <f aca="false">IF(R$5&lt;=LastHist,0,INDEX(CapInt,1,13))</f>
        <v>68.4941468762675</v>
      </c>
      <c r="S42" s="120" t="n">
        <f aca="false">IF(S$5&lt;=LastHist,0,INDEX(CapInt,1,14))</f>
        <v>68.4941468762675</v>
      </c>
      <c r="T42" s="120" t="n">
        <f aca="false">IF(T$5&lt;=LastHist,0,INDEX(CapInt,1,15))</f>
        <v>68.4941468762675</v>
      </c>
      <c r="U42" s="120" t="n">
        <f aca="false">IF(U$5&lt;=LastHist,0,INDEX(CapInt,1,16))</f>
        <v>68.4941468762675</v>
      </c>
      <c r="V42" s="120" t="n">
        <f aca="false">IF(V$5&lt;=LastHist,0,INDEX(CapInt,1,17))</f>
        <v>68.4941468762675</v>
      </c>
      <c r="W42" s="120" t="n">
        <f aca="false">IF(W$5&lt;=LastHist,0,INDEX(CapInt,1,18))</f>
        <v>68.4941468762675</v>
      </c>
      <c r="X42" s="120" t="n">
        <f aca="false">IF(X$5&lt;=LastHist,0,INDEX(CapInt,1,19))</f>
        <v>68.4941468762675</v>
      </c>
      <c r="Y42" s="120" t="n">
        <f aca="false">IF(Y$5&lt;=LastHist,0,INDEX(CapInt,1,20))</f>
        <v>68.4941468762675</v>
      </c>
      <c r="Z42" s="120" t="n">
        <f aca="false">IF(Z$5&lt;=LastHist,0,INDEX(CapInt,1,21))</f>
        <v>68.4941468762675</v>
      </c>
      <c r="AA42" s="120" t="n">
        <f aca="false">IF(AA$5&lt;=LastHist,0,INDEX(CapInt,1,22))</f>
        <v>67.9098187718908</v>
      </c>
      <c r="AB42" s="120" t="n">
        <f aca="false">IF(AB$5&lt;=LastHist,0,INDEX(CapInt,1,23))</f>
        <v>67.9098187718908</v>
      </c>
      <c r="AC42" s="120" t="n">
        <f aca="false">IF(AC$5&lt;=LastHist,0,INDEX(CapInt,1,24))</f>
        <v>67.9098187718908</v>
      </c>
      <c r="AD42" s="120" t="n">
        <f aca="false">IF(AD$5&lt;=LastHist,0,INDEX(CapInt,1,25))</f>
        <v>57.0270367105218</v>
      </c>
      <c r="AE42" s="120" t="n">
        <f aca="false">IF(AE$5&lt;=LastHist,0,INDEX(CapInt,1,26))</f>
        <v>57.0270367105218</v>
      </c>
      <c r="AF42" s="120" t="n">
        <f aca="false">IF(AF$5&lt;=LastHist,0,INDEX(CapInt,1,27))</f>
        <v>51.1125544533682</v>
      </c>
      <c r="AG42" s="120" t="n">
        <f aca="false">IF(AG$5&lt;=LastHist,0,INDEX(CapInt,1,28))</f>
        <v>46.4024919533682</v>
      </c>
      <c r="AI42" s="120" t="n">
        <f aca="false">SUMIF($F$7:$AG$7,AI$7,$F42:$AG42)</f>
        <v>0</v>
      </c>
      <c r="AJ42" s="120" t="n">
        <f aca="false">SUMIF($F$7:$AG$7,AJ$7,$F42:$AG42)</f>
        <v>0</v>
      </c>
      <c r="AK42" s="120" t="n">
        <f aca="false">SUMIF($F$7:$AG$7,AK$7,$F42:$AG42)</f>
        <v>136.988293752535</v>
      </c>
      <c r="AL42" s="120" t="n">
        <f aca="false">SUMIF($F$7:$AG$7,AL$7,$F42:$AG42)</f>
        <v>273.97658750507</v>
      </c>
      <c r="AM42" s="120" t="n">
        <f aca="false">SUMIF($F$7:$AG$7,AM$7,$F42:$AG42)</f>
        <v>273.97658750507</v>
      </c>
      <c r="AN42" s="120" t="n">
        <f aca="false">SUMIF($F$7:$AG$7,AN$7,$F42:$AG42)</f>
        <v>272.22360319194</v>
      </c>
      <c r="AO42" s="120" t="n">
        <f aca="false">SUMIF($F$7:$AG$7,AO$7,$F42:$AG42)</f>
        <v>211.56911982778</v>
      </c>
    </row>
    <row r="43" customFormat="false" ht="15" hidden="false" customHeight="false" outlineLevel="0" collapsed="false">
      <c r="A43" s="3" t="s">
        <v>1860</v>
      </c>
      <c r="B43" s="18" t="s">
        <v>400</v>
      </c>
      <c r="C43" s="18" t="s">
        <v>336</v>
      </c>
      <c r="D43" s="18"/>
      <c r="F43" s="121" t="n">
        <f aca="false">IF(F$5&lt;=LastHist,0,F33-F37-F38-F39-F40+F41+F42)</f>
        <v>0</v>
      </c>
      <c r="G43" s="121" t="n">
        <f aca="false">IF(G$5&lt;=LastHist,0,G33-G37-G38-G39-G40+G41+G42)</f>
        <v>0</v>
      </c>
      <c r="H43" s="121" t="n">
        <f aca="false">IF(H$5&lt;=LastHist,0,H33-H37-H38-H39-H40+H41+H42)</f>
        <v>0</v>
      </c>
      <c r="I43" s="121" t="n">
        <f aca="false">IF(I$5&lt;=LastHist,0,I33-I37-I38-I39-I40+I41+I42)</f>
        <v>0</v>
      </c>
      <c r="J43" s="121" t="n">
        <f aca="false">IF(J$5&lt;=LastHist,0,J33-J37-J38-J39-J40+J41+J42)</f>
        <v>0</v>
      </c>
      <c r="K43" s="121" t="n">
        <f aca="false">IF(K$5&lt;=LastHist,0,K33-K37-K38-K39-K40+K41+K42)</f>
        <v>0</v>
      </c>
      <c r="L43" s="121" t="n">
        <f aca="false">IF(L$5&lt;=LastHist,0,L33-L37-L38-L39-L40+L41+L42)</f>
        <v>0</v>
      </c>
      <c r="M43" s="121" t="n">
        <f aca="false">IF(M$5&lt;=LastHist,0,M33-M37-M38-M39-M40+M41+M42)</f>
        <v>0</v>
      </c>
      <c r="N43" s="121" t="n">
        <f aca="false">IF(N$5&lt;=LastHist,0,N33-N37-N38-N39-N40+N41+N42)</f>
        <v>0</v>
      </c>
      <c r="O43" s="121" t="n">
        <f aca="false">IF(O$5&lt;=LastHist,0,O33-O37-O38-O39-O40+O41+O42)</f>
        <v>0</v>
      </c>
      <c r="P43" s="93" t="n">
        <f aca="false">IF(P$5&lt;=LastHist,0,P33-P37-P38-P39-P40+P41+P42)</f>
        <v>-383.759167141234</v>
      </c>
      <c r="Q43" s="93" t="n">
        <f aca="false">IF(Q$5&lt;=LastHist,0,Q33-Q37-Q38-Q39-Q40+Q41+Q42)</f>
        <v>-302.337181347853</v>
      </c>
      <c r="R43" s="93" t="n">
        <f aca="false">IF(R$5&lt;=LastHist,0,R33-R37-R38-R39-R40+R41+R42)</f>
        <v>-317.808156388951</v>
      </c>
      <c r="S43" s="93" t="n">
        <f aca="false">IF(S$5&lt;=LastHist,0,S33-S37-S38-S39-S40+S41+S42)</f>
        <v>-368.733391485262</v>
      </c>
      <c r="T43" s="93" t="n">
        <f aca="false">IF(T$5&lt;=LastHist,0,T33-T37-T38-T39-T40+T41+T42)</f>
        <v>-387.515304833746</v>
      </c>
      <c r="U43" s="93" t="n">
        <f aca="false">IF(U$5&lt;=LastHist,0,U33-U37-U38-U39-U40+U41+U42)</f>
        <v>-379.442687630348</v>
      </c>
      <c r="V43" s="93" t="n">
        <f aca="false">IF(V$5&lt;=LastHist,0,V33-V37-V38-V39-V40+V41+V42)</f>
        <v>-165.751407146103</v>
      </c>
      <c r="W43" s="93" t="n">
        <f aca="false">IF(W$5&lt;=LastHist,0,W33-W37-W38-W39-W40+W41+W42)</f>
        <v>183.071850136064</v>
      </c>
      <c r="X43" s="93" t="n">
        <f aca="false">IF(X$5&lt;=LastHist,0,X33-X37-X38-X39-X40+X41+X42)</f>
        <v>278.952030317368</v>
      </c>
      <c r="Y43" s="93" t="n">
        <f aca="false">IF(Y$5&lt;=LastHist,0,Y33-Y37-Y38-Y39-Y40+Y41+Y42)</f>
        <v>437.645228575239</v>
      </c>
      <c r="Z43" s="93" t="n">
        <f aca="false">IF(Z$5&lt;=LastHist,0,Z33-Z37-Z38-Z39-Z40+Z41+Z42)</f>
        <v>544.524583016485</v>
      </c>
      <c r="AA43" s="93" t="n">
        <f aca="false">IF(AA$5&lt;=LastHist,0,AA33-AA37-AA38-AA39-AA40+AA41+AA42)</f>
        <v>977.52660837449</v>
      </c>
      <c r="AB43" s="93" t="n">
        <f aca="false">IF(AB$5&lt;=LastHist,0,AB33-AB37-AB38-AB39-AB40+AB41+AB42)</f>
        <v>901.363045229544</v>
      </c>
      <c r="AC43" s="93" t="n">
        <f aca="false">IF(AC$5&lt;=LastHist,0,AC33-AC37-AC38-AC39-AC40+AC41+AC42)</f>
        <v>1294.65999692877</v>
      </c>
      <c r="AD43" s="93" t="n">
        <f aca="false">IF(AD$5&lt;=LastHist,0,AD33-AD37-AD38-AD39-AD40+AD41+AD42)</f>
        <v>1430.05069892995</v>
      </c>
      <c r="AE43" s="93" t="n">
        <f aca="false">IF(AE$5&lt;=LastHist,0,AE33-AE37-AE38-AE39-AE40+AE41+AE42)</f>
        <v>2112.61186160266</v>
      </c>
      <c r="AF43" s="93" t="n">
        <f aca="false">IF(AF$5&lt;=LastHist,0,AF33-AF37-AF38-AF39-AF40+AF41+AF42)</f>
        <v>2094.13352481521</v>
      </c>
      <c r="AG43" s="93" t="n">
        <f aca="false">IF(AG$5&lt;=LastHist,0,AG33-AG37-AG38-AG39-AG40+AG41+AG42)</f>
        <v>2275.17434959333</v>
      </c>
      <c r="AI43" s="93" t="n">
        <f aca="false">SUMIF($F$7:$AG$7,AI$7,$F43:$AG43)</f>
        <v>0</v>
      </c>
      <c r="AJ43" s="93" t="n">
        <f aca="false">SUMIF($F$7:$AG$7,AJ$7,$F43:$AG43)</f>
        <v>0</v>
      </c>
      <c r="AK43" s="93" t="n">
        <f aca="false">SUMIF($F$7:$AG$7,AK$7,$F43:$AG43)</f>
        <v>-686.096348489086</v>
      </c>
      <c r="AL43" s="93" t="n">
        <f aca="false">SUMIF($F$7:$AG$7,AL$7,$F43:$AG43)</f>
        <v>-1453.49954033831</v>
      </c>
      <c r="AM43" s="93" t="n">
        <f aca="false">SUMIF($F$7:$AG$7,AM$7,$F43:$AG43)</f>
        <v>733.917701882569</v>
      </c>
      <c r="AN43" s="93" t="n">
        <f aca="false">SUMIF($F$7:$AG$7,AN$7,$F43:$AG43)</f>
        <v>3718.07423354929</v>
      </c>
      <c r="AO43" s="93" t="n">
        <f aca="false">SUMIF($F$7:$AG$7,AO$7,$F43:$AG43)</f>
        <v>7911.97043494116</v>
      </c>
    </row>
    <row r="44" customFormat="false" ht="15" hidden="false" customHeight="false" outlineLevel="0" collapsed="false">
      <c r="A44" s="101" t="s">
        <v>1861</v>
      </c>
      <c r="B44" s="18" t="s">
        <v>400</v>
      </c>
      <c r="C44" s="18" t="s">
        <v>336</v>
      </c>
      <c r="D44" s="18" t="s">
        <v>1862</v>
      </c>
      <c r="F44" s="119" t="n">
        <f aca="false">MAX(0,F43)*TaxRate</f>
        <v>0</v>
      </c>
      <c r="G44" s="119" t="n">
        <f aca="false">MAX(0,G43)*TaxRate</f>
        <v>0</v>
      </c>
      <c r="H44" s="119" t="n">
        <f aca="false">MAX(0,H43)*TaxRate</f>
        <v>0</v>
      </c>
      <c r="I44" s="119" t="n">
        <f aca="false">MAX(0,I43)*TaxRate</f>
        <v>0</v>
      </c>
      <c r="J44" s="119" t="n">
        <f aca="false">MAX(0,J43)*TaxRate</f>
        <v>0</v>
      </c>
      <c r="K44" s="119" t="n">
        <f aca="false">MAX(0,K43)*TaxRate</f>
        <v>0</v>
      </c>
      <c r="L44" s="119" t="n">
        <f aca="false">MAX(0,L43)*TaxRate</f>
        <v>0</v>
      </c>
      <c r="M44" s="119" t="n">
        <f aca="false">MAX(0,M43)*TaxRate</f>
        <v>0</v>
      </c>
      <c r="N44" s="119" t="n">
        <f aca="false">MAX(0,N43)*TaxRate</f>
        <v>0</v>
      </c>
      <c r="O44" s="119" t="n">
        <f aca="false">MAX(0,O43)*TaxRate</f>
        <v>0</v>
      </c>
      <c r="P44" s="120" t="n">
        <f aca="false">MAX(0,P43)*TaxRate</f>
        <v>0</v>
      </c>
      <c r="Q44" s="120" t="n">
        <f aca="false">MAX(0,Q43)*TaxRate</f>
        <v>0</v>
      </c>
      <c r="R44" s="120" t="n">
        <f aca="false">MAX(0,R43)*TaxRate</f>
        <v>0</v>
      </c>
      <c r="S44" s="120" t="n">
        <f aca="false">MAX(0,S43)*TaxRate</f>
        <v>0</v>
      </c>
      <c r="T44" s="120" t="n">
        <f aca="false">MAX(0,T43)*TaxRate</f>
        <v>0</v>
      </c>
      <c r="U44" s="120" t="n">
        <f aca="false">MAX(0,U43)*TaxRate</f>
        <v>0</v>
      </c>
      <c r="V44" s="120" t="n">
        <f aca="false">MAX(0,V43)*TaxRate</f>
        <v>0</v>
      </c>
      <c r="W44" s="120" t="n">
        <f aca="false">MAX(0,W43)*TaxRate</f>
        <v>47.2325373351045</v>
      </c>
      <c r="X44" s="120" t="n">
        <f aca="false">MAX(0,X43)*TaxRate</f>
        <v>71.969623821881</v>
      </c>
      <c r="Y44" s="120" t="n">
        <f aca="false">MAX(0,Y43)*TaxRate</f>
        <v>112.912468972412</v>
      </c>
      <c r="Z44" s="120" t="n">
        <f aca="false">MAX(0,Z43)*TaxRate</f>
        <v>140.487342418253</v>
      </c>
      <c r="AA44" s="120" t="n">
        <f aca="false">MAX(0,AA43)*TaxRate</f>
        <v>252.201864960618</v>
      </c>
      <c r="AB44" s="120" t="n">
        <f aca="false">MAX(0,AB43)*TaxRate</f>
        <v>232.551665669222</v>
      </c>
      <c r="AC44" s="120" t="n">
        <f aca="false">MAX(0,AC43)*TaxRate</f>
        <v>334.022279207623</v>
      </c>
      <c r="AD44" s="120" t="n">
        <f aca="false">MAX(0,AD43)*TaxRate</f>
        <v>368.953080323928</v>
      </c>
      <c r="AE44" s="120" t="n">
        <f aca="false">MAX(0,AE43)*TaxRate</f>
        <v>545.053860293487</v>
      </c>
      <c r="AF44" s="120" t="n">
        <f aca="false">MAX(0,AF43)*TaxRate</f>
        <v>540.286449402324</v>
      </c>
      <c r="AG44" s="120" t="n">
        <f aca="false">MAX(0,AG43)*TaxRate</f>
        <v>586.99498219508</v>
      </c>
      <c r="AI44" s="120" t="n">
        <f aca="false">SUMIF($F$7:$AG$7,AI$7,$F44:$AG44)</f>
        <v>0</v>
      </c>
      <c r="AJ44" s="120" t="n">
        <f aca="false">SUMIF($F$7:$AG$7,AJ$7,$F44:$AG44)</f>
        <v>0</v>
      </c>
      <c r="AK44" s="120" t="n">
        <f aca="false">SUMIF($F$7:$AG$7,AK$7,$F44:$AG44)</f>
        <v>0</v>
      </c>
      <c r="AL44" s="120" t="n">
        <f aca="false">SUMIF($F$7:$AG$7,AL$7,$F44:$AG44)</f>
        <v>0</v>
      </c>
      <c r="AM44" s="120" t="n">
        <f aca="false">SUMIF($F$7:$AG$7,AM$7,$F44:$AG44)</f>
        <v>232.114630129397</v>
      </c>
      <c r="AN44" s="120" t="n">
        <f aca="false">SUMIF($F$7:$AG$7,AN$7,$F44:$AG44)</f>
        <v>959.263152255717</v>
      </c>
      <c r="AO44" s="120" t="n">
        <f aca="false">SUMIF($F$7:$AG$7,AO$7,$F44:$AG44)</f>
        <v>2041.28837221482</v>
      </c>
    </row>
    <row r="45" customFormat="false" ht="15" hidden="false" customHeight="false" outlineLevel="0" collapsed="false">
      <c r="A45" s="3" t="s">
        <v>1863</v>
      </c>
      <c r="B45" s="18" t="s">
        <v>400</v>
      </c>
      <c r="C45" s="18" t="s">
        <v>336</v>
      </c>
      <c r="D45" s="18"/>
      <c r="F45" s="121" t="n">
        <f aca="false">F43-F44</f>
        <v>0</v>
      </c>
      <c r="G45" s="121" t="n">
        <f aca="false">G43-G44</f>
        <v>0</v>
      </c>
      <c r="H45" s="121" t="n">
        <f aca="false">H43-H44</f>
        <v>0</v>
      </c>
      <c r="I45" s="121" t="n">
        <f aca="false">I43-I44</f>
        <v>0</v>
      </c>
      <c r="J45" s="121" t="n">
        <f aca="false">J43-J44</f>
        <v>0</v>
      </c>
      <c r="K45" s="121" t="n">
        <f aca="false">K43-K44</f>
        <v>0</v>
      </c>
      <c r="L45" s="121" t="n">
        <f aca="false">L43-L44</f>
        <v>0</v>
      </c>
      <c r="M45" s="121" t="n">
        <f aca="false">M43-M44</f>
        <v>0</v>
      </c>
      <c r="N45" s="121" t="n">
        <f aca="false">N43-N44</f>
        <v>0</v>
      </c>
      <c r="O45" s="121" t="n">
        <f aca="false">O43-O44</f>
        <v>0</v>
      </c>
      <c r="P45" s="93" t="n">
        <f aca="false">P43-P44</f>
        <v>-383.759167141234</v>
      </c>
      <c r="Q45" s="93" t="n">
        <f aca="false">Q43-Q44</f>
        <v>-302.337181347853</v>
      </c>
      <c r="R45" s="93" t="n">
        <f aca="false">R43-R44</f>
        <v>-317.808156388951</v>
      </c>
      <c r="S45" s="93" t="n">
        <f aca="false">S43-S44</f>
        <v>-368.733391485262</v>
      </c>
      <c r="T45" s="93" t="n">
        <f aca="false">T43-T44</f>
        <v>-387.515304833746</v>
      </c>
      <c r="U45" s="93" t="n">
        <f aca="false">U43-U44</f>
        <v>-379.442687630348</v>
      </c>
      <c r="V45" s="93" t="n">
        <f aca="false">V43-V44</f>
        <v>-165.751407146103</v>
      </c>
      <c r="W45" s="93" t="n">
        <f aca="false">W43-W44</f>
        <v>135.839312800959</v>
      </c>
      <c r="X45" s="93" t="n">
        <f aca="false">X43-X44</f>
        <v>206.982406495487</v>
      </c>
      <c r="Y45" s="93" t="n">
        <f aca="false">Y43-Y44</f>
        <v>324.732759602828</v>
      </c>
      <c r="Z45" s="93" t="n">
        <f aca="false">Z43-Z44</f>
        <v>404.037240598232</v>
      </c>
      <c r="AA45" s="93" t="n">
        <f aca="false">AA43-AA44</f>
        <v>725.324743413872</v>
      </c>
      <c r="AB45" s="93" t="n">
        <f aca="false">AB43-AB44</f>
        <v>668.811379560321</v>
      </c>
      <c r="AC45" s="93" t="n">
        <f aca="false">AC43-AC44</f>
        <v>960.637717721148</v>
      </c>
      <c r="AD45" s="93" t="n">
        <f aca="false">AD43-AD44</f>
        <v>1061.09761860602</v>
      </c>
      <c r="AE45" s="93" t="n">
        <f aca="false">AE43-AE44</f>
        <v>1567.55800130918</v>
      </c>
      <c r="AF45" s="93" t="n">
        <f aca="false">AF43-AF44</f>
        <v>1553.84707541289</v>
      </c>
      <c r="AG45" s="93" t="n">
        <f aca="false">AG43-AG44</f>
        <v>1688.17936739825</v>
      </c>
      <c r="AI45" s="93" t="n">
        <f aca="false">SUMIF($F$7:$AG$7,AI$7,$F45:$AG45)</f>
        <v>0</v>
      </c>
      <c r="AJ45" s="93" t="n">
        <f aca="false">SUMIF($F$7:$AG$7,AJ$7,$F45:$AG45)</f>
        <v>0</v>
      </c>
      <c r="AK45" s="93" t="n">
        <f aca="false">SUMIF($F$7:$AG$7,AK$7,$F45:$AG45)</f>
        <v>-686.096348489086</v>
      </c>
      <c r="AL45" s="93" t="n">
        <f aca="false">SUMIF($F$7:$AG$7,AL$7,$F45:$AG45)</f>
        <v>-1453.49954033831</v>
      </c>
      <c r="AM45" s="93" t="n">
        <f aca="false">SUMIF($F$7:$AG$7,AM$7,$F45:$AG45)</f>
        <v>501.803071753171</v>
      </c>
      <c r="AN45" s="93" t="n">
        <f aca="false">SUMIF($F$7:$AG$7,AN$7,$F45:$AG45)</f>
        <v>2758.81108129357</v>
      </c>
      <c r="AO45" s="93" t="n">
        <f aca="false">SUMIF($F$7:$AG$7,AO$7,$F45:$AG45)</f>
        <v>5870.68206272634</v>
      </c>
    </row>
    <row r="46" customFormat="false" ht="15" hidden="false" customHeight="false" outlineLevel="0" collapsed="false">
      <c r="A46" s="101" t="s">
        <v>1864</v>
      </c>
      <c r="B46" s="18" t="s">
        <v>781</v>
      </c>
      <c r="C46" s="18" t="s">
        <v>1865</v>
      </c>
      <c r="D46" s="18"/>
      <c r="F46" s="110" t="n">
        <f aca="false">INDEX(Sh_Dil,1,1)</f>
        <v>205.574091</v>
      </c>
      <c r="G46" s="110" t="n">
        <f aca="false">INDEX(Sh_Dil,1,2)</f>
        <v>205.574091</v>
      </c>
      <c r="H46" s="110" t="n">
        <f aca="false">INDEX(Sh_Dil,1,3)</f>
        <v>205.574209</v>
      </c>
      <c r="I46" s="110" t="n">
        <f aca="false">INDEX(Sh_Dil,1,4)</f>
        <v>241.987691</v>
      </c>
      <c r="J46" s="110" t="n">
        <f aca="false">INDEX(Sh_Dil,1,5)</f>
        <v>244.342922</v>
      </c>
      <c r="K46" s="110" t="n">
        <f aca="false">INDEX(Sh_Dil,1,6)</f>
        <v>263.8895755</v>
      </c>
      <c r="L46" s="110" t="n">
        <f aca="false">INDEX(Sh_Dil,1,7)</f>
        <v>276.9917055</v>
      </c>
      <c r="M46" s="110" t="n">
        <f aca="false">INDEX(Sh_Dil,1,8)</f>
        <v>278.2014545</v>
      </c>
      <c r="N46" s="110" t="n">
        <f aca="false">INDEX(Sh_Dil,1,9)</f>
        <v>300.1486135</v>
      </c>
      <c r="O46" s="110" t="n">
        <f aca="false">INDEX(Sh_Dil,1,10)</f>
        <v>318.1056375</v>
      </c>
      <c r="P46" s="21" t="n">
        <f aca="false">INDEX(Sh_Dil,1,11)</f>
        <v>318.3265975</v>
      </c>
      <c r="Q46" s="21" t="n">
        <f aca="false">INDEX(Sh_Dil,1,12)</f>
        <v>318.3265975</v>
      </c>
      <c r="R46" s="21" t="n">
        <f aca="false">INDEX(Sh_Dil,1,13)</f>
        <v>318.3265975</v>
      </c>
      <c r="S46" s="21" t="n">
        <f aca="false">INDEX(Sh_Dil,1,14)</f>
        <v>320.901695267986</v>
      </c>
      <c r="T46" s="21" t="n">
        <f aca="false">INDEX(Sh_Dil,1,15)</f>
        <v>334.02127608479</v>
      </c>
      <c r="U46" s="21" t="n">
        <f aca="false">INDEX(Sh_Dil,1,16)</f>
        <v>339.979740253195</v>
      </c>
      <c r="V46" s="21" t="n">
        <f aca="false">INDEX(Sh_Dil,1,17)</f>
        <v>344.86048132109</v>
      </c>
      <c r="W46" s="21" t="n">
        <f aca="false">INDEX(Sh_Dil,1,18)</f>
        <v>346.945667905061</v>
      </c>
      <c r="X46" s="21" t="n">
        <f aca="false">INDEX(Sh_Dil,1,19)</f>
        <v>357.862677072013</v>
      </c>
      <c r="Y46" s="21" t="n">
        <f aca="false">INDEX(Sh_Dil,1,20)</f>
        <v>359.886339842123</v>
      </c>
      <c r="Z46" s="21" t="n">
        <f aca="false">INDEX(Sh_Dil,1,21)</f>
        <v>369.43059129124</v>
      </c>
      <c r="AA46" s="21" t="n">
        <f aca="false">INDEX(Sh_Dil,1,22)</f>
        <v>371.478491677504</v>
      </c>
      <c r="AB46" s="21" t="n">
        <f aca="false">INDEX(Sh_Dil,1,23)</f>
        <v>385.032655177218</v>
      </c>
      <c r="AC46" s="21" t="n">
        <f aca="false">INDEX(Sh_Dil,1,24)</f>
        <v>385.032655177218</v>
      </c>
      <c r="AD46" s="21" t="n">
        <f aca="false">INDEX(Sh_Dil,1,25)</f>
        <v>385.032655177218</v>
      </c>
      <c r="AE46" s="21" t="n">
        <f aca="false">INDEX(Sh_Dil,1,26)</f>
        <v>385.032655177218</v>
      </c>
      <c r="AF46" s="21" t="n">
        <f aca="false">INDEX(Sh_Dil,1,27)</f>
        <v>396.429040177218</v>
      </c>
      <c r="AG46" s="21" t="n">
        <f aca="false">INDEX(Sh_Dil,1,28)</f>
        <v>396.429040177218</v>
      </c>
      <c r="AI46" s="21" t="n">
        <f aca="false">INDEX($F46:$AG46,1,MATCH(AI$7,$F$7:$AG$7,1))</f>
        <v>241.987691</v>
      </c>
      <c r="AJ46" s="21" t="n">
        <f aca="false">INDEX($F46:$AG46,1,MATCH(AJ$7,$F$7:$AG$7,1))</f>
        <v>278.2014545</v>
      </c>
      <c r="AK46" s="21" t="n">
        <f aca="false">INDEX($F46:$AG46,1,MATCH(AK$7,$F$7:$AG$7,1))</f>
        <v>318.3265975</v>
      </c>
      <c r="AL46" s="21" t="n">
        <f aca="false">INDEX($F46:$AG46,1,MATCH(AL$7,$F$7:$AG$7,1))</f>
        <v>339.979740253195</v>
      </c>
      <c r="AM46" s="21" t="n">
        <f aca="false">INDEX($F46:$AG46,1,MATCH(AM$7,$F$7:$AG$7,1))</f>
        <v>359.886339842123</v>
      </c>
      <c r="AN46" s="21" t="n">
        <f aca="false">INDEX($F46:$AG46,1,MATCH(AN$7,$F$7:$AG$7,1))</f>
        <v>385.032655177218</v>
      </c>
      <c r="AO46" s="21" t="n">
        <f aca="false">INDEX($F46:$AG46,1,MATCH(AO$7,$F$7:$AG$7,1))</f>
        <v>396.429040177218</v>
      </c>
    </row>
    <row r="47" customFormat="false" ht="15" hidden="false" customHeight="false" outlineLevel="0" collapsed="false">
      <c r="A47" s="101" t="s">
        <v>1866</v>
      </c>
      <c r="B47" s="18" t="s">
        <v>346</v>
      </c>
      <c r="C47" s="18" t="s">
        <v>336</v>
      </c>
      <c r="D47" s="18"/>
      <c r="F47" s="133" t="n">
        <f aca="false">IF(F$5&lt;=LastHist,0,F45/INDEX(Sh_Dil,1,1))</f>
        <v>0</v>
      </c>
      <c r="G47" s="133" t="n">
        <f aca="false">IF(G$5&lt;=LastHist,0,G45/INDEX(Sh_Dil,1,2))</f>
        <v>0</v>
      </c>
      <c r="H47" s="133" t="n">
        <f aca="false">IF(H$5&lt;=LastHist,0,H45/INDEX(Sh_Dil,1,3))</f>
        <v>0</v>
      </c>
      <c r="I47" s="133" t="n">
        <f aca="false">IF(I$5&lt;=LastHist,0,I45/INDEX(Sh_Dil,1,4))</f>
        <v>0</v>
      </c>
      <c r="J47" s="133" t="n">
        <f aca="false">IF(J$5&lt;=LastHist,0,J45/INDEX(Sh_Dil,1,5))</f>
        <v>0</v>
      </c>
      <c r="K47" s="133" t="n">
        <f aca="false">IF(K$5&lt;=LastHist,0,K45/INDEX(Sh_Dil,1,6))</f>
        <v>0</v>
      </c>
      <c r="L47" s="133" t="n">
        <f aca="false">IF(L$5&lt;=LastHist,0,L45/INDEX(Sh_Dil,1,7))</f>
        <v>0</v>
      </c>
      <c r="M47" s="133" t="n">
        <f aca="false">IF(M$5&lt;=LastHist,0,M45/INDEX(Sh_Dil,1,8))</f>
        <v>0</v>
      </c>
      <c r="N47" s="133" t="n">
        <f aca="false">IF(N$5&lt;=LastHist,0,N45/INDEX(Sh_Dil,1,9))</f>
        <v>0</v>
      </c>
      <c r="O47" s="133" t="n">
        <f aca="false">IF(O$5&lt;=LastHist,0,O45/INDEX(Sh_Dil,1,10))</f>
        <v>0</v>
      </c>
      <c r="P47" s="134" t="n">
        <f aca="false">IF(P$5&lt;=LastHist,0,P45/INDEX(Sh_Dil,1,11))</f>
        <v>-1.20555168859628</v>
      </c>
      <c r="Q47" s="134" t="n">
        <f aca="false">IF(Q$5&lt;=LastHist,0,Q45/INDEX(Sh_Dil,1,12))</f>
        <v>-0.949770404742422</v>
      </c>
      <c r="R47" s="134" t="n">
        <f aca="false">IF(R$5&lt;=LastHist,0,R45/INDEX(Sh_Dil,1,13))</f>
        <v>-0.998371354718328</v>
      </c>
      <c r="S47" s="134" t="n">
        <f aca="false">IF(S$5&lt;=LastHist,0,S45/INDEX(Sh_Dil,1,14))</f>
        <v>-1.14905404652765</v>
      </c>
      <c r="T47" s="134" t="n">
        <f aca="false">IF(T$5&lt;=LastHist,0,T45/INDEX(Sh_Dil,1,15))</f>
        <v>-1.16015156093044</v>
      </c>
      <c r="U47" s="134" t="n">
        <f aca="false">IF(U$5&lt;=LastHist,0,U45/INDEX(Sh_Dil,1,16))</f>
        <v>-1.11607440886849</v>
      </c>
      <c r="V47" s="134" t="n">
        <f aca="false">IF(V$5&lt;=LastHist,0,V45/INDEX(Sh_Dil,1,17))</f>
        <v>-0.480633230317208</v>
      </c>
      <c r="W47" s="134" t="n">
        <f aca="false">IF(W$5&lt;=LastHist,0,W45/INDEX(Sh_Dil,1,18))</f>
        <v>0.39152906453967</v>
      </c>
      <c r="X47" s="134" t="n">
        <f aca="false">IF(X$5&lt;=LastHist,0,X45/INDEX(Sh_Dil,1,19))</f>
        <v>0.578385005636773</v>
      </c>
      <c r="Y47" s="134" t="n">
        <f aca="false">IF(Y$5&lt;=LastHist,0,Y45/INDEX(Sh_Dil,1,20))</f>
        <v>0.902320326315479</v>
      </c>
      <c r="Z47" s="134" t="n">
        <f aca="false">IF(Z$5&lt;=LastHist,0,Z45/INDEX(Sh_Dil,1,21))</f>
        <v>1.09367564604229</v>
      </c>
      <c r="AA47" s="134" t="n">
        <f aca="false">IF(AA$5&lt;=LastHist,0,AA45/INDEX(Sh_Dil,1,22))</f>
        <v>1.9525349641065</v>
      </c>
      <c r="AB47" s="134" t="n">
        <f aca="false">IF(AB$5&lt;=LastHist,0,AB45/INDEX(Sh_Dil,1,23))</f>
        <v>1.73702508233357</v>
      </c>
      <c r="AC47" s="134" t="n">
        <f aca="false">IF(AC$5&lt;=LastHist,0,AC45/INDEX(Sh_Dil,1,24))</f>
        <v>2.49495128479167</v>
      </c>
      <c r="AD47" s="134" t="n">
        <f aca="false">IF(AD$5&lt;=LastHist,0,AD45/INDEX(Sh_Dil,1,25))</f>
        <v>2.75586396202586</v>
      </c>
      <c r="AE47" s="134" t="n">
        <f aca="false">IF(AE$5&lt;=LastHist,0,AE45/INDEX(Sh_Dil,1,26))</f>
        <v>4.07123390764786</v>
      </c>
      <c r="AF47" s="134" t="n">
        <f aca="false">IF(AF$5&lt;=LastHist,0,AF45/INDEX(Sh_Dil,1,27))</f>
        <v>3.91960960962462</v>
      </c>
      <c r="AG47" s="134" t="n">
        <f aca="false">IF(AG$5&lt;=LastHist,0,AG45/INDEX(Sh_Dil,1,28))</f>
        <v>4.25846544098681</v>
      </c>
      <c r="AI47" s="134" t="n">
        <f aca="false">IFERROR(AI45/INDEX(Sh_Dil,1,MATCH(AI$7,Q_Yr,1)),0)</f>
        <v>0</v>
      </c>
      <c r="AJ47" s="134" t="n">
        <f aca="false">IFERROR(AJ45/INDEX(Sh_Dil,1,MATCH(AJ$7,Q_Yr,1)),0)</f>
        <v>0</v>
      </c>
      <c r="AK47" s="134" t="n">
        <f aca="false">IFERROR(AK45/INDEX(Sh_Dil,1,MATCH(AK$7,Q_Yr,1)),0)</f>
        <v>-2.1553220933387</v>
      </c>
      <c r="AL47" s="134" t="n">
        <f aca="false">IFERROR(AL45/INDEX(Sh_Dil,1,MATCH(AL$7,Q_Yr,1)),0)</f>
        <v>-4.27525339967562</v>
      </c>
      <c r="AM47" s="134" t="n">
        <f aca="false">IFERROR(AM45/INDEX(Sh_Dil,1,MATCH(AM$7,Q_Yr,1)),0)</f>
        <v>1.39433764552805</v>
      </c>
      <c r="AN47" s="134" t="n">
        <f aca="false">IFERROR(AN45/INDEX(Sh_Dil,1,MATCH(AN$7,Q_Yr,1)),0)</f>
        <v>7.16513533124557</v>
      </c>
      <c r="AO47" s="134" t="n">
        <f aca="false">IFERROR(AO45/INDEX(Sh_Dil,1,MATCH(AO$7,Q_Yr,1)),0)</f>
        <v>14.808910215311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1857</v>
      </c>
    </row>
    <row r="2" customFormat="false" ht="15" hidden="false" customHeight="false" outlineLevel="0" collapsed="false">
      <c r="A2" s="18" t="s">
        <v>1867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1868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101" t="s">
        <v>1869</v>
      </c>
      <c r="B11" s="18" t="s">
        <v>400</v>
      </c>
      <c r="C11" s="18" t="s">
        <v>1824</v>
      </c>
      <c r="D11" s="18"/>
      <c r="F11" s="119" t="n">
        <f aca="false">IF(F$5&lt;=LastHist,0,INDEX(PL_EBITDA,1,1))</f>
        <v>0</v>
      </c>
      <c r="G11" s="119" t="n">
        <f aca="false">IF(G$5&lt;=LastHist,0,INDEX(PL_EBITDA,1,2))</f>
        <v>0</v>
      </c>
      <c r="H11" s="119" t="n">
        <f aca="false">IF(H$5&lt;=LastHist,0,INDEX(PL_EBITDA,1,3))</f>
        <v>0</v>
      </c>
      <c r="I11" s="119" t="n">
        <f aca="false">IF(I$5&lt;=LastHist,0,INDEX(PL_EBITDA,1,4))</f>
        <v>0</v>
      </c>
      <c r="J11" s="119" t="n">
        <f aca="false">IF(J$5&lt;=LastHist,0,INDEX(PL_EBITDA,1,5))</f>
        <v>0</v>
      </c>
      <c r="K11" s="119" t="n">
        <f aca="false">IF(K$5&lt;=LastHist,0,INDEX(PL_EBITDA,1,6))</f>
        <v>0</v>
      </c>
      <c r="L11" s="119" t="n">
        <f aca="false">IF(L$5&lt;=LastHist,0,INDEX(PL_EBITDA,1,7))</f>
        <v>0</v>
      </c>
      <c r="M11" s="119" t="n">
        <f aca="false">IF(M$5&lt;=LastHist,0,INDEX(PL_EBITDA,1,8))</f>
        <v>0</v>
      </c>
      <c r="N11" s="119" t="n">
        <f aca="false">IF(N$5&lt;=LastHist,0,INDEX(PL_EBITDA,1,9))</f>
        <v>0</v>
      </c>
      <c r="O11" s="119" t="n">
        <f aca="false">IF(O$5&lt;=LastHist,0,INDEX(PL_EBITDA,1,10))</f>
        <v>0</v>
      </c>
      <c r="P11" s="120" t="n">
        <f aca="false">IF(P$5&lt;=LastHist,0,INDEX(PL_EBITDA,1,11))</f>
        <v>273.751676063435</v>
      </c>
      <c r="Q11" s="120" t="n">
        <f aca="false">IF(Q$5&lt;=LastHist,0,INDEX(PL_EBITDA,1,12))</f>
        <v>329.068243927749</v>
      </c>
      <c r="R11" s="120" t="n">
        <f aca="false">IF(R$5&lt;=LastHist,0,INDEX(PL_EBITDA,1,13))</f>
        <v>527.80278514418</v>
      </c>
      <c r="S11" s="120" t="n">
        <f aca="false">IF(S$5&lt;=LastHist,0,INDEX(PL_EBITDA,1,14))</f>
        <v>779.280635319301</v>
      </c>
      <c r="T11" s="120" t="n">
        <f aca="false">IF(T$5&lt;=LastHist,0,INDEX(PL_EBITDA,1,15))</f>
        <v>1094.10843210106</v>
      </c>
      <c r="U11" s="120" t="n">
        <f aca="false">IF(U$5&lt;=LastHist,0,INDEX(PL_EBITDA,1,16))</f>
        <v>1463.76949580501</v>
      </c>
      <c r="V11" s="120" t="n">
        <f aca="false">IF(V$5&lt;=LastHist,0,INDEX(PL_EBITDA,1,17))</f>
        <v>2224.68943588939</v>
      </c>
      <c r="W11" s="120" t="n">
        <f aca="false">IF(W$5&lt;=LastHist,0,INDEX(PL_EBITDA,1,18))</f>
        <v>2818.07580732617</v>
      </c>
      <c r="X11" s="120" t="n">
        <f aca="false">IF(X$5&lt;=LastHist,0,INDEX(PL_EBITDA,1,19))</f>
        <v>3202.71164094675</v>
      </c>
      <c r="Y11" s="120" t="n">
        <f aca="false">IF(Y$5&lt;=LastHist,0,INDEX(PL_EBITDA,1,20))</f>
        <v>3514.45527525708</v>
      </c>
      <c r="Z11" s="120" t="n">
        <f aca="false">IF(Z$5&lt;=LastHist,0,INDEX(PL_EBITDA,1,21))</f>
        <v>4213.28295483418</v>
      </c>
      <c r="AA11" s="120" t="n">
        <f aca="false">IF(AA$5&lt;=LastHist,0,INDEX(PL_EBITDA,1,22))</f>
        <v>4801.57160593178</v>
      </c>
      <c r="AB11" s="120" t="n">
        <f aca="false">IF(AB$5&lt;=LastHist,0,INDEX(PL_EBITDA,1,23))</f>
        <v>5308.17964075296</v>
      </c>
      <c r="AC11" s="120" t="n">
        <f aca="false">IF(AC$5&lt;=LastHist,0,INDEX(PL_EBITDA,1,24))</f>
        <v>5905.24846108286</v>
      </c>
      <c r="AD11" s="120" t="n">
        <f aca="false">IF(AD$5&lt;=LastHist,0,INDEX(PL_EBITDA,1,25))</f>
        <v>6795.39438993847</v>
      </c>
      <c r="AE11" s="120" t="n">
        <f aca="false">IF(AE$5&lt;=LastHist,0,INDEX(PL_EBITDA,1,26))</f>
        <v>7535.118245444</v>
      </c>
      <c r="AF11" s="120" t="n">
        <f aca="false">IF(AF$5&lt;=LastHist,0,INDEX(PL_EBITDA,1,27))</f>
        <v>7480.38794914308</v>
      </c>
      <c r="AG11" s="120" t="n">
        <f aca="false">IF(AG$5&lt;=LastHist,0,INDEX(PL_EBITDA,1,28))</f>
        <v>7635.83629527064</v>
      </c>
      <c r="AI11" s="120" t="n">
        <f aca="false">SUMIF($F$7:$AG$7,AI$7,$F11:$AG11)</f>
        <v>0</v>
      </c>
      <c r="AJ11" s="120" t="n">
        <f aca="false">SUMIF($F$7:$AG$7,AJ$7,$F11:$AG11)</f>
        <v>0</v>
      </c>
      <c r="AK11" s="120" t="n">
        <f aca="false">SUMIF($F$7:$AG$7,AK$7,$F11:$AG11)</f>
        <v>602.819919991184</v>
      </c>
      <c r="AL11" s="120" t="n">
        <f aca="false">SUMIF($F$7:$AG$7,AL$7,$F11:$AG11)</f>
        <v>3864.96134836955</v>
      </c>
      <c r="AM11" s="120" t="n">
        <f aca="false">SUMIF($F$7:$AG$7,AM$7,$F11:$AG11)</f>
        <v>11759.9321594194</v>
      </c>
      <c r="AN11" s="120" t="n">
        <f aca="false">SUMIF($F$7:$AG$7,AN$7,$F11:$AG11)</f>
        <v>20228.2826626018</v>
      </c>
      <c r="AO11" s="120" t="n">
        <f aca="false">SUMIF($F$7:$AG$7,AO$7,$F11:$AG11)</f>
        <v>29446.7368797962</v>
      </c>
    </row>
    <row r="12" customFormat="false" ht="15" hidden="false" customHeight="false" outlineLevel="0" collapsed="false">
      <c r="A12" s="101" t="s">
        <v>1870</v>
      </c>
      <c r="B12" s="18" t="s">
        <v>400</v>
      </c>
      <c r="C12" s="18" t="s">
        <v>1824</v>
      </c>
      <c r="D12" s="18"/>
      <c r="F12" s="119" t="n">
        <f aca="false">IF(F$5&lt;=LastHist,0,-INDEX(PL_Tax,1,1))</f>
        <v>0</v>
      </c>
      <c r="G12" s="119" t="n">
        <f aca="false">IF(G$5&lt;=LastHist,0,-INDEX(PL_Tax,1,2))</f>
        <v>0</v>
      </c>
      <c r="H12" s="119" t="n">
        <f aca="false">IF(H$5&lt;=LastHist,0,-INDEX(PL_Tax,1,3))</f>
        <v>0</v>
      </c>
      <c r="I12" s="119" t="n">
        <f aca="false">IF(I$5&lt;=LastHist,0,-INDEX(PL_Tax,1,4))</f>
        <v>0</v>
      </c>
      <c r="J12" s="119" t="n">
        <f aca="false">IF(J$5&lt;=LastHist,0,-INDEX(PL_Tax,1,5))</f>
        <v>0</v>
      </c>
      <c r="K12" s="119" t="n">
        <f aca="false">IF(K$5&lt;=LastHist,0,-INDEX(PL_Tax,1,6))</f>
        <v>0</v>
      </c>
      <c r="L12" s="119" t="n">
        <f aca="false">IF(L$5&lt;=LastHist,0,-INDEX(PL_Tax,1,7))</f>
        <v>0</v>
      </c>
      <c r="M12" s="119" t="n">
        <f aca="false">IF(M$5&lt;=LastHist,0,-INDEX(PL_Tax,1,8))</f>
        <v>0</v>
      </c>
      <c r="N12" s="119" t="n">
        <f aca="false">IF(N$5&lt;=LastHist,0,-INDEX(PL_Tax,1,9))</f>
        <v>0</v>
      </c>
      <c r="O12" s="119" t="n">
        <f aca="false">IF(O$5&lt;=LastHist,0,-INDEX(PL_Tax,1,10))</f>
        <v>0</v>
      </c>
      <c r="P12" s="120" t="n">
        <f aca="false">IF(P$5&lt;=LastHist,0,-INDEX(PL_Tax,1,11))</f>
        <v>-0</v>
      </c>
      <c r="Q12" s="120" t="n">
        <f aca="false">IF(Q$5&lt;=LastHist,0,-INDEX(PL_Tax,1,12))</f>
        <v>-0</v>
      </c>
      <c r="R12" s="120" t="n">
        <f aca="false">IF(R$5&lt;=LastHist,0,-INDEX(PL_Tax,1,13))</f>
        <v>-0</v>
      </c>
      <c r="S12" s="120" t="n">
        <f aca="false">IF(S$5&lt;=LastHist,0,-INDEX(PL_Tax,1,14))</f>
        <v>-0</v>
      </c>
      <c r="T12" s="120" t="n">
        <f aca="false">IF(T$5&lt;=LastHist,0,-INDEX(PL_Tax,1,15))</f>
        <v>-0</v>
      </c>
      <c r="U12" s="120" t="n">
        <f aca="false">IF(U$5&lt;=LastHist,0,-INDEX(PL_Tax,1,16))</f>
        <v>-0</v>
      </c>
      <c r="V12" s="120" t="n">
        <f aca="false">IF(V$5&lt;=LastHist,0,-INDEX(PL_Tax,1,17))</f>
        <v>-0</v>
      </c>
      <c r="W12" s="120" t="n">
        <f aca="false">IF(W$5&lt;=LastHist,0,-INDEX(PL_Tax,1,18))</f>
        <v>-47.2325373351045</v>
      </c>
      <c r="X12" s="120" t="n">
        <f aca="false">IF(X$5&lt;=LastHist,0,-INDEX(PL_Tax,1,19))</f>
        <v>-71.969623821881</v>
      </c>
      <c r="Y12" s="120" t="n">
        <f aca="false">IF(Y$5&lt;=LastHist,0,-INDEX(PL_Tax,1,20))</f>
        <v>-112.912468972412</v>
      </c>
      <c r="Z12" s="120" t="n">
        <f aca="false">IF(Z$5&lt;=LastHist,0,-INDEX(PL_Tax,1,21))</f>
        <v>-140.487342418253</v>
      </c>
      <c r="AA12" s="120" t="n">
        <f aca="false">IF(AA$5&lt;=LastHist,0,-INDEX(PL_Tax,1,22))</f>
        <v>-252.201864960618</v>
      </c>
      <c r="AB12" s="120" t="n">
        <f aca="false">IF(AB$5&lt;=LastHist,0,-INDEX(PL_Tax,1,23))</f>
        <v>-232.551665669222</v>
      </c>
      <c r="AC12" s="120" t="n">
        <f aca="false">IF(AC$5&lt;=LastHist,0,-INDEX(PL_Tax,1,24))</f>
        <v>-334.022279207623</v>
      </c>
      <c r="AD12" s="120" t="n">
        <f aca="false">IF(AD$5&lt;=LastHist,0,-INDEX(PL_Tax,1,25))</f>
        <v>-368.953080323928</v>
      </c>
      <c r="AE12" s="120" t="n">
        <f aca="false">IF(AE$5&lt;=LastHist,0,-INDEX(PL_Tax,1,26))</f>
        <v>-545.053860293487</v>
      </c>
      <c r="AF12" s="120" t="n">
        <f aca="false">IF(AF$5&lt;=LastHist,0,-INDEX(PL_Tax,1,27))</f>
        <v>-540.286449402324</v>
      </c>
      <c r="AG12" s="120" t="n">
        <f aca="false">IF(AG$5&lt;=LastHist,0,-INDEX(PL_Tax,1,28))</f>
        <v>-586.99498219508</v>
      </c>
      <c r="AI12" s="120" t="n">
        <f aca="false">SUMIF($F$7:$AG$7,AI$7,$F12:$AG12)</f>
        <v>0</v>
      </c>
      <c r="AJ12" s="120" t="n">
        <f aca="false">SUMIF($F$7:$AG$7,AJ$7,$F12:$AG12)</f>
        <v>0</v>
      </c>
      <c r="AK12" s="120" t="n">
        <f aca="false">SUMIF($F$7:$AG$7,AK$7,$F12:$AG12)</f>
        <v>0</v>
      </c>
      <c r="AL12" s="120" t="n">
        <f aca="false">SUMIF($F$7:$AG$7,AL$7,$F12:$AG12)</f>
        <v>0</v>
      </c>
      <c r="AM12" s="120" t="n">
        <f aca="false">SUMIF($F$7:$AG$7,AM$7,$F12:$AG12)</f>
        <v>-232.114630129397</v>
      </c>
      <c r="AN12" s="120" t="n">
        <f aca="false">SUMIF($F$7:$AG$7,AN$7,$F12:$AG12)</f>
        <v>-959.263152255717</v>
      </c>
      <c r="AO12" s="120" t="n">
        <f aca="false">SUMIF($F$7:$AG$7,AO$7,$F12:$AG12)</f>
        <v>-2041.28837221482</v>
      </c>
    </row>
    <row r="14" customFormat="false" ht="15" hidden="false" customHeight="false" outlineLevel="0" collapsed="false">
      <c r="A14" s="48" t="s">
        <v>1871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</row>
    <row r="15" customFormat="false" ht="15" hidden="false" customHeight="false" outlineLevel="0" collapsed="false">
      <c r="A15" s="101" t="s">
        <v>1872</v>
      </c>
      <c r="B15" s="18" t="s">
        <v>400</v>
      </c>
      <c r="C15" s="18" t="s">
        <v>389</v>
      </c>
      <c r="D15" s="18" t="s">
        <v>1873</v>
      </c>
      <c r="F15" s="119" t="n">
        <f aca="false">IF(F$5&lt;=LastHist,0,PrepayOn*PrepayPct*IF(PrepayBase=1,INDEX(CapNew,1,1),INDEX(Capex,1,1)))</f>
        <v>0</v>
      </c>
      <c r="G15" s="119" t="n">
        <f aca="false">IF(G$5&lt;=LastHist,0,PrepayOn*PrepayPct*IF(PrepayBase=1,INDEX(CapNew,1,2),INDEX(Capex,1,2)))</f>
        <v>0</v>
      </c>
      <c r="H15" s="119" t="n">
        <f aca="false">IF(H$5&lt;=LastHist,0,PrepayOn*PrepayPct*IF(PrepayBase=1,INDEX(CapNew,1,3),INDEX(Capex,1,3)))</f>
        <v>0</v>
      </c>
      <c r="I15" s="119" t="n">
        <f aca="false">IF(I$5&lt;=LastHist,0,PrepayOn*PrepayPct*IF(PrepayBase=1,INDEX(CapNew,1,4),INDEX(Capex,1,4)))</f>
        <v>0</v>
      </c>
      <c r="J15" s="119" t="n">
        <f aca="false">IF(J$5&lt;=LastHist,0,PrepayOn*PrepayPct*IF(PrepayBase=1,INDEX(CapNew,1,5),INDEX(Capex,1,5)))</f>
        <v>0</v>
      </c>
      <c r="K15" s="119" t="n">
        <f aca="false">IF(K$5&lt;=LastHist,0,PrepayOn*PrepayPct*IF(PrepayBase=1,INDEX(CapNew,1,6),INDEX(Capex,1,6)))</f>
        <v>0</v>
      </c>
      <c r="L15" s="119" t="n">
        <f aca="false">IF(L$5&lt;=LastHist,0,PrepayOn*PrepayPct*IF(PrepayBase=1,INDEX(CapNew,1,7),INDEX(Capex,1,7)))</f>
        <v>0</v>
      </c>
      <c r="M15" s="119" t="n">
        <f aca="false">IF(M$5&lt;=LastHist,0,PrepayOn*PrepayPct*IF(PrepayBase=1,INDEX(CapNew,1,8),INDEX(Capex,1,8)))</f>
        <v>0</v>
      </c>
      <c r="N15" s="119" t="n">
        <f aca="false">IF(N$5&lt;=LastHist,0,PrepayOn*PrepayPct*IF(PrepayBase=1,INDEX(CapNew,1,9),INDEX(Capex,1,9)))</f>
        <v>0</v>
      </c>
      <c r="O15" s="119" t="n">
        <f aca="false">IF(O$5&lt;=LastHist,0,PrepayOn*PrepayPct*IF(PrepayBase=1,INDEX(CapNew,1,10),INDEX(Capex,1,10)))</f>
        <v>0</v>
      </c>
      <c r="P15" s="120" t="n">
        <f aca="false">IF(P$5&lt;=LastHist,0,PrepayOn*PrepayPct*IF(PrepayBase=1,INDEX(CapNew,1,11),INDEX(Capex,1,11)))</f>
        <v>1342.3795</v>
      </c>
      <c r="Q15" s="120" t="n">
        <f aca="false">IF(Q$5&lt;=LastHist,0,PrepayOn*PrepayPct*IF(PrepayBase=1,INDEX(CapNew,1,12),INDEX(Capex,1,12)))</f>
        <v>1953.6825</v>
      </c>
      <c r="R15" s="120" t="n">
        <f aca="false">IF(R$5&lt;=LastHist,0,PrepayOn*PrepayPct*IF(PrepayBase=1,INDEX(CapNew,1,13),INDEX(Capex,1,13)))</f>
        <v>2266.572</v>
      </c>
      <c r="S15" s="120" t="n">
        <f aca="false">IF(S$5&lt;=LastHist,0,PrepayOn*PrepayPct*IF(PrepayBase=1,INDEX(CapNew,1,14),INDEX(Capex,1,14)))</f>
        <v>2549.316</v>
      </c>
      <c r="T15" s="120" t="n">
        <f aca="false">IF(T$5&lt;=LastHist,0,PrepayOn*PrepayPct*IF(PrepayBase=1,INDEX(CapNew,1,15),INDEX(Capex,1,15)))</f>
        <v>3881.955</v>
      </c>
      <c r="U15" s="120" t="n">
        <f aca="false">IF(U$5&lt;=LastHist,0,PrepayOn*PrepayPct*IF(PrepayBase=1,INDEX(CapNew,1,16),INDEX(Capex,1,16)))</f>
        <v>1807.575</v>
      </c>
      <c r="V15" s="120" t="n">
        <f aca="false">IF(V$5&lt;=LastHist,0,PrepayOn*PrepayPct*IF(PrepayBase=1,INDEX(CapNew,1,17),INDEX(Capex,1,17)))</f>
        <v>1906.905</v>
      </c>
      <c r="W15" s="120" t="n">
        <f aca="false">IF(W$5&lt;=LastHist,0,PrepayOn*PrepayPct*IF(PrepayBase=1,INDEX(CapNew,1,18),INDEX(Capex,1,18)))</f>
        <v>1366.75</v>
      </c>
      <c r="X15" s="120" t="n">
        <f aca="false">IF(X$5&lt;=LastHist,0,PrepayOn*PrepayPct*IF(PrepayBase=1,INDEX(CapNew,1,19),INDEX(Capex,1,19)))</f>
        <v>4180.33</v>
      </c>
      <c r="Y15" s="120" t="n">
        <f aca="false">IF(Y$5&lt;=LastHist,0,PrepayOn*PrepayPct*IF(PrepayBase=1,INDEX(CapNew,1,20),INDEX(Capex,1,20)))</f>
        <v>1455.3</v>
      </c>
      <c r="Z15" s="120" t="n">
        <f aca="false">IF(Z$5&lt;=LastHist,0,PrepayOn*PrepayPct*IF(PrepayBase=1,INDEX(CapNew,1,21),INDEX(Capex,1,21)))</f>
        <v>4107.18</v>
      </c>
      <c r="AA15" s="120" t="n">
        <f aca="false">IF(AA$5&lt;=LastHist,0,PrepayOn*PrepayPct*IF(PrepayBase=1,INDEX(CapNew,1,22),INDEX(Capex,1,22)))</f>
        <v>2027.025</v>
      </c>
      <c r="AB15" s="120" t="n">
        <f aca="false">IF(AB$5&lt;=LastHist,0,PrepayOn*PrepayPct*IF(PrepayBase=1,INDEX(CapNew,1,23),INDEX(Capex,1,23)))</f>
        <v>5720.715</v>
      </c>
      <c r="AC15" s="120" t="n">
        <f aca="false">IF(AC$5&lt;=LastHist,0,PrepayOn*PrepayPct*IF(PrepayBase=1,INDEX(CapNew,1,24),INDEX(Capex,1,24)))</f>
        <v>0</v>
      </c>
      <c r="AD15" s="120" t="n">
        <f aca="false">IF(AD$5&lt;=LastHist,0,PrepayOn*PrepayPct*IF(PrepayBase=1,INDEX(CapNew,1,25),INDEX(Capex,1,25)))</f>
        <v>0</v>
      </c>
      <c r="AE15" s="120" t="n">
        <f aca="false">IF(AE$5&lt;=LastHist,0,PrepayOn*PrepayPct*IF(PrepayBase=1,INDEX(CapNew,1,26),INDEX(Capex,1,26)))</f>
        <v>0</v>
      </c>
      <c r="AF15" s="120" t="n">
        <f aca="false">IF(AF$5&lt;=LastHist,0,PrepayOn*PrepayPct*IF(PrepayBase=1,INDEX(CapNew,1,27),INDEX(Capex,1,27)))</f>
        <v>0</v>
      </c>
      <c r="AG15" s="120" t="n">
        <f aca="false">IF(AG$5&lt;=LastHist,0,PrepayOn*PrepayPct*IF(PrepayBase=1,INDEX(CapNew,1,28),INDEX(Capex,1,28)))</f>
        <v>0</v>
      </c>
      <c r="AI15" s="120" t="n">
        <f aca="false">SUMIF($F$7:$AG$7,AI$7,$F15:$AG15)</f>
        <v>0</v>
      </c>
      <c r="AJ15" s="120" t="n">
        <f aca="false">SUMIF($F$7:$AG$7,AJ$7,$F15:$AG15)</f>
        <v>0</v>
      </c>
      <c r="AK15" s="120" t="n">
        <f aca="false">SUMIF($F$7:$AG$7,AK$7,$F15:$AG15)</f>
        <v>3296.062</v>
      </c>
      <c r="AL15" s="120" t="n">
        <f aca="false">SUMIF($F$7:$AG$7,AL$7,$F15:$AG15)</f>
        <v>10505.418</v>
      </c>
      <c r="AM15" s="120" t="n">
        <f aca="false">SUMIF($F$7:$AG$7,AM$7,$F15:$AG15)</f>
        <v>8909.285</v>
      </c>
      <c r="AN15" s="120" t="n">
        <f aca="false">SUMIF($F$7:$AG$7,AN$7,$F15:$AG15)</f>
        <v>11854.92</v>
      </c>
      <c r="AO15" s="120" t="n">
        <f aca="false">SUMIF($F$7:$AG$7,AO$7,$F15:$AG15)</f>
        <v>0</v>
      </c>
    </row>
    <row r="16" customFormat="false" ht="15" hidden="false" customHeight="false" outlineLevel="0" collapsed="false">
      <c r="A16" s="101" t="s">
        <v>1874</v>
      </c>
      <c r="B16" s="18" t="s">
        <v>400</v>
      </c>
      <c r="C16" s="18" t="s">
        <v>336</v>
      </c>
      <c r="D16" s="18" t="s">
        <v>1875</v>
      </c>
      <c r="F16" s="119" t="n">
        <f aca="false">IF(F$5&lt;=LastHist,0,E17/DR_AmortQ)</f>
        <v>0</v>
      </c>
      <c r="G16" s="119" t="n">
        <f aca="false">IF(G$5&lt;=LastHist,0,F17/DR_AmortQ)</f>
        <v>0</v>
      </c>
      <c r="H16" s="119" t="n">
        <f aca="false">IF(H$5&lt;=LastHist,0,G17/DR_AmortQ)</f>
        <v>0</v>
      </c>
      <c r="I16" s="119" t="n">
        <f aca="false">IF(I$5&lt;=LastHist,0,H17/DR_AmortQ)</f>
        <v>0</v>
      </c>
      <c r="J16" s="119" t="n">
        <f aca="false">IF(J$5&lt;=LastHist,0,I17/DR_AmortQ)</f>
        <v>0</v>
      </c>
      <c r="K16" s="119" t="n">
        <f aca="false">IF(K$5&lt;=LastHist,0,J17/DR_AmortQ)</f>
        <v>0</v>
      </c>
      <c r="L16" s="119" t="n">
        <f aca="false">IF(L$5&lt;=LastHist,0,K17/DR_AmortQ)</f>
        <v>0</v>
      </c>
      <c r="M16" s="119" t="n">
        <f aca="false">IF(M$5&lt;=LastHist,0,L17/DR_AmortQ)</f>
        <v>0</v>
      </c>
      <c r="N16" s="119" t="n">
        <f aca="false">IF(N$5&lt;=LastHist,0,M17/DR_AmortQ)</f>
        <v>0</v>
      </c>
      <c r="O16" s="119" t="n">
        <f aca="false">IF(O$5&lt;=LastHist,0,N17/DR_AmortQ)</f>
        <v>0</v>
      </c>
      <c r="P16" s="120" t="n">
        <f aca="false">IF(P$5&lt;=LastHist,0,O17/DR_AmortQ)</f>
        <v>497.916666666667</v>
      </c>
      <c r="Q16" s="120" t="n">
        <f aca="false">IF(Q$5&lt;=LastHist,0,P17/DR_AmortQ)</f>
        <v>568.288569444444</v>
      </c>
      <c r="R16" s="120" t="n">
        <f aca="false">IF(R$5&lt;=LastHist,0,Q17/DR_AmortQ)</f>
        <v>683.738063657408</v>
      </c>
      <c r="S16" s="120" t="n">
        <f aca="false">IF(S$5&lt;=LastHist,0,R17/DR_AmortQ)</f>
        <v>815.640891685957</v>
      </c>
      <c r="T16" s="120" t="n">
        <f aca="false">IF(T$5&lt;=LastHist,0,S17/DR_AmortQ)</f>
        <v>960.113817378794</v>
      </c>
      <c r="U16" s="120" t="n">
        <f aca="false">IF(U$5&lt;=LastHist,0,T17/DR_AmortQ)</f>
        <v>1203.60058259723</v>
      </c>
      <c r="V16" s="120" t="n">
        <f aca="false">IF(V$5&lt;=LastHist,0,U17/DR_AmortQ)</f>
        <v>1253.93178404746</v>
      </c>
      <c r="W16" s="120" t="n">
        <f aca="false">IF(W$5&lt;=LastHist,0,V17/DR_AmortQ)</f>
        <v>1308.34621871017</v>
      </c>
      <c r="X16" s="120" t="n">
        <f aca="false">IF(X$5&lt;=LastHist,0,W17/DR_AmortQ)</f>
        <v>1313.21320048432</v>
      </c>
      <c r="Y16" s="120" t="n">
        <f aca="false">IF(Y$5&lt;=LastHist,0,X17/DR_AmortQ)</f>
        <v>1552.13960044396</v>
      </c>
      <c r="Z16" s="120" t="n">
        <f aca="false">IF(Z$5&lt;=LastHist,0,Y17/DR_AmortQ)</f>
        <v>1544.0696337403</v>
      </c>
      <c r="AA16" s="120" t="n">
        <f aca="false">IF(AA$5&lt;=LastHist,0,Z17/DR_AmortQ)</f>
        <v>1757.66216426194</v>
      </c>
      <c r="AB16" s="120" t="n">
        <f aca="false">IF(AB$5&lt;=LastHist,0,AA17/DR_AmortQ)</f>
        <v>1780.10906724011</v>
      </c>
      <c r="AC16" s="120" t="n">
        <f aca="false">IF(AC$5&lt;=LastHist,0,AB17/DR_AmortQ)</f>
        <v>2108.4928949701</v>
      </c>
      <c r="AD16" s="120" t="n">
        <f aca="false">IF(AD$5&lt;=LastHist,0,AC17/DR_AmortQ)</f>
        <v>1932.7851537226</v>
      </c>
      <c r="AE16" s="120" t="n">
        <f aca="false">IF(AE$5&lt;=LastHist,0,AD17/DR_AmortQ)</f>
        <v>1771.71972424571</v>
      </c>
      <c r="AF16" s="120" t="n">
        <f aca="false">IF(AF$5&lt;=LastHist,0,AE17/DR_AmortQ)</f>
        <v>1624.0764138919</v>
      </c>
      <c r="AG16" s="120" t="n">
        <f aca="false">IF(AG$5&lt;=LastHist,0,AF17/DR_AmortQ)</f>
        <v>1488.73671273424</v>
      </c>
      <c r="AI16" s="120" t="n">
        <f aca="false">SUMIF($F$7:$AG$7,AI$7,$F16:$AG16)</f>
        <v>0</v>
      </c>
      <c r="AJ16" s="120" t="n">
        <f aca="false">SUMIF($F$7:$AG$7,AJ$7,$F16:$AG16)</f>
        <v>0</v>
      </c>
      <c r="AK16" s="120" t="n">
        <f aca="false">SUMIF($F$7:$AG$7,AK$7,$F16:$AG16)</f>
        <v>1066.20523611111</v>
      </c>
      <c r="AL16" s="120" t="n">
        <f aca="false">SUMIF($F$7:$AG$7,AL$7,$F16:$AG16)</f>
        <v>3663.09335531939</v>
      </c>
      <c r="AM16" s="120" t="n">
        <f aca="false">SUMIF($F$7:$AG$7,AM$7,$F16:$AG16)</f>
        <v>5427.63080368591</v>
      </c>
      <c r="AN16" s="120" t="n">
        <f aca="false">SUMIF($F$7:$AG$7,AN$7,$F16:$AG16)</f>
        <v>7190.33376021246</v>
      </c>
      <c r="AO16" s="120" t="n">
        <f aca="false">SUMIF($F$7:$AG$7,AO$7,$F16:$AG16)</f>
        <v>6817.31800459445</v>
      </c>
    </row>
    <row r="17" customFormat="false" ht="15" hidden="false" customHeight="false" outlineLevel="0" collapsed="false">
      <c r="A17" s="101" t="s">
        <v>1876</v>
      </c>
      <c r="B17" s="18" t="s">
        <v>400</v>
      </c>
      <c r="C17" s="18" t="s">
        <v>389</v>
      </c>
      <c r="D17" s="18" t="s">
        <v>1877</v>
      </c>
      <c r="F17" s="119" t="n">
        <f aca="false">IF(F$5&lt;=LastHist,INDEX(H_DR,1,F$5),E17+F15-F16)</f>
        <v>0</v>
      </c>
      <c r="G17" s="119" t="n">
        <f aca="false">IF(G$5&lt;=LastHist,INDEX(H_DR,1,G$5),F17+G15-G16)</f>
        <v>0</v>
      </c>
      <c r="H17" s="119" t="n">
        <f aca="false">IF(H$5&lt;=LastHist,INDEX(H_DR,1,H$5),G17+H15-H16)</f>
        <v>0</v>
      </c>
      <c r="I17" s="119" t="n">
        <f aca="false">IF(I$5&lt;=LastHist,INDEX(H_DR,1,I$5),H17+I15-I16)</f>
        <v>0</v>
      </c>
      <c r="J17" s="119" t="n">
        <f aca="false">IF(J$5&lt;=LastHist,INDEX(H_DR,1,J$5),I17+J15-J16)</f>
        <v>0</v>
      </c>
      <c r="K17" s="119" t="n">
        <f aca="false">IF(K$5&lt;=LastHist,INDEX(H_DR,1,K$5),J17+K15-K16)</f>
        <v>0</v>
      </c>
      <c r="L17" s="119" t="n">
        <f aca="false">IF(L$5&lt;=LastHist,INDEX(H_DR,1,L$5),K17+L15-L16)</f>
        <v>0</v>
      </c>
      <c r="M17" s="119" t="n">
        <f aca="false">IF(M$5&lt;=LastHist,INDEX(H_DR,1,M$5),L17+M15-M16)</f>
        <v>1578</v>
      </c>
      <c r="N17" s="119" t="n">
        <f aca="false">IF(N$5&lt;=LastHist,INDEX(H_DR,1,N$5),M17+N15-N16)</f>
        <v>4778</v>
      </c>
      <c r="O17" s="119" t="n">
        <f aca="false">IF(O$5&lt;=LastHist,INDEX(H_DR,1,O$5),N17+O15-O16)</f>
        <v>5975</v>
      </c>
      <c r="P17" s="120" t="n">
        <f aca="false">IF(P$5&lt;=LastHist,INDEX(H_DR,1,P$5),O17+P15-P16)</f>
        <v>6819.46283333333</v>
      </c>
      <c r="Q17" s="120" t="n">
        <f aca="false">IF(Q$5&lt;=LastHist,INDEX(H_DR,1,Q$5),P17+Q15-Q16)</f>
        <v>8204.85676388889</v>
      </c>
      <c r="R17" s="120" t="n">
        <f aca="false">IF(R$5&lt;=LastHist,INDEX(H_DR,1,R$5),Q17+R15-R16)</f>
        <v>9787.69070023148</v>
      </c>
      <c r="S17" s="120" t="n">
        <f aca="false">IF(S$5&lt;=LastHist,INDEX(H_DR,1,S$5),R17+S15-S16)</f>
        <v>11521.3658085455</v>
      </c>
      <c r="T17" s="120" t="n">
        <f aca="false">IF(T$5&lt;=LastHist,INDEX(H_DR,1,T$5),S17+T15-T16)</f>
        <v>14443.2069911667</v>
      </c>
      <c r="U17" s="120" t="n">
        <f aca="false">IF(U$5&lt;=LastHist,INDEX(H_DR,1,U$5),T17+U15-U16)</f>
        <v>15047.1814085695</v>
      </c>
      <c r="V17" s="120" t="n">
        <f aca="false">IF(V$5&lt;=LastHist,INDEX(H_DR,1,V$5),U17+V15-V16)</f>
        <v>15700.154624522</v>
      </c>
      <c r="W17" s="120" t="n">
        <f aca="false">IF(W$5&lt;=LastHist,INDEX(H_DR,1,W$5),V17+W15-W16)</f>
        <v>15758.5584058119</v>
      </c>
      <c r="X17" s="120" t="n">
        <f aca="false">IF(X$5&lt;=LastHist,INDEX(H_DR,1,X$5),W17+X15-X16)</f>
        <v>18625.6752053276</v>
      </c>
      <c r="Y17" s="120" t="n">
        <f aca="false">IF(Y$5&lt;=LastHist,INDEX(H_DR,1,Y$5),X17+Y15-Y16)</f>
        <v>18528.8356048836</v>
      </c>
      <c r="Z17" s="120" t="n">
        <f aca="false">IF(Z$5&lt;=LastHist,INDEX(H_DR,1,Z$5),Y17+Z15-Z16)</f>
        <v>21091.9459711433</v>
      </c>
      <c r="AA17" s="120" t="n">
        <f aca="false">IF(AA$5&lt;=LastHist,INDEX(H_DR,1,AA$5),Z17+AA15-AA16)</f>
        <v>21361.3088068814</v>
      </c>
      <c r="AB17" s="120" t="n">
        <f aca="false">IF(AB$5&lt;=LastHist,INDEX(H_DR,1,AB$5),AA17+AB15-AB16)</f>
        <v>25301.9147396412</v>
      </c>
      <c r="AC17" s="120" t="n">
        <f aca="false">IF(AC$5&lt;=LastHist,INDEX(H_DR,1,AC$5),AB17+AC15-AC16)</f>
        <v>23193.4218446711</v>
      </c>
      <c r="AD17" s="120" t="n">
        <f aca="false">IF(AD$5&lt;=LastHist,INDEX(H_DR,1,AD$5),AC17+AD15-AD16)</f>
        <v>21260.6366909485</v>
      </c>
      <c r="AE17" s="120" t="n">
        <f aca="false">IF(AE$5&lt;=LastHist,INDEX(H_DR,1,AE$5),AD17+AE15-AE16)</f>
        <v>19488.9169667028</v>
      </c>
      <c r="AF17" s="120" t="n">
        <f aca="false">IF(AF$5&lt;=LastHist,INDEX(H_DR,1,AF$5),AE17+AF15-AF16)</f>
        <v>17864.8405528109</v>
      </c>
      <c r="AG17" s="120" t="n">
        <f aca="false">IF(AG$5&lt;=LastHist,INDEX(H_DR,1,AG$5),AF17+AG15-AG16)</f>
        <v>16376.1038400767</v>
      </c>
      <c r="AI17" s="120" t="n">
        <f aca="false">INDEX($F17:$AG17,1,MATCH(AI$7,$F$7:$AG$7,1))</f>
        <v>0</v>
      </c>
      <c r="AJ17" s="120" t="n">
        <f aca="false">INDEX($F17:$AG17,1,MATCH(AJ$7,$F$7:$AG$7,1))</f>
        <v>1578</v>
      </c>
      <c r="AK17" s="120" t="n">
        <f aca="false">INDEX($F17:$AG17,1,MATCH(AK$7,$F$7:$AG$7,1))</f>
        <v>8204.85676388889</v>
      </c>
      <c r="AL17" s="120" t="n">
        <f aca="false">INDEX($F17:$AG17,1,MATCH(AL$7,$F$7:$AG$7,1))</f>
        <v>15047.1814085695</v>
      </c>
      <c r="AM17" s="120" t="n">
        <f aca="false">INDEX($F17:$AG17,1,MATCH(AM$7,$F$7:$AG$7,1))</f>
        <v>18528.8356048836</v>
      </c>
      <c r="AN17" s="120" t="n">
        <f aca="false">INDEX($F17:$AG17,1,MATCH(AN$7,$F$7:$AG$7,1))</f>
        <v>23193.4218446711</v>
      </c>
      <c r="AO17" s="120" t="n">
        <f aca="false">INDEX($F17:$AG17,1,MATCH(AO$7,$F$7:$AG$7,1))</f>
        <v>16376.1038400767</v>
      </c>
    </row>
    <row r="18" customFormat="false" ht="15" hidden="false" customHeight="false" outlineLevel="0" collapsed="false">
      <c r="A18" s="101" t="s">
        <v>1878</v>
      </c>
      <c r="B18" s="18" t="s">
        <v>400</v>
      </c>
      <c r="C18" s="18" t="s">
        <v>336</v>
      </c>
      <c r="D18" s="18"/>
      <c r="F18" s="119" t="n">
        <f aca="false">F15-F16</f>
        <v>0</v>
      </c>
      <c r="G18" s="119" t="n">
        <f aca="false">G15-G16</f>
        <v>0</v>
      </c>
      <c r="H18" s="119" t="n">
        <f aca="false">H15-H16</f>
        <v>0</v>
      </c>
      <c r="I18" s="119" t="n">
        <f aca="false">I15-I16</f>
        <v>0</v>
      </c>
      <c r="J18" s="119" t="n">
        <f aca="false">J15-J16</f>
        <v>0</v>
      </c>
      <c r="K18" s="119" t="n">
        <f aca="false">K15-K16</f>
        <v>0</v>
      </c>
      <c r="L18" s="119" t="n">
        <f aca="false">L15-L16</f>
        <v>0</v>
      </c>
      <c r="M18" s="119" t="n">
        <f aca="false">M15-M16</f>
        <v>0</v>
      </c>
      <c r="N18" s="119" t="n">
        <f aca="false">N15-N16</f>
        <v>0</v>
      </c>
      <c r="O18" s="119" t="n">
        <f aca="false">O15-O16</f>
        <v>0</v>
      </c>
      <c r="P18" s="120" t="n">
        <f aca="false">P15-P16</f>
        <v>844.462833333333</v>
      </c>
      <c r="Q18" s="120" t="n">
        <f aca="false">Q15-Q16</f>
        <v>1385.39393055556</v>
      </c>
      <c r="R18" s="120" t="n">
        <f aca="false">R15-R16</f>
        <v>1582.83393634259</v>
      </c>
      <c r="S18" s="120" t="n">
        <f aca="false">S15-S16</f>
        <v>1733.67510831404</v>
      </c>
      <c r="T18" s="120" t="n">
        <f aca="false">T15-T16</f>
        <v>2921.84118262121</v>
      </c>
      <c r="U18" s="120" t="n">
        <f aca="false">U15-U16</f>
        <v>603.974417402772</v>
      </c>
      <c r="V18" s="120" t="n">
        <f aca="false">V15-V16</f>
        <v>652.973215952541</v>
      </c>
      <c r="W18" s="120" t="n">
        <f aca="false">W15-W16</f>
        <v>58.4037812898296</v>
      </c>
      <c r="X18" s="120" t="n">
        <f aca="false">X15-X16</f>
        <v>2867.11679951568</v>
      </c>
      <c r="Y18" s="120" t="n">
        <f aca="false">Y15-Y16</f>
        <v>-96.8396004439628</v>
      </c>
      <c r="Z18" s="120" t="n">
        <f aca="false">Z15-Z16</f>
        <v>2563.1103662597</v>
      </c>
      <c r="AA18" s="120" t="n">
        <f aca="false">AA15-AA16</f>
        <v>269.362835738059</v>
      </c>
      <c r="AB18" s="120" t="n">
        <f aca="false">AB15-AB16</f>
        <v>3940.60593275989</v>
      </c>
      <c r="AC18" s="120" t="n">
        <f aca="false">AC15-AC16</f>
        <v>-2108.4928949701</v>
      </c>
      <c r="AD18" s="120" t="n">
        <f aca="false">AD15-AD16</f>
        <v>-1932.7851537226</v>
      </c>
      <c r="AE18" s="120" t="n">
        <f aca="false">AE15-AE16</f>
        <v>-1771.71972424571</v>
      </c>
      <c r="AF18" s="120" t="n">
        <f aca="false">AF15-AF16</f>
        <v>-1624.0764138919</v>
      </c>
      <c r="AG18" s="120" t="n">
        <f aca="false">AG15-AG16</f>
        <v>-1488.73671273424</v>
      </c>
      <c r="AI18" s="120" t="n">
        <f aca="false">SUMIF($F$7:$AG$7,AI$7,$F18:$AG18)</f>
        <v>0</v>
      </c>
      <c r="AJ18" s="120" t="n">
        <f aca="false">SUMIF($F$7:$AG$7,AJ$7,$F18:$AG18)</f>
        <v>0</v>
      </c>
      <c r="AK18" s="120" t="n">
        <f aca="false">SUMIF($F$7:$AG$7,AK$7,$F18:$AG18)</f>
        <v>2229.85676388889</v>
      </c>
      <c r="AL18" s="120" t="n">
        <f aca="false">SUMIF($F$7:$AG$7,AL$7,$F18:$AG18)</f>
        <v>6842.32464468061</v>
      </c>
      <c r="AM18" s="120" t="n">
        <f aca="false">SUMIF($F$7:$AG$7,AM$7,$F18:$AG18)</f>
        <v>3481.65419631409</v>
      </c>
      <c r="AN18" s="120" t="n">
        <f aca="false">SUMIF($F$7:$AG$7,AN$7,$F18:$AG18)</f>
        <v>4664.58623978755</v>
      </c>
      <c r="AO18" s="120" t="n">
        <f aca="false">SUMIF($F$7:$AG$7,AO$7,$F18:$AG18)</f>
        <v>-6817.31800459445</v>
      </c>
    </row>
    <row r="20" customFormat="false" ht="15" hidden="false" customHeight="false" outlineLevel="0" collapsed="false">
      <c r="A20" s="48" t="s">
        <v>1879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 customFormat="false" ht="15" hidden="false" customHeight="false" outlineLevel="0" collapsed="false">
      <c r="A21" s="101" t="s">
        <v>1880</v>
      </c>
      <c r="B21" s="18" t="s">
        <v>400</v>
      </c>
      <c r="C21" s="18" t="s">
        <v>336</v>
      </c>
      <c r="D21" s="18"/>
      <c r="F21" s="119" t="n">
        <f aca="false">0</f>
        <v>0</v>
      </c>
      <c r="G21" s="119" t="n">
        <f aca="false">IF(G$5&lt;=LastHist,0,INDEX(CF_Cash,1,1)*CashYield/4)</f>
        <v>0</v>
      </c>
      <c r="H21" s="119" t="n">
        <f aca="false">IF(H$5&lt;=LastHist,0,INDEX(CF_Cash,1,2)*CashYield/4)</f>
        <v>0</v>
      </c>
      <c r="I21" s="119" t="n">
        <f aca="false">IF(I$5&lt;=LastHist,0,INDEX(CF_Cash,1,3)*CashYield/4)</f>
        <v>0</v>
      </c>
      <c r="J21" s="119" t="n">
        <f aca="false">IF(J$5&lt;=LastHist,0,INDEX(CF_Cash,1,4)*CashYield/4)</f>
        <v>0</v>
      </c>
      <c r="K21" s="119" t="n">
        <f aca="false">IF(K$5&lt;=LastHist,0,INDEX(CF_Cash,1,5)*CashYield/4)</f>
        <v>0</v>
      </c>
      <c r="L21" s="119" t="n">
        <f aca="false">IF(L$5&lt;=LastHist,0,INDEX(CF_Cash,1,6)*CashYield/4)</f>
        <v>0</v>
      </c>
      <c r="M21" s="119" t="n">
        <f aca="false">IF(M$5&lt;=LastHist,0,INDEX(CF_Cash,1,7)*CashYield/4)</f>
        <v>0</v>
      </c>
      <c r="N21" s="119" t="n">
        <f aca="false">IF(N$5&lt;=LastHist,0,INDEX(CF_Cash,1,8)*CashYield/4)</f>
        <v>0</v>
      </c>
      <c r="O21" s="119" t="n">
        <f aca="false">IF(O$5&lt;=LastHist,0,INDEX(CF_Cash,1,9)*CashYield/4)</f>
        <v>0</v>
      </c>
      <c r="P21" s="120" t="n">
        <f aca="false">IF(P$5&lt;=LastHist,0,INDEX(CF_Cash,1,10)*CashYield/4)</f>
        <v>70.368375</v>
      </c>
      <c r="Q21" s="120" t="n">
        <f aca="false">IF(Q$5&lt;=LastHist,0,INDEX(CF_Cash,1,11)*CashYield/4)</f>
        <v>105.941847249713</v>
      </c>
      <c r="R21" s="120" t="n">
        <f aca="false">IF(R$5&lt;=LastHist,0,INDEX(CF_Cash,1,12)*CashYield/4)</f>
        <v>76.6456746728533</v>
      </c>
      <c r="S21" s="120" t="n">
        <f aca="false">IF(S$5&lt;=LastHist,0,INDEX(CF_Cash,1,13)*CashYield/4)</f>
        <v>43.4059669474669</v>
      </c>
      <c r="T21" s="120" t="n">
        <f aca="false">IF(T$5&lt;=LastHist,0,INDEX(CF_Cash,1,14)*CashYield/4)</f>
        <v>17.5</v>
      </c>
      <c r="U21" s="120" t="n">
        <f aca="false">IF(U$5&lt;=LastHist,0,INDEX(CF_Cash,1,15)*CashYield/4)</f>
        <v>17.5</v>
      </c>
      <c r="V21" s="120" t="n">
        <f aca="false">IF(V$5&lt;=LastHist,0,INDEX(CF_Cash,1,16)*CashYield/4)</f>
        <v>17.5</v>
      </c>
      <c r="W21" s="120" t="n">
        <f aca="false">IF(W$5&lt;=LastHist,0,INDEX(CF_Cash,1,17)*CashYield/4)</f>
        <v>17.5</v>
      </c>
      <c r="X21" s="120" t="n">
        <f aca="false">IF(X$5&lt;=LastHist,0,INDEX(CF_Cash,1,18)*CashYield/4)</f>
        <v>17.5</v>
      </c>
      <c r="Y21" s="120" t="n">
        <f aca="false">IF(Y$5&lt;=LastHist,0,INDEX(CF_Cash,1,19)*CashYield/4)</f>
        <v>17.5</v>
      </c>
      <c r="Z21" s="120" t="n">
        <f aca="false">IF(Z$5&lt;=LastHist,0,INDEX(CF_Cash,1,20)*CashYield/4)</f>
        <v>17.5</v>
      </c>
      <c r="AA21" s="120" t="n">
        <f aca="false">IF(AA$5&lt;=LastHist,0,INDEX(CF_Cash,1,21)*CashYield/4)</f>
        <v>17.5</v>
      </c>
      <c r="AB21" s="120" t="n">
        <f aca="false">IF(AB$5&lt;=LastHist,0,INDEX(CF_Cash,1,22)*CashYield/4)</f>
        <v>17.5</v>
      </c>
      <c r="AC21" s="120" t="n">
        <f aca="false">IF(AC$5&lt;=LastHist,0,INDEX(CF_Cash,1,23)*CashYield/4)</f>
        <v>17.5</v>
      </c>
      <c r="AD21" s="120" t="n">
        <f aca="false">IF(AD$5&lt;=LastHist,0,INDEX(CF_Cash,1,24)*CashYield/4)</f>
        <v>40.4173502004383</v>
      </c>
      <c r="AE21" s="120" t="n">
        <f aca="false">IF(AE$5&lt;=LastHist,0,INDEX(CF_Cash,1,25)*CashYield/4)</f>
        <v>38.3238554745998</v>
      </c>
      <c r="AF21" s="120" t="n">
        <f aca="false">IF(AF$5&lt;=LastHist,0,INDEX(CF_Cash,1,26)*CashYield/4)</f>
        <v>75.8072476743291</v>
      </c>
      <c r="AG21" s="120" t="n">
        <f aca="false">IF(AG$5&lt;=LastHist,0,INDEX(CF_Cash,1,27)*CashYield/4)</f>
        <v>111.404619731215</v>
      </c>
      <c r="AI21" s="120" t="n">
        <f aca="false">SUMIF($F$7:$AG$7,AI$7,$F21:$AG21)</f>
        <v>0</v>
      </c>
      <c r="AJ21" s="120" t="n">
        <f aca="false">SUMIF($F$7:$AG$7,AJ$7,$F21:$AG21)</f>
        <v>0</v>
      </c>
      <c r="AK21" s="120" t="n">
        <f aca="false">SUMIF($F$7:$AG$7,AK$7,$F21:$AG21)</f>
        <v>176.310222249713</v>
      </c>
      <c r="AL21" s="120" t="n">
        <f aca="false">SUMIF($F$7:$AG$7,AL$7,$F21:$AG21)</f>
        <v>155.05164162032</v>
      </c>
      <c r="AM21" s="120" t="n">
        <f aca="false">SUMIF($F$7:$AG$7,AM$7,$F21:$AG21)</f>
        <v>70</v>
      </c>
      <c r="AN21" s="120" t="n">
        <f aca="false">SUMIF($F$7:$AG$7,AN$7,$F21:$AG21)</f>
        <v>70</v>
      </c>
      <c r="AO21" s="120" t="n">
        <f aca="false">SUMIF($F$7:$AG$7,AO$7,$F21:$AG21)</f>
        <v>265.953073080582</v>
      </c>
    </row>
    <row r="22" customFormat="false" ht="15" hidden="false" customHeight="false" outlineLevel="0" collapsed="false">
      <c r="A22" s="101" t="s">
        <v>1881</v>
      </c>
      <c r="B22" s="18" t="s">
        <v>400</v>
      </c>
      <c r="C22" s="18" t="s">
        <v>336</v>
      </c>
      <c r="D22" s="18"/>
      <c r="F22" s="119" t="n">
        <f aca="false">0</f>
        <v>0</v>
      </c>
      <c r="G22" s="119" t="n">
        <f aca="false">IF(G$5&lt;=LastHist,0,INDEX(CF_PlugBal,1,1)*(SOFR+PlugSpread)/4)</f>
        <v>0</v>
      </c>
      <c r="H22" s="119" t="n">
        <f aca="false">IF(H$5&lt;=LastHist,0,INDEX(CF_PlugBal,1,2)*(SOFR+PlugSpread)/4)</f>
        <v>0</v>
      </c>
      <c r="I22" s="119" t="n">
        <f aca="false">IF(I$5&lt;=LastHist,0,INDEX(CF_PlugBal,1,3)*(SOFR+PlugSpread)/4)</f>
        <v>0</v>
      </c>
      <c r="J22" s="119" t="n">
        <f aca="false">IF(J$5&lt;=LastHist,0,INDEX(CF_PlugBal,1,4)*(SOFR+PlugSpread)/4)</f>
        <v>0</v>
      </c>
      <c r="K22" s="119" t="n">
        <f aca="false">IF(K$5&lt;=LastHist,0,INDEX(CF_PlugBal,1,5)*(SOFR+PlugSpread)/4)</f>
        <v>0</v>
      </c>
      <c r="L22" s="119" t="n">
        <f aca="false">IF(L$5&lt;=LastHist,0,INDEX(CF_PlugBal,1,6)*(SOFR+PlugSpread)/4)</f>
        <v>0</v>
      </c>
      <c r="M22" s="119" t="n">
        <f aca="false">IF(M$5&lt;=LastHist,0,INDEX(CF_PlugBal,1,7)*(SOFR+PlugSpread)/4)</f>
        <v>0</v>
      </c>
      <c r="N22" s="119" t="n">
        <f aca="false">IF(N$5&lt;=LastHist,0,INDEX(CF_PlugBal,1,8)*(SOFR+PlugSpread)/4)</f>
        <v>0</v>
      </c>
      <c r="O22" s="119" t="n">
        <f aca="false">IF(O$5&lt;=LastHist,0,INDEX(CF_PlugBal,1,9)*(SOFR+PlugSpread)/4)</f>
        <v>0</v>
      </c>
      <c r="P22" s="120" t="n">
        <f aca="false">IF(P$5&lt;=LastHist,0,INDEX(CF_PlugBal,1,10)*(SOFR+PlugSpread)/4)</f>
        <v>0</v>
      </c>
      <c r="Q22" s="120" t="n">
        <f aca="false">IF(Q$5&lt;=LastHist,0,INDEX(CF_PlugBal,1,11)*(SOFR+PlugSpread)/4)</f>
        <v>0</v>
      </c>
      <c r="R22" s="120" t="n">
        <f aca="false">IF(R$5&lt;=LastHist,0,INDEX(CF_PlugBal,1,12)*(SOFR+PlugSpread)/4)</f>
        <v>0</v>
      </c>
      <c r="S22" s="120" t="n">
        <f aca="false">IF(S$5&lt;=LastHist,0,INDEX(CF_PlugBal,1,13)*(SOFR+PlugSpread)/4)</f>
        <v>0</v>
      </c>
      <c r="T22" s="120" t="n">
        <f aca="false">IF(T$5&lt;=LastHist,0,INDEX(CF_PlugBal,1,14)*(SOFR+PlugSpread)/4)</f>
        <v>10.6137798265352</v>
      </c>
      <c r="U22" s="120" t="n">
        <f aca="false">IF(U$5&lt;=LastHist,0,INDEX(CF_PlugBal,1,15)*(SOFR+PlugSpread)/4)</f>
        <v>64.6887527992575</v>
      </c>
      <c r="V22" s="120" t="n">
        <f aca="false">IF(V$5&lt;=LastHist,0,INDEX(CF_PlugBal,1,16)*(SOFR+PlugSpread)/4)</f>
        <v>89.2477530725573</v>
      </c>
      <c r="W22" s="120" t="n">
        <f aca="false">IF(W$5&lt;=LastHist,0,INDEX(CF_PlugBal,1,17)*(SOFR+PlugSpread)/4)</f>
        <v>109.364702311915</v>
      </c>
      <c r="X22" s="120" t="n">
        <f aca="false">IF(X$5&lt;=LastHist,0,INDEX(CF_PlugBal,1,18)*(SOFR+PlugSpread)/4)</f>
        <v>117.959215333771</v>
      </c>
      <c r="Y22" s="120" t="n">
        <f aca="false">IF(Y$5&lt;=LastHist,0,INDEX(CF_PlugBal,1,19)*(SOFR+PlugSpread)/4)</f>
        <v>162.955849287947</v>
      </c>
      <c r="Z22" s="120" t="n">
        <f aca="false">IF(Z$5&lt;=LastHist,0,INDEX(CF_PlugBal,1,20)*(SOFR+PlugSpread)/4)</f>
        <v>171.296779621592</v>
      </c>
      <c r="AA22" s="120" t="n">
        <f aca="false">IF(AA$5&lt;=LastHist,0,INDEX(CF_PlugBal,1,21)*(SOFR+PlugSpread)/4)</f>
        <v>210.635318433355</v>
      </c>
      <c r="AB22" s="120" t="n">
        <f aca="false">IF(AB$5&lt;=LastHist,0,INDEX(CF_PlugBal,1,22)*(SOFR+PlugSpread)/4)</f>
        <v>219.076148943446</v>
      </c>
      <c r="AC22" s="120" t="n">
        <f aca="false">IF(AC$5&lt;=LastHist,0,INDEX(CF_PlugBal,1,23)*(SOFR+PlugSpread)/4)</f>
        <v>274.942341251674</v>
      </c>
      <c r="AD22" s="120" t="n">
        <f aca="false">IF(AD$5&lt;=LastHist,0,INDEX(CF_PlugBal,1,24)*(SOFR+PlugSpread)/4)</f>
        <v>274.942341251674</v>
      </c>
      <c r="AE22" s="120" t="n">
        <f aca="false">IF(AE$5&lt;=LastHist,0,INDEX(CF_PlugBal,1,25)*(SOFR+PlugSpread)/4)</f>
        <v>274.942341251674</v>
      </c>
      <c r="AF22" s="120" t="n">
        <f aca="false">IF(AF$5&lt;=LastHist,0,INDEX(CF_PlugBal,1,26)*(SOFR+PlugSpread)/4)</f>
        <v>274.942341251674</v>
      </c>
      <c r="AG22" s="120" t="n">
        <f aca="false">IF(AG$5&lt;=LastHist,0,INDEX(CF_PlugBal,1,27)*(SOFR+PlugSpread)/4)</f>
        <v>274.942341251674</v>
      </c>
      <c r="AI22" s="120" t="n">
        <f aca="false">SUMIF($F$7:$AG$7,AI$7,$F22:$AG22)</f>
        <v>0</v>
      </c>
      <c r="AJ22" s="120" t="n">
        <f aca="false">SUMIF($F$7:$AG$7,AJ$7,$F22:$AG22)</f>
        <v>0</v>
      </c>
      <c r="AK22" s="120" t="n">
        <f aca="false">SUMIF($F$7:$AG$7,AK$7,$F22:$AG22)</f>
        <v>0</v>
      </c>
      <c r="AL22" s="120" t="n">
        <f aca="false">SUMIF($F$7:$AG$7,AL$7,$F22:$AG22)</f>
        <v>75.3025326257927</v>
      </c>
      <c r="AM22" s="120" t="n">
        <f aca="false">SUMIF($F$7:$AG$7,AM$7,$F22:$AG22)</f>
        <v>479.527520006191</v>
      </c>
      <c r="AN22" s="120" t="n">
        <f aca="false">SUMIF($F$7:$AG$7,AN$7,$F22:$AG22)</f>
        <v>875.950588250067</v>
      </c>
      <c r="AO22" s="120" t="n">
        <f aca="false">SUMIF($F$7:$AG$7,AO$7,$F22:$AG22)</f>
        <v>1099.7693650067</v>
      </c>
    </row>
    <row r="23" customFormat="false" ht="15" hidden="false" customHeight="false" outlineLevel="0" collapsed="false">
      <c r="A23" s="101" t="s">
        <v>1882</v>
      </c>
      <c r="B23" s="18" t="s">
        <v>400</v>
      </c>
      <c r="C23" s="18" t="s">
        <v>336</v>
      </c>
      <c r="D23" s="18" t="s">
        <v>1883</v>
      </c>
      <c r="F23" s="119" t="n">
        <f aca="false">IF(F$5&lt;=LastHist,0,-INDEX(CV_cpn,1,1)-INDEX(Sec_Int,1,1)-F22+F21)</f>
        <v>0</v>
      </c>
      <c r="G23" s="119" t="n">
        <f aca="false">IF(G$5&lt;=LastHist,0,-INDEX(CV_cpn,1,2)-INDEX(Sec_Int,1,2)-G22+G21)</f>
        <v>0</v>
      </c>
      <c r="H23" s="119" t="n">
        <f aca="false">IF(H$5&lt;=LastHist,0,-INDEX(CV_cpn,1,3)-INDEX(Sec_Int,1,3)-H22+H21)</f>
        <v>0</v>
      </c>
      <c r="I23" s="119" t="n">
        <f aca="false">IF(I$5&lt;=LastHist,0,-INDEX(CV_cpn,1,4)-INDEX(Sec_Int,1,4)-I22+I21)</f>
        <v>0</v>
      </c>
      <c r="J23" s="119" t="n">
        <f aca="false">IF(J$5&lt;=LastHist,0,-INDEX(CV_cpn,1,5)-INDEX(Sec_Int,1,5)-J22+J21)</f>
        <v>0</v>
      </c>
      <c r="K23" s="119" t="n">
        <f aca="false">IF(K$5&lt;=LastHist,0,-INDEX(CV_cpn,1,6)-INDEX(Sec_Int,1,6)-K22+K21)</f>
        <v>0</v>
      </c>
      <c r="L23" s="119" t="n">
        <f aca="false">IF(L$5&lt;=LastHist,0,-INDEX(CV_cpn,1,7)-INDEX(Sec_Int,1,7)-L22+L21)</f>
        <v>0</v>
      </c>
      <c r="M23" s="119" t="n">
        <f aca="false">IF(M$5&lt;=LastHist,0,-INDEX(CV_cpn,1,8)-INDEX(Sec_Int,1,8)-M22+M21)</f>
        <v>0</v>
      </c>
      <c r="N23" s="119" t="n">
        <f aca="false">IF(N$5&lt;=LastHist,0,-INDEX(CV_cpn,1,9)-INDEX(Sec_Int,1,9)-N22+N21)</f>
        <v>0</v>
      </c>
      <c r="O23" s="119" t="n">
        <f aca="false">IF(O$5&lt;=LastHist,0,-INDEX(CV_cpn,1,10)-INDEX(Sec_Int,1,10)-O22+O21)</f>
        <v>0</v>
      </c>
      <c r="P23" s="120" t="n">
        <f aca="false">IF(P$5&lt;=LastHist,0,-INDEX(CV_cpn,1,11)-INDEX(Sec_Int,1,11)-P22+P21)</f>
        <v>-7.90115624999999</v>
      </c>
      <c r="Q23" s="120" t="n">
        <f aca="false">IF(Q$5&lt;=LastHist,0,-INDEX(CV_cpn,1,12)-INDEX(Sec_Int,1,12)-Q22+Q21)</f>
        <v>27.6723159997134</v>
      </c>
      <c r="R23" s="120" t="n">
        <f aca="false">IF(R$5&lt;=LastHist,0,-INDEX(CV_cpn,1,13)-INDEX(Sec_Int,1,13)-R22+R21)</f>
        <v>-1.62385657714675</v>
      </c>
      <c r="S23" s="120" t="n">
        <f aca="false">IF(S$5&lt;=LastHist,0,-INDEX(CV_cpn,1,14)-INDEX(Sec_Int,1,14)-S22+S21)</f>
        <v>-34.8635643025331</v>
      </c>
      <c r="T23" s="120" t="n">
        <f aca="false">IF(T$5&lt;=LastHist,0,-INDEX(CV_cpn,1,15)-INDEX(Sec_Int,1,15)-T22+T21)</f>
        <v>-71.3833110765352</v>
      </c>
      <c r="U23" s="120" t="n">
        <f aca="false">IF(U$5&lt;=LastHist,0,-INDEX(CV_cpn,1,16)-INDEX(Sec_Int,1,16)-U22+U21)</f>
        <v>-125.458284049257</v>
      </c>
      <c r="V23" s="120" t="n">
        <f aca="false">IF(V$5&lt;=LastHist,0,-INDEX(CV_cpn,1,17)-INDEX(Sec_Int,1,17)-V22+V21)</f>
        <v>-150.017284322557</v>
      </c>
      <c r="W23" s="120" t="n">
        <f aca="false">IF(W$5&lt;=LastHist,0,-INDEX(CV_cpn,1,18)-INDEX(Sec_Int,1,18)-W22+W21)</f>
        <v>-170.134233561915</v>
      </c>
      <c r="X23" s="120" t="n">
        <f aca="false">IF(X$5&lt;=LastHist,0,-INDEX(CV_cpn,1,19)-INDEX(Sec_Int,1,19)-X22+X21)</f>
        <v>-178.728746583771</v>
      </c>
      <c r="Y23" s="120" t="n">
        <f aca="false">IF(Y$5&lt;=LastHist,0,-INDEX(CV_cpn,1,20)-INDEX(Sec_Int,1,20)-Y22+Y21)</f>
        <v>-223.725380537947</v>
      </c>
      <c r="Z23" s="120" t="n">
        <f aca="false">IF(Z$5&lt;=LastHist,0,-INDEX(CV_cpn,1,21)-INDEX(Sec_Int,1,21)-Z22+Z21)</f>
        <v>-232.066310871592</v>
      </c>
      <c r="AA23" s="120" t="n">
        <f aca="false">IF(AA$5&lt;=LastHist,0,-INDEX(CV_cpn,1,22)-INDEX(Sec_Int,1,22)-AA22+AA21)</f>
        <v>-270.967349683355</v>
      </c>
      <c r="AB23" s="120" t="n">
        <f aca="false">IF(AB$5&lt;=LastHist,0,-INDEX(CV_cpn,1,23)-INDEX(Sec_Int,1,23)-AB22+AB21)</f>
        <v>-279.408180193446</v>
      </c>
      <c r="AC23" s="120" t="n">
        <f aca="false">IF(AC$5&lt;=LastHist,0,-INDEX(CV_cpn,1,24)-INDEX(Sec_Int,1,24)-AC22+AC21)</f>
        <v>-335.274372501674</v>
      </c>
      <c r="AD23" s="120" t="n">
        <f aca="false">IF(AD$5&lt;=LastHist,0,-INDEX(CV_cpn,1,25)-INDEX(Sec_Int,1,25)-AD22+AD21)</f>
        <v>-308.044522301236</v>
      </c>
      <c r="AE23" s="120" t="n">
        <f aca="false">IF(AE$5&lt;=LastHist,0,-INDEX(CV_cpn,1,26)-INDEX(Sec_Int,1,26)-AE22+AE21)</f>
        <v>-310.138017027074</v>
      </c>
      <c r="AF23" s="120" t="n">
        <f aca="false">IF(AF$5&lt;=LastHist,0,-INDEX(CV_cpn,1,27)-INDEX(Sec_Int,1,27)-AF22+AF21)</f>
        <v>-268.701499827345</v>
      </c>
      <c r="AG23" s="120" t="n">
        <f aca="false">IF(AG$5&lt;=LastHist,0,-INDEX(CV_cpn,1,28)-INDEX(Sec_Int,1,28)-AG22+AG21)</f>
        <v>-220.510377770459</v>
      </c>
      <c r="AI23" s="120" t="n">
        <f aca="false">SUMIF($F$7:$AG$7,AI$7,$F23:$AG23)</f>
        <v>0</v>
      </c>
      <c r="AJ23" s="120" t="n">
        <f aca="false">SUMIF($F$7:$AG$7,AJ$7,$F23:$AG23)</f>
        <v>0</v>
      </c>
      <c r="AK23" s="120" t="n">
        <f aca="false">SUMIF($F$7:$AG$7,AK$7,$F23:$AG23)</f>
        <v>19.7711597497134</v>
      </c>
      <c r="AL23" s="120" t="n">
        <f aca="false">SUMIF($F$7:$AG$7,AL$7,$F23:$AG23)</f>
        <v>-233.329016005473</v>
      </c>
      <c r="AM23" s="120" t="n">
        <f aca="false">SUMIF($F$7:$AG$7,AM$7,$F23:$AG23)</f>
        <v>-722.605645006191</v>
      </c>
      <c r="AN23" s="120" t="n">
        <f aca="false">SUMIF($F$7:$AG$7,AN$7,$F23:$AG23)</f>
        <v>-1117.71621325007</v>
      </c>
      <c r="AO23" s="120" t="n">
        <f aca="false">SUMIF($F$7:$AG$7,AO$7,$F23:$AG23)</f>
        <v>-1107.39441692611</v>
      </c>
    </row>
    <row r="24" customFormat="false" ht="15" hidden="false" customHeight="false" outlineLevel="0" collapsed="false">
      <c r="A24" s="3" t="s">
        <v>1884</v>
      </c>
      <c r="B24" s="18" t="s">
        <v>400</v>
      </c>
      <c r="C24" s="18" t="s">
        <v>336</v>
      </c>
      <c r="D24" s="18"/>
      <c r="F24" s="121" t="n">
        <f aca="false">F11+F12+F23+F18</f>
        <v>0</v>
      </c>
      <c r="G24" s="121" t="n">
        <f aca="false">G11+G12+G23+G18</f>
        <v>0</v>
      </c>
      <c r="H24" s="121" t="n">
        <f aca="false">H11+H12+H23+H18</f>
        <v>0</v>
      </c>
      <c r="I24" s="121" t="n">
        <f aca="false">I11+I12+I23+I18</f>
        <v>0</v>
      </c>
      <c r="J24" s="121" t="n">
        <f aca="false">J11+J12+J23+J18</f>
        <v>0</v>
      </c>
      <c r="K24" s="121" t="n">
        <f aca="false">K11+K12+K23+K18</f>
        <v>0</v>
      </c>
      <c r="L24" s="121" t="n">
        <f aca="false">L11+L12+L23+L18</f>
        <v>0</v>
      </c>
      <c r="M24" s="121" t="n">
        <f aca="false">M11+M12+M23+M18</f>
        <v>0</v>
      </c>
      <c r="N24" s="121" t="n">
        <f aca="false">N11+N12+N23+N18</f>
        <v>0</v>
      </c>
      <c r="O24" s="121" t="n">
        <f aca="false">O11+O12+O23+O18</f>
        <v>0</v>
      </c>
      <c r="P24" s="93" t="n">
        <f aca="false">P11+P12+P23+P18</f>
        <v>1110.31335314677</v>
      </c>
      <c r="Q24" s="93" t="n">
        <f aca="false">Q11+Q12+Q23+Q18</f>
        <v>1742.13449048302</v>
      </c>
      <c r="R24" s="93" t="n">
        <f aca="false">R11+R12+R23+R18</f>
        <v>2109.01286490963</v>
      </c>
      <c r="S24" s="93" t="n">
        <f aca="false">S11+S12+S23+S18</f>
        <v>2478.09217933081</v>
      </c>
      <c r="T24" s="93" t="n">
        <f aca="false">T11+T12+T23+T18</f>
        <v>3944.56630364573</v>
      </c>
      <c r="U24" s="93" t="n">
        <f aca="false">U11+U12+U23+U18</f>
        <v>1942.28562915852</v>
      </c>
      <c r="V24" s="93" t="n">
        <f aca="false">V11+V12+V23+V18</f>
        <v>2727.64536751937</v>
      </c>
      <c r="W24" s="93" t="n">
        <f aca="false">W11+W12+W23+W18</f>
        <v>2659.11281771898</v>
      </c>
      <c r="X24" s="93" t="n">
        <f aca="false">X11+X12+X23+X18</f>
        <v>5819.13007005678</v>
      </c>
      <c r="Y24" s="93" t="n">
        <f aca="false">Y11+Y12+Y23+Y18</f>
        <v>3080.97782530276</v>
      </c>
      <c r="Z24" s="93" t="n">
        <f aca="false">Z11+Z12+Z23+Z18</f>
        <v>6403.83966780404</v>
      </c>
      <c r="AA24" s="93" t="n">
        <f aca="false">AA11+AA12+AA23+AA18</f>
        <v>4547.76522702586</v>
      </c>
      <c r="AB24" s="93" t="n">
        <f aca="false">AB11+AB12+AB23+AB18</f>
        <v>8736.82572765018</v>
      </c>
      <c r="AC24" s="93" t="n">
        <f aca="false">AC11+AC12+AC23+AC18</f>
        <v>3127.45891440346</v>
      </c>
      <c r="AD24" s="93" t="n">
        <f aca="false">AD11+AD12+AD23+AD18</f>
        <v>4185.61163359071</v>
      </c>
      <c r="AE24" s="93" t="n">
        <f aca="false">AE11+AE12+AE23+AE18</f>
        <v>4908.20664387773</v>
      </c>
      <c r="AF24" s="93" t="n">
        <f aca="false">AF11+AF12+AF23+AF18</f>
        <v>5047.3235860215</v>
      </c>
      <c r="AG24" s="93" t="n">
        <f aca="false">AG11+AG12+AG23+AG18</f>
        <v>5339.59422257085</v>
      </c>
      <c r="AI24" s="93" t="n">
        <f aca="false">SUMIF($F$7:$AG$7,AI$7,$F24:$AG24)</f>
        <v>0</v>
      </c>
      <c r="AJ24" s="93" t="n">
        <f aca="false">SUMIF($F$7:$AG$7,AJ$7,$F24:$AG24)</f>
        <v>0</v>
      </c>
      <c r="AK24" s="93" t="n">
        <f aca="false">SUMIF($F$7:$AG$7,AK$7,$F24:$AG24)</f>
        <v>2852.44784362979</v>
      </c>
      <c r="AL24" s="93" t="n">
        <f aca="false">SUMIF($F$7:$AG$7,AL$7,$F24:$AG24)</f>
        <v>10473.9569770447</v>
      </c>
      <c r="AM24" s="93" t="n">
        <f aca="false">SUMIF($F$7:$AG$7,AM$7,$F24:$AG24)</f>
        <v>14286.8660805979</v>
      </c>
      <c r="AN24" s="93" t="n">
        <f aca="false">SUMIF($F$7:$AG$7,AN$7,$F24:$AG24)</f>
        <v>22815.8895368835</v>
      </c>
      <c r="AO24" s="93" t="n">
        <f aca="false">SUMIF($F$7:$AG$7,AO$7,$F24:$AG24)</f>
        <v>19480.7360860608</v>
      </c>
    </row>
    <row r="25" customFormat="false" ht="15" hidden="false" customHeight="false" outlineLevel="0" collapsed="false">
      <c r="A25" s="101" t="s">
        <v>1885</v>
      </c>
      <c r="B25" s="18" t="s">
        <v>400</v>
      </c>
      <c r="C25" s="18" t="s">
        <v>1622</v>
      </c>
      <c r="D25" s="18"/>
      <c r="F25" s="119" t="n">
        <f aca="false">IF(F$5&lt;=LastHist,0,-INDEX(Capex,1,1))</f>
        <v>0</v>
      </c>
      <c r="G25" s="119" t="n">
        <f aca="false">IF(G$5&lt;=LastHist,0,-INDEX(Capex,1,2))</f>
        <v>0</v>
      </c>
      <c r="H25" s="119" t="n">
        <f aca="false">IF(H$5&lt;=LastHist,0,-INDEX(Capex,1,3))</f>
        <v>0</v>
      </c>
      <c r="I25" s="119" t="n">
        <f aca="false">IF(I$5&lt;=LastHist,0,-INDEX(Capex,1,4))</f>
        <v>0</v>
      </c>
      <c r="J25" s="119" t="n">
        <f aca="false">IF(J$5&lt;=LastHist,0,-INDEX(Capex,1,5))</f>
        <v>0</v>
      </c>
      <c r="K25" s="119" t="n">
        <f aca="false">IF(K$5&lt;=LastHist,0,-INDEX(Capex,1,6))</f>
        <v>0</v>
      </c>
      <c r="L25" s="119" t="n">
        <f aca="false">IF(L$5&lt;=LastHist,0,-INDEX(Capex,1,7))</f>
        <v>0</v>
      </c>
      <c r="M25" s="119" t="n">
        <f aca="false">IF(M$5&lt;=LastHist,0,-INDEX(Capex,1,8))</f>
        <v>0</v>
      </c>
      <c r="N25" s="119" t="n">
        <f aca="false">IF(N$5&lt;=LastHist,0,-INDEX(Capex,1,9))</f>
        <v>0</v>
      </c>
      <c r="O25" s="119" t="n">
        <f aca="false">IF(O$5&lt;=LastHist,0,-INDEX(Capex,1,10))</f>
        <v>0</v>
      </c>
      <c r="P25" s="120" t="n">
        <f aca="false">IF(P$5&lt;=LastHist,0,-INDEX(Capex,1,11))</f>
        <v>-3499.77366746524</v>
      </c>
      <c r="Q25" s="120" t="n">
        <f aca="false">IF(Q$5&lt;=LastHist,0,-INDEX(Capex,1,12))</f>
        <v>-5090.26849926703</v>
      </c>
      <c r="R25" s="120" t="n">
        <f aca="false">IF(R$5&lt;=LastHist,0,-INDEX(Capex,1,13))</f>
        <v>-5907.83660495378</v>
      </c>
      <c r="S25" s="120" t="n">
        <f aca="false">IF(S$5&lt;=LastHist,0,-INDEX(Capex,1,14))</f>
        <v>-6651.77752493105</v>
      </c>
      <c r="T25" s="120" t="n">
        <f aca="false">IF(T$5&lt;=LastHist,0,-INDEX(Capex,1,15))</f>
        <v>-10124.563214814</v>
      </c>
      <c r="U25" s="120" t="n">
        <f aca="false">IF(U$5&lt;=LastHist,0,-INDEX(Capex,1,16))</f>
        <v>-4749.02851753565</v>
      </c>
      <c r="V25" s="120" t="n">
        <f aca="false">IF(V$5&lt;=LastHist,0,-INDEX(Capex,1,17))</f>
        <v>-5026.72528058877</v>
      </c>
      <c r="W25" s="120" t="n">
        <f aca="false">IF(W$5&lt;=LastHist,0,-INDEX(Capex,1,18))</f>
        <v>-3641.34287735977</v>
      </c>
      <c r="X25" s="120" t="n">
        <f aca="false">IF(X$5&lt;=LastHist,0,-INDEX(Capex,1,19))</f>
        <v>-10961.6025219626</v>
      </c>
      <c r="Y25" s="120" t="n">
        <f aca="false">IF(Y$5&lt;=LastHist,0,-INDEX(Capex,1,20))</f>
        <v>-4034.22700629075</v>
      </c>
      <c r="Z25" s="120" t="n">
        <f aca="false">IF(Z$5&lt;=LastHist,0,-INDEX(Capex,1,21))</f>
        <v>-10899.6726748627</v>
      </c>
      <c r="AA25" s="120" t="n">
        <f aca="false">IF(AA$5&lt;=LastHist,0,-INDEX(Capex,1,22))</f>
        <v>-5512.43157103625</v>
      </c>
      <c r="AB25" s="120" t="n">
        <f aca="false">IF(AB$5&lt;=LastHist,0,-INDEX(Capex,1,23))</f>
        <v>-15121.5334200191</v>
      </c>
      <c r="AC25" s="120" t="n">
        <f aca="false">IF(AC$5&lt;=LastHist,0,-INDEX(Capex,1,24))</f>
        <v>-508.333177210513</v>
      </c>
      <c r="AD25" s="120" t="n">
        <f aca="false">IF(AD$5&lt;=LastHist,0,-INDEX(Capex,1,25))</f>
        <v>-629.868173686535</v>
      </c>
      <c r="AE25" s="120" t="n">
        <f aca="false">IF(AE$5&lt;=LastHist,0,-INDEX(Capex,1,26))</f>
        <v>-624.390392480099</v>
      </c>
      <c r="AF25" s="120" t="n">
        <f aca="false">IF(AF$5&lt;=LastHist,0,-INDEX(Capex,1,27))</f>
        <v>-979.052493806002</v>
      </c>
      <c r="AG25" s="120" t="n">
        <f aca="false">IF(AG$5&lt;=LastHist,0,-INDEX(Capex,1,28))</f>
        <v>-1861.75265805268</v>
      </c>
      <c r="AI25" s="120" t="n">
        <f aca="false">SUMIF($F$7:$AG$7,AI$7,$F25:$AG25)</f>
        <v>0</v>
      </c>
      <c r="AJ25" s="120" t="n">
        <f aca="false">SUMIF($F$7:$AG$7,AJ$7,$F25:$AG25)</f>
        <v>0</v>
      </c>
      <c r="AK25" s="120" t="n">
        <f aca="false">SUMIF($F$7:$AG$7,AK$7,$F25:$AG25)</f>
        <v>-8590.04216673228</v>
      </c>
      <c r="AL25" s="120" t="n">
        <f aca="false">SUMIF($F$7:$AG$7,AL$7,$F25:$AG25)</f>
        <v>-27433.2058622345</v>
      </c>
      <c r="AM25" s="120" t="n">
        <f aca="false">SUMIF($F$7:$AG$7,AM$7,$F25:$AG25)</f>
        <v>-23663.8976862019</v>
      </c>
      <c r="AN25" s="120" t="n">
        <f aca="false">SUMIF($F$7:$AG$7,AN$7,$F25:$AG25)</f>
        <v>-32041.9708431285</v>
      </c>
      <c r="AO25" s="120" t="n">
        <f aca="false">SUMIF($F$7:$AG$7,AO$7,$F25:$AG25)</f>
        <v>-4095.06371802531</v>
      </c>
    </row>
    <row r="26" customFormat="false" ht="15" hidden="false" customHeight="false" outlineLevel="0" collapsed="false">
      <c r="A26" s="101" t="s">
        <v>1886</v>
      </c>
      <c r="B26" s="18" t="s">
        <v>400</v>
      </c>
      <c r="C26" s="18" t="s">
        <v>389</v>
      </c>
      <c r="D26" s="18"/>
      <c r="F26" s="119" t="n">
        <f aca="false">IF(F$5&lt;=LastHist,0,-CLT1Prepay/3*AND(F$5&gt;=12,F$5&lt;=14)-InferizeOn*InferizeAmt*(F$5=12))</f>
        <v>0</v>
      </c>
      <c r="G26" s="119" t="n">
        <f aca="false">IF(G$5&lt;=LastHist,0,-CLT1Prepay/3*AND(G$5&gt;=12,G$5&lt;=14)-InferizeOn*InferizeAmt*(G$5=12))</f>
        <v>0</v>
      </c>
      <c r="H26" s="119" t="n">
        <f aca="false">IF(H$5&lt;=LastHist,0,-CLT1Prepay/3*AND(H$5&gt;=12,H$5&lt;=14)-InferizeOn*InferizeAmt*(H$5=12))</f>
        <v>0</v>
      </c>
      <c r="I26" s="119" t="n">
        <f aca="false">IF(I$5&lt;=LastHist,0,-CLT1Prepay/3*AND(I$5&gt;=12,I$5&lt;=14)-InferizeOn*InferizeAmt*(I$5=12))</f>
        <v>0</v>
      </c>
      <c r="J26" s="119" t="n">
        <f aca="false">IF(J$5&lt;=LastHist,0,-CLT1Prepay/3*AND(J$5&gt;=12,J$5&lt;=14)-InferizeOn*InferizeAmt*(J$5=12))</f>
        <v>0</v>
      </c>
      <c r="K26" s="119" t="n">
        <f aca="false">IF(K$5&lt;=LastHist,0,-CLT1Prepay/3*AND(K$5&gt;=12,K$5&lt;=14)-InferizeOn*InferizeAmt*(K$5=12))</f>
        <v>0</v>
      </c>
      <c r="L26" s="119" t="n">
        <f aca="false">IF(L$5&lt;=LastHist,0,-CLT1Prepay/3*AND(L$5&gt;=12,L$5&lt;=14)-InferizeOn*InferizeAmt*(L$5=12))</f>
        <v>0</v>
      </c>
      <c r="M26" s="119" t="n">
        <f aca="false">IF(M$5&lt;=LastHist,0,-CLT1Prepay/3*AND(M$5&gt;=12,M$5&lt;=14)-InferizeOn*InferizeAmt*(M$5=12))</f>
        <v>0</v>
      </c>
      <c r="N26" s="119" t="n">
        <f aca="false">IF(N$5&lt;=LastHist,0,-CLT1Prepay/3*AND(N$5&gt;=12,N$5&lt;=14)-InferizeOn*InferizeAmt*(N$5=12))</f>
        <v>0</v>
      </c>
      <c r="O26" s="119" t="n">
        <f aca="false">IF(O$5&lt;=LastHist,0,-CLT1Prepay/3*AND(O$5&gt;=12,O$5&lt;=14)-InferizeOn*InferizeAmt*(O$5=12))</f>
        <v>0</v>
      </c>
      <c r="P26" s="120" t="n">
        <f aca="false">IF(P$5&lt;=LastHist,0,-CLT1Prepay/3*AND(P$5&gt;=12,P$5&lt;=14)-InferizeOn*InferizeAmt*(P$5=12))</f>
        <v>-0</v>
      </c>
      <c r="Q26" s="120" t="n">
        <f aca="false">IF(Q$5&lt;=LastHist,0,-CLT1Prepay/3*AND(Q$5&gt;=12,Q$5&lt;=14)-InferizeOn*InferizeAmt*(Q$5=12))</f>
        <v>-0</v>
      </c>
      <c r="R26" s="120" t="n">
        <f aca="false">IF(R$5&lt;=LastHist,0,-CLT1Prepay/3*AND(R$5&gt;=12,R$5&lt;=14)-InferizeOn*InferizeAmt*(R$5=12))</f>
        <v>-0</v>
      </c>
      <c r="S26" s="120" t="n">
        <f aca="false">IF(S$5&lt;=LastHist,0,-CLT1Prepay/3*AND(S$5&gt;=12,S$5&lt;=14)-InferizeOn*InferizeAmt*(S$5=12))</f>
        <v>-0</v>
      </c>
      <c r="T26" s="120" t="n">
        <f aca="false">IF(T$5&lt;=LastHist,0,-CLT1Prepay/3*AND(T$5&gt;=12,T$5&lt;=14)-InferizeOn*InferizeAmt*(T$5=12))</f>
        <v>-0</v>
      </c>
      <c r="U26" s="120" t="n">
        <f aca="false">IF(U$5&lt;=LastHist,0,-CLT1Prepay/3*AND(U$5&gt;=12,U$5&lt;=14)-InferizeOn*InferizeAmt*(U$5=12))</f>
        <v>-0</v>
      </c>
      <c r="V26" s="120" t="n">
        <f aca="false">IF(V$5&lt;=LastHist,0,-CLT1Prepay/3*AND(V$5&gt;=12,V$5&lt;=14)-InferizeOn*InferizeAmt*(V$5=12))</f>
        <v>-0</v>
      </c>
      <c r="W26" s="120" t="n">
        <f aca="false">IF(W$5&lt;=LastHist,0,-CLT1Prepay/3*AND(W$5&gt;=12,W$5&lt;=14)-InferizeOn*InferizeAmt*(W$5=12))</f>
        <v>-0</v>
      </c>
      <c r="X26" s="120" t="n">
        <f aca="false">IF(X$5&lt;=LastHist,0,-CLT1Prepay/3*AND(X$5&gt;=12,X$5&lt;=14)-InferizeOn*InferizeAmt*(X$5=12))</f>
        <v>-0</v>
      </c>
      <c r="Y26" s="120" t="n">
        <f aca="false">IF(Y$5&lt;=LastHist,0,-CLT1Prepay/3*AND(Y$5&gt;=12,Y$5&lt;=14)-InferizeOn*InferizeAmt*(Y$5=12))</f>
        <v>-0</v>
      </c>
      <c r="Z26" s="120" t="n">
        <f aca="false">IF(Z$5&lt;=LastHist,0,-CLT1Prepay/3*AND(Z$5&gt;=12,Z$5&lt;=14)-InferizeOn*InferizeAmt*(Z$5=12))</f>
        <v>-0</v>
      </c>
      <c r="AA26" s="120" t="n">
        <f aca="false">IF(AA$5&lt;=LastHist,0,-CLT1Prepay/3*AND(AA$5&gt;=12,AA$5&lt;=14)-InferizeOn*InferizeAmt*(AA$5=12))</f>
        <v>-0</v>
      </c>
      <c r="AB26" s="120" t="n">
        <f aca="false">IF(AB$5&lt;=LastHist,0,-CLT1Prepay/3*AND(AB$5&gt;=12,AB$5&lt;=14)-InferizeOn*InferizeAmt*(AB$5=12))</f>
        <v>-0</v>
      </c>
      <c r="AC26" s="120" t="n">
        <f aca="false">IF(AC$5&lt;=LastHist,0,-CLT1Prepay/3*AND(AC$5&gt;=12,AC$5&lt;=14)-InferizeOn*InferizeAmt*(AC$5=12))</f>
        <v>-0</v>
      </c>
      <c r="AD26" s="120" t="n">
        <f aca="false">IF(AD$5&lt;=LastHist,0,-CLT1Prepay/3*AND(AD$5&gt;=12,AD$5&lt;=14)-InferizeOn*InferizeAmt*(AD$5=12))</f>
        <v>-0</v>
      </c>
      <c r="AE26" s="120" t="n">
        <f aca="false">IF(AE$5&lt;=LastHist,0,-CLT1Prepay/3*AND(AE$5&gt;=12,AE$5&lt;=14)-InferizeOn*InferizeAmt*(AE$5=12))</f>
        <v>-0</v>
      </c>
      <c r="AF26" s="120" t="n">
        <f aca="false">IF(AF$5&lt;=LastHist,0,-CLT1Prepay/3*AND(AF$5&gt;=12,AF$5&lt;=14)-InferizeOn*InferizeAmt*(AF$5=12))</f>
        <v>-0</v>
      </c>
      <c r="AG26" s="120" t="n">
        <f aca="false">IF(AG$5&lt;=LastHist,0,-CLT1Prepay/3*AND(AG$5&gt;=12,AG$5&lt;=14)-InferizeOn*InferizeAmt*(AG$5=12))</f>
        <v>-0</v>
      </c>
      <c r="AI26" s="120" t="n">
        <f aca="false">SUMIF($F$7:$AG$7,AI$7,$F26:$AG26)</f>
        <v>0</v>
      </c>
      <c r="AJ26" s="120" t="n">
        <f aca="false">SUMIF($F$7:$AG$7,AJ$7,$F26:$AG26)</f>
        <v>0</v>
      </c>
      <c r="AK26" s="120" t="n">
        <f aca="false">SUMIF($F$7:$AG$7,AK$7,$F26:$AG26)</f>
        <v>0</v>
      </c>
      <c r="AL26" s="120" t="n">
        <f aca="false">SUMIF($F$7:$AG$7,AL$7,$F26:$AG26)</f>
        <v>0</v>
      </c>
      <c r="AM26" s="120" t="n">
        <f aca="false">SUMIF($F$7:$AG$7,AM$7,$F26:$AG26)</f>
        <v>0</v>
      </c>
      <c r="AN26" s="120" t="n">
        <f aca="false">SUMIF($F$7:$AG$7,AN$7,$F26:$AG26)</f>
        <v>0</v>
      </c>
      <c r="AO26" s="120" t="n">
        <f aca="false">SUMIF($F$7:$AG$7,AO$7,$F26:$AG26)</f>
        <v>0</v>
      </c>
    </row>
    <row r="27" customFormat="false" ht="15" hidden="false" customHeight="false" outlineLevel="0" collapsed="false">
      <c r="A27" s="3" t="s">
        <v>1887</v>
      </c>
      <c r="B27" s="18" t="s">
        <v>400</v>
      </c>
      <c r="C27" s="18" t="s">
        <v>336</v>
      </c>
      <c r="D27" s="18"/>
      <c r="F27" s="121" t="n">
        <f aca="false">F24+F25+F26</f>
        <v>0</v>
      </c>
      <c r="G27" s="121" t="n">
        <f aca="false">G24+G25+G26</f>
        <v>0</v>
      </c>
      <c r="H27" s="121" t="n">
        <f aca="false">H24+H25+H26</f>
        <v>0</v>
      </c>
      <c r="I27" s="121" t="n">
        <f aca="false">I24+I25+I26</f>
        <v>0</v>
      </c>
      <c r="J27" s="121" t="n">
        <f aca="false">J24+J25+J26</f>
        <v>0</v>
      </c>
      <c r="K27" s="121" t="n">
        <f aca="false">K24+K25+K26</f>
        <v>0</v>
      </c>
      <c r="L27" s="121" t="n">
        <f aca="false">L24+L25+L26</f>
        <v>0</v>
      </c>
      <c r="M27" s="121" t="n">
        <f aca="false">M24+M25+M26</f>
        <v>0</v>
      </c>
      <c r="N27" s="121" t="n">
        <f aca="false">N24+N25+N26</f>
        <v>0</v>
      </c>
      <c r="O27" s="121" t="n">
        <f aca="false">O24+O25+O26</f>
        <v>0</v>
      </c>
      <c r="P27" s="93" t="n">
        <f aca="false">P24+P25+P26</f>
        <v>-2389.46031431848</v>
      </c>
      <c r="Q27" s="93" t="n">
        <f aca="false">Q24+Q25+Q26</f>
        <v>-3348.13400878401</v>
      </c>
      <c r="R27" s="93" t="n">
        <f aca="false">R24+R25+R26</f>
        <v>-3798.82374004416</v>
      </c>
      <c r="S27" s="93" t="n">
        <f aca="false">S24+S25+S26</f>
        <v>-4173.68534560024</v>
      </c>
      <c r="T27" s="93" t="n">
        <f aca="false">T24+T25+T26</f>
        <v>-6179.99691116826</v>
      </c>
      <c r="U27" s="93" t="n">
        <f aca="false">U24+U25+U26</f>
        <v>-2806.74288837712</v>
      </c>
      <c r="V27" s="93" t="n">
        <f aca="false">V24+V25+V26</f>
        <v>-2299.07991306939</v>
      </c>
      <c r="W27" s="93" t="n">
        <f aca="false">W24+W25+W26</f>
        <v>-982.230059640791</v>
      </c>
      <c r="X27" s="93" t="n">
        <f aca="false">X24+X25+X26</f>
        <v>-5142.4724519058</v>
      </c>
      <c r="Y27" s="93" t="n">
        <f aca="false">Y24+Y25+Y26</f>
        <v>-953.24918098799</v>
      </c>
      <c r="Z27" s="93" t="n">
        <f aca="false">Z24+Z25+Z26</f>
        <v>-4495.83300705864</v>
      </c>
      <c r="AA27" s="93" t="n">
        <f aca="false">AA24+AA25+AA26</f>
        <v>-964.666344010385</v>
      </c>
      <c r="AB27" s="93" t="n">
        <f aca="false">AB24+AB25+AB26</f>
        <v>-6384.70769236889</v>
      </c>
      <c r="AC27" s="93" t="n">
        <f aca="false">AC24+AC25+AC26</f>
        <v>2619.12573719295</v>
      </c>
      <c r="AD27" s="93" t="n">
        <f aca="false">AD24+AD25+AD26</f>
        <v>3555.74345990417</v>
      </c>
      <c r="AE27" s="93" t="n">
        <f aca="false">AE24+AE25+AE26</f>
        <v>4283.81625139763</v>
      </c>
      <c r="AF27" s="93" t="n">
        <f aca="false">AF24+AF25+AF26</f>
        <v>4068.2710922155</v>
      </c>
      <c r="AG27" s="93" t="n">
        <f aca="false">AG24+AG25+AG26</f>
        <v>3477.84156451818</v>
      </c>
      <c r="AI27" s="93" t="n">
        <f aca="false">SUMIF($F$7:$AG$7,AI$7,$F27:$AG27)</f>
        <v>0</v>
      </c>
      <c r="AJ27" s="93" t="n">
        <f aca="false">SUMIF($F$7:$AG$7,AJ$7,$F27:$AG27)</f>
        <v>0</v>
      </c>
      <c r="AK27" s="93" t="n">
        <f aca="false">SUMIF($F$7:$AG$7,AK$7,$F27:$AG27)</f>
        <v>-5737.59432310249</v>
      </c>
      <c r="AL27" s="93" t="n">
        <f aca="false">SUMIF($F$7:$AG$7,AL$7,$F27:$AG27)</f>
        <v>-16959.2488851898</v>
      </c>
      <c r="AM27" s="93" t="n">
        <f aca="false">SUMIF($F$7:$AG$7,AM$7,$F27:$AG27)</f>
        <v>-9377.03160560398</v>
      </c>
      <c r="AN27" s="93" t="n">
        <f aca="false">SUMIF($F$7:$AG$7,AN$7,$F27:$AG27)</f>
        <v>-9226.08130624496</v>
      </c>
      <c r="AO27" s="93" t="n">
        <f aca="false">SUMIF($F$7:$AG$7,AO$7,$F27:$AG27)</f>
        <v>15385.6723680355</v>
      </c>
    </row>
    <row r="28" customFormat="false" ht="15" hidden="false" customHeight="false" outlineLevel="0" collapsed="false">
      <c r="A28" s="101" t="s">
        <v>1888</v>
      </c>
      <c r="B28" s="18" t="s">
        <v>400</v>
      </c>
      <c r="C28" s="18" t="s">
        <v>336</v>
      </c>
      <c r="D28" s="18" t="s">
        <v>1889</v>
      </c>
      <c r="F28" s="119" t="n">
        <f aca="false">IF(F$5&lt;=LastHist,0,INDEX(PL_EBITDA,1,1)-MAX(0,INDEX(PL_EBIT,1,1))*TaxRate+F18-INDEX(Capex,1,1))</f>
        <v>0</v>
      </c>
      <c r="G28" s="119" t="n">
        <f aca="false">IF(G$5&lt;=LastHist,0,INDEX(PL_EBITDA,1,2)-MAX(0,INDEX(PL_EBIT,1,2))*TaxRate+G18-INDEX(Capex,1,2))</f>
        <v>0</v>
      </c>
      <c r="H28" s="119" t="n">
        <f aca="false">IF(H$5&lt;=LastHist,0,INDEX(PL_EBITDA,1,3)-MAX(0,INDEX(PL_EBIT,1,3))*TaxRate+H18-INDEX(Capex,1,3))</f>
        <v>0</v>
      </c>
      <c r="I28" s="119" t="n">
        <f aca="false">IF(I$5&lt;=LastHist,0,INDEX(PL_EBITDA,1,4)-MAX(0,INDEX(PL_EBIT,1,4))*TaxRate+I18-INDEX(Capex,1,4))</f>
        <v>0</v>
      </c>
      <c r="J28" s="119" t="n">
        <f aca="false">IF(J$5&lt;=LastHist,0,INDEX(PL_EBITDA,1,5)-MAX(0,INDEX(PL_EBIT,1,5))*TaxRate+J18-INDEX(Capex,1,5))</f>
        <v>0</v>
      </c>
      <c r="K28" s="119" t="n">
        <f aca="false">IF(K$5&lt;=LastHist,0,INDEX(PL_EBITDA,1,6)-MAX(0,INDEX(PL_EBIT,1,6))*TaxRate+K18-INDEX(Capex,1,6))</f>
        <v>0</v>
      </c>
      <c r="L28" s="119" t="n">
        <f aca="false">IF(L$5&lt;=LastHist,0,INDEX(PL_EBITDA,1,7)-MAX(0,INDEX(PL_EBIT,1,7))*TaxRate+L18-INDEX(Capex,1,7))</f>
        <v>0</v>
      </c>
      <c r="M28" s="119" t="n">
        <f aca="false">IF(M$5&lt;=LastHist,0,INDEX(PL_EBITDA,1,8)-MAX(0,INDEX(PL_EBIT,1,8))*TaxRate+M18-INDEX(Capex,1,8))</f>
        <v>0</v>
      </c>
      <c r="N28" s="119" t="n">
        <f aca="false">IF(N$5&lt;=LastHist,0,INDEX(PL_EBITDA,1,9)-MAX(0,INDEX(PL_EBIT,1,9))*TaxRate+N18-INDEX(Capex,1,9))</f>
        <v>0</v>
      </c>
      <c r="O28" s="119" t="n">
        <f aca="false">IF(O$5&lt;=LastHist,0,INDEX(PL_EBITDA,1,10)-MAX(0,INDEX(PL_EBIT,1,10))*TaxRate+O18-INDEX(Capex,1,10))</f>
        <v>0</v>
      </c>
      <c r="P28" s="120" t="n">
        <f aca="false">IF(P$5&lt;=LastHist,0,INDEX(PL_EBITDA,1,11)-MAX(0,INDEX(PL_EBIT,1,11))*TaxRate+P18-INDEX(Capex,1,11))</f>
        <v>-2381.55915806848</v>
      </c>
      <c r="Q28" s="120" t="n">
        <f aca="false">IF(Q$5&lt;=LastHist,0,INDEX(PL_EBITDA,1,12)-MAX(0,INDEX(PL_EBIT,1,12))*TaxRate+Q18-INDEX(Capex,1,12))</f>
        <v>-3375.80632478373</v>
      </c>
      <c r="R28" s="120" t="n">
        <f aca="false">IF(R$5&lt;=LastHist,0,INDEX(PL_EBITDA,1,13)-MAX(0,INDEX(PL_EBIT,1,13))*TaxRate+R18-INDEX(Capex,1,13))</f>
        <v>-3797.19988346701</v>
      </c>
      <c r="S28" s="120" t="n">
        <f aca="false">IF(S$5&lt;=LastHist,0,INDEX(PL_EBITDA,1,14)-MAX(0,INDEX(PL_EBIT,1,14))*TaxRate+S18-INDEX(Capex,1,14))</f>
        <v>-4138.82178129771</v>
      </c>
      <c r="T28" s="120" t="n">
        <f aca="false">IF(T$5&lt;=LastHist,0,INDEX(PL_EBITDA,1,15)-MAX(0,INDEX(PL_EBIT,1,15))*TaxRate+T18-INDEX(Capex,1,15))</f>
        <v>-6108.61360009172</v>
      </c>
      <c r="U28" s="120" t="n">
        <f aca="false">IF(U$5&lt;=LastHist,0,INDEX(PL_EBITDA,1,16)-MAX(0,INDEX(PL_EBIT,1,16))*TaxRate+U18-INDEX(Capex,1,16))</f>
        <v>-2681.28460432787</v>
      </c>
      <c r="V28" s="120" t="n">
        <f aca="false">IF(V$5&lt;=LastHist,0,INDEX(PL_EBITDA,1,17)-MAX(0,INDEX(PL_EBIT,1,17))*TaxRate+V18-INDEX(Capex,1,17))</f>
        <v>-2154.3881690806</v>
      </c>
      <c r="W28" s="120" t="n">
        <f aca="false">IF(W$5&lt;=LastHist,0,INDEX(PL_EBITDA,1,18)-MAX(0,INDEX(PL_EBIT,1,18))*TaxRate+W18-INDEX(Capex,1,18))</f>
        <v>-865.375402360089</v>
      </c>
      <c r="X28" s="120" t="n">
        <f aca="false">IF(X$5&lt;=LastHist,0,INDEX(PL_EBITDA,1,19)-MAX(0,INDEX(PL_EBIT,1,19))*TaxRate+X18-INDEX(Capex,1,19))</f>
        <v>-5019.24066596288</v>
      </c>
      <c r="Y28" s="120" t="n">
        <f aca="false">IF(Y$5&lt;=LastHist,0,INDEX(PL_EBITDA,1,20)-MAX(0,INDEX(PL_EBIT,1,20))*TaxRate+Y18-INDEX(Capex,1,20))</f>
        <v>-796.629892651072</v>
      </c>
      <c r="Z28" s="120" t="n">
        <f aca="false">IF(Z$5&lt;=LastHist,0,INDEX(PL_EBITDA,1,21)-MAX(0,INDEX(PL_EBIT,1,21))*TaxRate+Z18-INDEX(Capex,1,21))</f>
        <v>-4333.02474841416</v>
      </c>
      <c r="AA28" s="120" t="n">
        <f aca="false">IF(AA$5&lt;=LastHist,0,INDEX(PL_EBITDA,1,22)-MAX(0,INDEX(PL_EBIT,1,22))*TaxRate+AA18-INDEX(Capex,1,22))</f>
        <v>-772.854053568959</v>
      </c>
      <c r="AB28" s="120" t="n">
        <f aca="false">IF(AB$5&lt;=LastHist,0,INDEX(PL_EBITDA,1,23)-MAX(0,INDEX(PL_EBIT,1,23))*TaxRate+AB18-INDEX(Capex,1,23))</f>
        <v>-6186.63230568897</v>
      </c>
      <c r="AC28" s="120" t="n">
        <f aca="false">IF(AC$5&lt;=LastHist,0,INDEX(PL_EBITDA,1,24)-MAX(0,INDEX(PL_EBIT,1,24))*TaxRate+AC18-INDEX(Capex,1,24))</f>
        <v>2858.65383856557</v>
      </c>
      <c r="AD28" s="120" t="n">
        <f aca="false">IF(AD$5&lt;=LastHist,0,INDEX(PL_EBITDA,1,25)-MAX(0,INDEX(PL_EBIT,1,25))*TaxRate+AD18-INDEX(Capex,1,25))</f>
        <v>3778.65400337771</v>
      </c>
      <c r="AE28" s="120" t="n">
        <f aca="false">IF(AE$5&lt;=LastHist,0,INDEX(PL_EBITDA,1,26)-MAX(0,INDEX(PL_EBIT,1,26))*TaxRate+AE18-INDEX(Capex,1,26))</f>
        <v>4508.28016795774</v>
      </c>
      <c r="AF28" s="120" t="n">
        <f aca="false">IF(AF$5&lt;=LastHist,0,INDEX(PL_EBITDA,1,27)-MAX(0,INDEX(PL_EBIT,1,27))*TaxRate+AF18-INDEX(Capex,1,27))</f>
        <v>4263.52331425108</v>
      </c>
      <c r="AG28" s="120" t="n">
        <f aca="false">IF(AG$5&lt;=LastHist,0,INDEX(PL_EBITDA,1,28)-MAX(0,INDEX(PL_EBIT,1,28))*TaxRate+AG18-INDEX(Capex,1,28))</f>
        <v>3636.12077786255</v>
      </c>
      <c r="AI28" s="120" t="n">
        <f aca="false">SUMIF($F$7:$AG$7,AI$7,$F28:$AG28)</f>
        <v>0</v>
      </c>
      <c r="AJ28" s="120" t="n">
        <f aca="false">SUMIF($F$7:$AG$7,AJ$7,$F28:$AG28)</f>
        <v>0</v>
      </c>
      <c r="AK28" s="120" t="n">
        <f aca="false">SUMIF($F$7:$AG$7,AK$7,$F28:$AG28)</f>
        <v>-5757.3654828522</v>
      </c>
      <c r="AL28" s="120" t="n">
        <f aca="false">SUMIF($F$7:$AG$7,AL$7,$F28:$AG28)</f>
        <v>-16725.9198691843</v>
      </c>
      <c r="AM28" s="120" t="n">
        <f aca="false">SUMIF($F$7:$AG$7,AM$7,$F28:$AG28)</f>
        <v>-8835.63413005465</v>
      </c>
      <c r="AN28" s="120" t="n">
        <f aca="false">SUMIF($F$7:$AG$7,AN$7,$F28:$AG28)</f>
        <v>-8433.85726910653</v>
      </c>
      <c r="AO28" s="120" t="n">
        <f aca="false">SUMIF($F$7:$AG$7,AO$7,$F28:$AG28)</f>
        <v>16186.5782634491</v>
      </c>
    </row>
    <row r="30" customFormat="false" ht="15" hidden="false" customHeight="false" outlineLevel="0" collapsed="false">
      <c r="A30" s="48" t="s">
        <v>1890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</row>
    <row r="31" customFormat="false" ht="15" hidden="false" customHeight="false" outlineLevel="0" collapsed="false">
      <c r="A31" s="101" t="s">
        <v>1891</v>
      </c>
      <c r="B31" s="18" t="s">
        <v>400</v>
      </c>
      <c r="C31" s="18" t="s">
        <v>1709</v>
      </c>
      <c r="D31" s="18" t="s">
        <v>1892</v>
      </c>
      <c r="F31" s="119" t="n">
        <f aca="false">IF(F$5=11,AugNet,0)*(F$5&gt;LastHist)</f>
        <v>0</v>
      </c>
      <c r="G31" s="119" t="n">
        <f aca="false">IF(G$5=11,AugNet,0)*(G$5&gt;LastHist)</f>
        <v>0</v>
      </c>
      <c r="H31" s="119" t="n">
        <f aca="false">IF(H$5=11,AugNet,0)*(H$5&gt;LastHist)</f>
        <v>0</v>
      </c>
      <c r="I31" s="119" t="n">
        <f aca="false">IF(I$5=11,AugNet,0)*(I$5&gt;LastHist)</f>
        <v>0</v>
      </c>
      <c r="J31" s="119" t="n">
        <f aca="false">IF(J$5=11,AugNet,0)*(J$5&gt;LastHist)</f>
        <v>0</v>
      </c>
      <c r="K31" s="119" t="n">
        <f aca="false">IF(K$5=11,AugNet,0)*(K$5&gt;LastHist)</f>
        <v>0</v>
      </c>
      <c r="L31" s="119" t="n">
        <f aca="false">IF(L$5=11,AugNet,0)*(L$5&gt;LastHist)</f>
        <v>0</v>
      </c>
      <c r="M31" s="119" t="n">
        <f aca="false">IF(M$5=11,AugNet,0)*(M$5&gt;LastHist)</f>
        <v>0</v>
      </c>
      <c r="N31" s="119" t="n">
        <f aca="false">IF(N$5=11,AugNet,0)*(N$5&gt;LastHist)</f>
        <v>0</v>
      </c>
      <c r="O31" s="119" t="n">
        <f aca="false">IF(O$5=11,AugNet,0)*(O$5&gt;LastHist)</f>
        <v>0</v>
      </c>
      <c r="P31" s="120" t="n">
        <f aca="false">IF(P$5=11,AugNet,0)*(P$5&gt;LastHist)</f>
        <v>5680</v>
      </c>
      <c r="Q31" s="120" t="n">
        <f aca="false">IF(Q$5=11,AugNet,0)*(Q$5&gt;LastHist)</f>
        <v>0</v>
      </c>
      <c r="R31" s="120" t="n">
        <f aca="false">IF(R$5=11,AugNet,0)*(R$5&gt;LastHist)</f>
        <v>0</v>
      </c>
      <c r="S31" s="120" t="n">
        <f aca="false">IF(S$5=11,AugNet,0)*(S$5&gt;LastHist)</f>
        <v>0</v>
      </c>
      <c r="T31" s="120" t="n">
        <f aca="false">IF(T$5=11,AugNet,0)*(T$5&gt;LastHist)</f>
        <v>0</v>
      </c>
      <c r="U31" s="120" t="n">
        <f aca="false">IF(U$5=11,AugNet,0)*(U$5&gt;LastHist)</f>
        <v>0</v>
      </c>
      <c r="V31" s="120" t="n">
        <f aca="false">IF(V$5=11,AugNet,0)*(V$5&gt;LastHist)</f>
        <v>0</v>
      </c>
      <c r="W31" s="120" t="n">
        <f aca="false">IF(W$5=11,AugNet,0)*(W$5&gt;LastHist)</f>
        <v>0</v>
      </c>
      <c r="X31" s="120" t="n">
        <f aca="false">IF(X$5=11,AugNet,0)*(X$5&gt;LastHist)</f>
        <v>0</v>
      </c>
      <c r="Y31" s="120" t="n">
        <f aca="false">IF(Y$5=11,AugNet,0)*(Y$5&gt;LastHist)</f>
        <v>0</v>
      </c>
      <c r="Z31" s="120" t="n">
        <f aca="false">IF(Z$5=11,AugNet,0)*(Z$5&gt;LastHist)</f>
        <v>0</v>
      </c>
      <c r="AA31" s="120" t="n">
        <f aca="false">IF(AA$5=11,AugNet,0)*(AA$5&gt;LastHist)</f>
        <v>0</v>
      </c>
      <c r="AB31" s="120" t="n">
        <f aca="false">IF(AB$5=11,AugNet,0)*(AB$5&gt;LastHist)</f>
        <v>0</v>
      </c>
      <c r="AC31" s="120" t="n">
        <f aca="false">IF(AC$5=11,AugNet,0)*(AC$5&gt;LastHist)</f>
        <v>0</v>
      </c>
      <c r="AD31" s="120" t="n">
        <f aca="false">IF(AD$5=11,AugNet,0)*(AD$5&gt;LastHist)</f>
        <v>0</v>
      </c>
      <c r="AE31" s="120" t="n">
        <f aca="false">IF(AE$5=11,AugNet,0)*(AE$5&gt;LastHist)</f>
        <v>0</v>
      </c>
      <c r="AF31" s="120" t="n">
        <f aca="false">IF(AF$5=11,AugNet,0)*(AF$5&gt;LastHist)</f>
        <v>0</v>
      </c>
      <c r="AG31" s="120" t="n">
        <f aca="false">IF(AG$5=11,AugNet,0)*(AG$5&gt;LastHist)</f>
        <v>0</v>
      </c>
      <c r="AI31" s="120" t="n">
        <f aca="false">SUMIF($F$7:$AG$7,AI$7,$F31:$AG31)</f>
        <v>0</v>
      </c>
      <c r="AJ31" s="120" t="n">
        <f aca="false">SUMIF($F$7:$AG$7,AJ$7,$F31:$AG31)</f>
        <v>0</v>
      </c>
      <c r="AK31" s="120" t="n">
        <f aca="false">SUMIF($F$7:$AG$7,AK$7,$F31:$AG31)</f>
        <v>5680</v>
      </c>
      <c r="AL31" s="120" t="n">
        <f aca="false">SUMIF($F$7:$AG$7,AL$7,$F31:$AG31)</f>
        <v>0</v>
      </c>
      <c r="AM31" s="120" t="n">
        <f aca="false">SUMIF($F$7:$AG$7,AM$7,$F31:$AG31)</f>
        <v>0</v>
      </c>
      <c r="AN31" s="120" t="n">
        <f aca="false">SUMIF($F$7:$AG$7,AN$7,$F31:$AG31)</f>
        <v>0</v>
      </c>
      <c r="AO31" s="120" t="n">
        <f aca="false">SUMIF($F$7:$AG$7,AO$7,$F31:$AG31)</f>
        <v>0</v>
      </c>
    </row>
    <row r="32" customFormat="false" ht="15" hidden="false" customHeight="false" outlineLevel="0" collapsed="false">
      <c r="A32" s="101" t="s">
        <v>1893</v>
      </c>
      <c r="B32" s="18" t="s">
        <v>400</v>
      </c>
      <c r="C32" s="18" t="s">
        <v>1709</v>
      </c>
      <c r="D32" s="18"/>
      <c r="F32" s="119" t="n">
        <f aca="false">IF(F$5&lt;=LastHist,0,-INDEX(CV_rep,1,1))</f>
        <v>0</v>
      </c>
      <c r="G32" s="119" t="n">
        <f aca="false">IF(G$5&lt;=LastHist,0,-INDEX(CV_rep,1,2))</f>
        <v>0</v>
      </c>
      <c r="H32" s="119" t="n">
        <f aca="false">IF(H$5&lt;=LastHist,0,-INDEX(CV_rep,1,3))</f>
        <v>0</v>
      </c>
      <c r="I32" s="119" t="n">
        <f aca="false">IF(I$5&lt;=LastHist,0,-INDEX(CV_rep,1,4))</f>
        <v>0</v>
      </c>
      <c r="J32" s="119" t="n">
        <f aca="false">IF(J$5&lt;=LastHist,0,-INDEX(CV_rep,1,5))</f>
        <v>0</v>
      </c>
      <c r="K32" s="119" t="n">
        <f aca="false">IF(K$5&lt;=LastHist,0,-INDEX(CV_rep,1,6))</f>
        <v>0</v>
      </c>
      <c r="L32" s="119" t="n">
        <f aca="false">IF(L$5&lt;=LastHist,0,-INDEX(CV_rep,1,7))</f>
        <v>0</v>
      </c>
      <c r="M32" s="119" t="n">
        <f aca="false">IF(M$5&lt;=LastHist,0,-INDEX(CV_rep,1,8))</f>
        <v>0</v>
      </c>
      <c r="N32" s="119" t="n">
        <f aca="false">IF(N$5&lt;=LastHist,0,-INDEX(CV_rep,1,9))</f>
        <v>0</v>
      </c>
      <c r="O32" s="119" t="n">
        <f aca="false">IF(O$5&lt;=LastHist,0,-INDEX(CV_rep,1,10))</f>
        <v>0</v>
      </c>
      <c r="P32" s="120" t="n">
        <f aca="false">IF(P$5&lt;=LastHist,0,-INDEX(CV_rep,1,11))</f>
        <v>-0</v>
      </c>
      <c r="Q32" s="120" t="n">
        <f aca="false">IF(Q$5&lt;=LastHist,0,-INDEX(CV_rep,1,12))</f>
        <v>-0</v>
      </c>
      <c r="R32" s="120" t="n">
        <f aca="false">IF(R$5&lt;=LastHist,0,-INDEX(CV_rep,1,13))</f>
        <v>-0</v>
      </c>
      <c r="S32" s="120" t="n">
        <f aca="false">IF(S$5&lt;=LastHist,0,-INDEX(CV_rep,1,14))</f>
        <v>-0</v>
      </c>
      <c r="T32" s="120" t="n">
        <f aca="false">IF(T$5&lt;=LastHist,0,-INDEX(CV_rep,1,15))</f>
        <v>-0</v>
      </c>
      <c r="U32" s="120" t="n">
        <f aca="false">IF(U$5&lt;=LastHist,0,-INDEX(CV_rep,1,16))</f>
        <v>-0</v>
      </c>
      <c r="V32" s="120" t="n">
        <f aca="false">IF(V$5&lt;=LastHist,0,-INDEX(CV_rep,1,17))</f>
        <v>-0</v>
      </c>
      <c r="W32" s="120" t="n">
        <f aca="false">IF(W$5&lt;=LastHist,0,-INDEX(CV_rep,1,18))</f>
        <v>-0</v>
      </c>
      <c r="X32" s="120" t="n">
        <f aca="false">IF(X$5&lt;=LastHist,0,-INDEX(CV_rep,1,19))</f>
        <v>-0</v>
      </c>
      <c r="Y32" s="120" t="n">
        <f aca="false">IF(Y$5&lt;=LastHist,0,-INDEX(CV_rep,1,20))</f>
        <v>-0</v>
      </c>
      <c r="Z32" s="120" t="n">
        <f aca="false">IF(Z$5&lt;=LastHist,0,-INDEX(CV_rep,1,21))</f>
        <v>-0</v>
      </c>
      <c r="AA32" s="120" t="n">
        <f aca="false">IF(AA$5&lt;=LastHist,0,-INDEX(CV_rep,1,22))</f>
        <v>-0</v>
      </c>
      <c r="AB32" s="120" t="n">
        <f aca="false">IF(AB$5&lt;=LastHist,0,-INDEX(CV_rep,1,23))</f>
        <v>-0</v>
      </c>
      <c r="AC32" s="120" t="n">
        <f aca="false">IF(AC$5&lt;=LastHist,0,-INDEX(CV_rep,1,24))</f>
        <v>-0</v>
      </c>
      <c r="AD32" s="120" t="n">
        <f aca="false">IF(AD$5&lt;=LastHist,0,-INDEX(CV_rep,1,25))</f>
        <v>-3795</v>
      </c>
      <c r="AE32" s="120" t="n">
        <f aca="false">IF(AE$5&lt;=LastHist,0,-INDEX(CV_rep,1,26))</f>
        <v>-0</v>
      </c>
      <c r="AF32" s="120" t="n">
        <f aca="false">IF(AF$5&lt;=LastHist,0,-INDEX(CV_rep,1,27))</f>
        <v>-0</v>
      </c>
      <c r="AG32" s="120" t="n">
        <f aca="false">IF(AG$5&lt;=LastHist,0,-INDEX(CV_rep,1,28))</f>
        <v>-0</v>
      </c>
      <c r="AI32" s="120" t="n">
        <f aca="false">SUMIF($F$7:$AG$7,AI$7,$F32:$AG32)</f>
        <v>0</v>
      </c>
      <c r="AJ32" s="120" t="n">
        <f aca="false">SUMIF($F$7:$AG$7,AJ$7,$F32:$AG32)</f>
        <v>0</v>
      </c>
      <c r="AK32" s="120" t="n">
        <f aca="false">SUMIF($F$7:$AG$7,AK$7,$F32:$AG32)</f>
        <v>0</v>
      </c>
      <c r="AL32" s="120" t="n">
        <f aca="false">SUMIF($F$7:$AG$7,AL$7,$F32:$AG32)</f>
        <v>0</v>
      </c>
      <c r="AM32" s="120" t="n">
        <f aca="false">SUMIF($F$7:$AG$7,AM$7,$F32:$AG32)</f>
        <v>0</v>
      </c>
      <c r="AN32" s="120" t="n">
        <f aca="false">SUMIF($F$7:$AG$7,AN$7,$F32:$AG32)</f>
        <v>0</v>
      </c>
      <c r="AO32" s="120" t="n">
        <f aca="false">SUMIF($F$7:$AG$7,AO$7,$F32:$AG32)</f>
        <v>-3795</v>
      </c>
    </row>
    <row r="33" customFormat="false" ht="15" hidden="false" customHeight="false" outlineLevel="0" collapsed="false">
      <c r="A33" s="101" t="s">
        <v>1894</v>
      </c>
      <c r="B33" s="18" t="s">
        <v>400</v>
      </c>
      <c r="C33" s="18" t="s">
        <v>1709</v>
      </c>
      <c r="D33" s="18"/>
      <c r="F33" s="119" t="n">
        <f aca="false">IF(F$5&lt;=LastHist,0,INDEX(Sec_Flow,1,1))</f>
        <v>0</v>
      </c>
      <c r="G33" s="119" t="n">
        <f aca="false">IF(G$5&lt;=LastHist,0,INDEX(Sec_Flow,1,2))</f>
        <v>0</v>
      </c>
      <c r="H33" s="119" t="n">
        <f aca="false">IF(H$5&lt;=LastHist,0,INDEX(Sec_Flow,1,3))</f>
        <v>0</v>
      </c>
      <c r="I33" s="119" t="n">
        <f aca="false">IF(I$5&lt;=LastHist,0,INDEX(Sec_Flow,1,4))</f>
        <v>0</v>
      </c>
      <c r="J33" s="119" t="n">
        <f aca="false">IF(J$5&lt;=LastHist,0,INDEX(Sec_Flow,1,5))</f>
        <v>0</v>
      </c>
      <c r="K33" s="119" t="n">
        <f aca="false">IF(K$5&lt;=LastHist,0,INDEX(Sec_Flow,1,6))</f>
        <v>0</v>
      </c>
      <c r="L33" s="119" t="n">
        <f aca="false">IF(L$5&lt;=LastHist,0,INDEX(Sec_Flow,1,7))</f>
        <v>0</v>
      </c>
      <c r="M33" s="119" t="n">
        <f aca="false">IF(M$5&lt;=LastHist,0,INDEX(Sec_Flow,1,8))</f>
        <v>0</v>
      </c>
      <c r="N33" s="119" t="n">
        <f aca="false">IF(N$5&lt;=LastHist,0,INDEX(Sec_Flow,1,9))</f>
        <v>0</v>
      </c>
      <c r="O33" s="119" t="n">
        <f aca="false">IF(O$5&lt;=LastHist,0,INDEX(Sec_Flow,1,10))</f>
        <v>0</v>
      </c>
      <c r="P33" s="120" t="n">
        <f aca="false">IF(P$5&lt;=LastHist,0,INDEX(Sec_Flow,1,11))</f>
        <v>775</v>
      </c>
      <c r="Q33" s="120" t="n">
        <f aca="false">IF(Q$5&lt;=LastHist,0,INDEX(Sec_Flow,1,12))</f>
        <v>0</v>
      </c>
      <c r="R33" s="120" t="n">
        <f aca="false">IF(R$5&lt;=LastHist,0,INDEX(Sec_Flow,1,13))</f>
        <v>0</v>
      </c>
      <c r="S33" s="120" t="n">
        <f aca="false">IF(S$5&lt;=LastHist,0,INDEX(Sec_Flow,1,14))</f>
        <v>0</v>
      </c>
      <c r="T33" s="120" t="n">
        <f aca="false">IF(T$5&lt;=LastHist,0,INDEX(Sec_Flow,1,15))</f>
        <v>0</v>
      </c>
      <c r="U33" s="120" t="n">
        <f aca="false">IF(U$5&lt;=LastHist,0,INDEX(Sec_Flow,1,16))</f>
        <v>0</v>
      </c>
      <c r="V33" s="120" t="n">
        <f aca="false">IF(V$5&lt;=LastHist,0,INDEX(Sec_Flow,1,17))</f>
        <v>0</v>
      </c>
      <c r="W33" s="120" t="n">
        <f aca="false">IF(W$5&lt;=LastHist,0,INDEX(Sec_Flow,1,18))</f>
        <v>0</v>
      </c>
      <c r="X33" s="120" t="n">
        <f aca="false">IF(X$5&lt;=LastHist,0,INDEX(Sec_Flow,1,19))</f>
        <v>0</v>
      </c>
      <c r="Y33" s="120" t="n">
        <f aca="false">IF(Y$5&lt;=LastHist,0,INDEX(Sec_Flow,1,20))</f>
        <v>0</v>
      </c>
      <c r="Z33" s="120" t="n">
        <f aca="false">IF(Z$5&lt;=LastHist,0,INDEX(Sec_Flow,1,21))</f>
        <v>0</v>
      </c>
      <c r="AA33" s="120" t="n">
        <f aca="false">IF(AA$5&lt;=LastHist,0,INDEX(Sec_Flow,1,22))</f>
        <v>0</v>
      </c>
      <c r="AB33" s="120" t="n">
        <f aca="false">IF(AB$5&lt;=LastHist,0,INDEX(Sec_Flow,1,23))</f>
        <v>0</v>
      </c>
      <c r="AC33" s="120" t="n">
        <f aca="false">IF(AC$5&lt;=LastHist,0,INDEX(Sec_Flow,1,24))</f>
        <v>0</v>
      </c>
      <c r="AD33" s="120" t="n">
        <f aca="false">IF(AD$5&lt;=LastHist,0,INDEX(Sec_Flow,1,25))</f>
        <v>0</v>
      </c>
      <c r="AE33" s="120" t="n">
        <f aca="false">IF(AE$5&lt;=LastHist,0,INDEX(Sec_Flow,1,26))</f>
        <v>0</v>
      </c>
      <c r="AF33" s="120" t="n">
        <f aca="false">IF(AF$5&lt;=LastHist,0,INDEX(Sec_Flow,1,27))</f>
        <v>0</v>
      </c>
      <c r="AG33" s="120" t="n">
        <f aca="false">IF(AG$5&lt;=LastHist,0,INDEX(Sec_Flow,1,28))</f>
        <v>-775</v>
      </c>
      <c r="AI33" s="120" t="n">
        <f aca="false">SUMIF($F$7:$AG$7,AI$7,$F33:$AG33)</f>
        <v>0</v>
      </c>
      <c r="AJ33" s="120" t="n">
        <f aca="false">SUMIF($F$7:$AG$7,AJ$7,$F33:$AG33)</f>
        <v>0</v>
      </c>
      <c r="AK33" s="120" t="n">
        <f aca="false">SUMIF($F$7:$AG$7,AK$7,$F33:$AG33)</f>
        <v>775</v>
      </c>
      <c r="AL33" s="120" t="n">
        <f aca="false">SUMIF($F$7:$AG$7,AL$7,$F33:$AG33)</f>
        <v>0</v>
      </c>
      <c r="AM33" s="120" t="n">
        <f aca="false">SUMIF($F$7:$AG$7,AM$7,$F33:$AG33)</f>
        <v>0</v>
      </c>
      <c r="AN33" s="120" t="n">
        <f aca="false">SUMIF($F$7:$AG$7,AN$7,$F33:$AG33)</f>
        <v>0</v>
      </c>
      <c r="AO33" s="120" t="n">
        <f aca="false">SUMIF($F$7:$AG$7,AO$7,$F33:$AG33)</f>
        <v>-775</v>
      </c>
    </row>
    <row r="34" customFormat="false" ht="15" hidden="false" customHeight="false" outlineLevel="0" collapsed="false">
      <c r="A34" s="101" t="s">
        <v>1895</v>
      </c>
      <c r="B34" s="18" t="s">
        <v>400</v>
      </c>
      <c r="C34" s="18" t="s">
        <v>389</v>
      </c>
      <c r="D34" s="18"/>
      <c r="F34" s="119" t="n">
        <f aca="false">IF(F$5=11,ATM_Q3*SharePx,0)*(F$5&gt;LastHist)</f>
        <v>0</v>
      </c>
      <c r="G34" s="119" t="n">
        <f aca="false">IF(G$5=11,ATM_Q3*SharePx,0)*(G$5&gt;LastHist)</f>
        <v>0</v>
      </c>
      <c r="H34" s="119" t="n">
        <f aca="false">IF(H$5=11,ATM_Q3*SharePx,0)*(H$5&gt;LastHist)</f>
        <v>0</v>
      </c>
      <c r="I34" s="119" t="n">
        <f aca="false">IF(I$5=11,ATM_Q3*SharePx,0)*(I$5&gt;LastHist)</f>
        <v>0</v>
      </c>
      <c r="J34" s="119" t="n">
        <f aca="false">IF(J$5=11,ATM_Q3*SharePx,0)*(J$5&gt;LastHist)</f>
        <v>0</v>
      </c>
      <c r="K34" s="119" t="n">
        <f aca="false">IF(K$5=11,ATM_Q3*SharePx,0)*(K$5&gt;LastHist)</f>
        <v>0</v>
      </c>
      <c r="L34" s="119" t="n">
        <f aca="false">IF(L$5=11,ATM_Q3*SharePx,0)*(L$5&gt;LastHist)</f>
        <v>0</v>
      </c>
      <c r="M34" s="119" t="n">
        <f aca="false">IF(M$5=11,ATM_Q3*SharePx,0)*(M$5&gt;LastHist)</f>
        <v>0</v>
      </c>
      <c r="N34" s="119" t="n">
        <f aca="false">IF(N$5=11,ATM_Q3*SharePx,0)*(N$5&gt;LastHist)</f>
        <v>0</v>
      </c>
      <c r="O34" s="119" t="n">
        <f aca="false">IF(O$5=11,ATM_Q3*SharePx,0)*(O$5&gt;LastHist)</f>
        <v>0</v>
      </c>
      <c r="P34" s="120" t="n">
        <f aca="false">IF(P$5=11,ATM_Q3*SharePx,0)*(P$5&gt;LastHist)</f>
        <v>0</v>
      </c>
      <c r="Q34" s="120" t="n">
        <f aca="false">IF(Q$5=11,ATM_Q3*SharePx,0)*(Q$5&gt;LastHist)</f>
        <v>0</v>
      </c>
      <c r="R34" s="120" t="n">
        <f aca="false">IF(R$5=11,ATM_Q3*SharePx,0)*(R$5&gt;LastHist)</f>
        <v>0</v>
      </c>
      <c r="S34" s="120" t="n">
        <f aca="false">IF(S$5=11,ATM_Q3*SharePx,0)*(S$5&gt;LastHist)</f>
        <v>0</v>
      </c>
      <c r="T34" s="120" t="n">
        <f aca="false">IF(T$5=11,ATM_Q3*SharePx,0)*(T$5&gt;LastHist)</f>
        <v>0</v>
      </c>
      <c r="U34" s="120" t="n">
        <f aca="false">IF(U$5=11,ATM_Q3*SharePx,0)*(U$5&gt;LastHist)</f>
        <v>0</v>
      </c>
      <c r="V34" s="120" t="n">
        <f aca="false">IF(V$5=11,ATM_Q3*SharePx,0)*(V$5&gt;LastHist)</f>
        <v>0</v>
      </c>
      <c r="W34" s="120" t="n">
        <f aca="false">IF(W$5=11,ATM_Q3*SharePx,0)*(W$5&gt;LastHist)</f>
        <v>0</v>
      </c>
      <c r="X34" s="120" t="n">
        <f aca="false">IF(X$5=11,ATM_Q3*SharePx,0)*(X$5&gt;LastHist)</f>
        <v>0</v>
      </c>
      <c r="Y34" s="120" t="n">
        <f aca="false">IF(Y$5=11,ATM_Q3*SharePx,0)*(Y$5&gt;LastHist)</f>
        <v>0</v>
      </c>
      <c r="Z34" s="120" t="n">
        <f aca="false">IF(Z$5=11,ATM_Q3*SharePx,0)*(Z$5&gt;LastHist)</f>
        <v>0</v>
      </c>
      <c r="AA34" s="120" t="n">
        <f aca="false">IF(AA$5=11,ATM_Q3*SharePx,0)*(AA$5&gt;LastHist)</f>
        <v>0</v>
      </c>
      <c r="AB34" s="120" t="n">
        <f aca="false">IF(AB$5=11,ATM_Q3*SharePx,0)*(AB$5&gt;LastHist)</f>
        <v>0</v>
      </c>
      <c r="AC34" s="120" t="n">
        <f aca="false">IF(AC$5=11,ATM_Q3*SharePx,0)*(AC$5&gt;LastHist)</f>
        <v>0</v>
      </c>
      <c r="AD34" s="120" t="n">
        <f aca="false">IF(AD$5=11,ATM_Q3*SharePx,0)*(AD$5&gt;LastHist)</f>
        <v>0</v>
      </c>
      <c r="AE34" s="120" t="n">
        <f aca="false">IF(AE$5=11,ATM_Q3*SharePx,0)*(AE$5&gt;LastHist)</f>
        <v>0</v>
      </c>
      <c r="AF34" s="120" t="n">
        <f aca="false">IF(AF$5=11,ATM_Q3*SharePx,0)*(AF$5&gt;LastHist)</f>
        <v>0</v>
      </c>
      <c r="AG34" s="120" t="n">
        <f aca="false">IF(AG$5=11,ATM_Q3*SharePx,0)*(AG$5&gt;LastHist)</f>
        <v>0</v>
      </c>
      <c r="AI34" s="120" t="n">
        <f aca="false">SUMIF($F$7:$AG$7,AI$7,$F34:$AG34)</f>
        <v>0</v>
      </c>
      <c r="AJ34" s="120" t="n">
        <f aca="false">SUMIF($F$7:$AG$7,AJ$7,$F34:$AG34)</f>
        <v>0</v>
      </c>
      <c r="AK34" s="120" t="n">
        <f aca="false">SUMIF($F$7:$AG$7,AK$7,$F34:$AG34)</f>
        <v>0</v>
      </c>
      <c r="AL34" s="120" t="n">
        <f aca="false">SUMIF($F$7:$AG$7,AL$7,$F34:$AG34)</f>
        <v>0</v>
      </c>
      <c r="AM34" s="120" t="n">
        <f aca="false">SUMIF($F$7:$AG$7,AM$7,$F34:$AG34)</f>
        <v>0</v>
      </c>
      <c r="AN34" s="120" t="n">
        <f aca="false">SUMIF($F$7:$AG$7,AN$7,$F34:$AG34)</f>
        <v>0</v>
      </c>
      <c r="AO34" s="120" t="n">
        <f aca="false">SUMIF($F$7:$AG$7,AO$7,$F34:$AG34)</f>
        <v>0</v>
      </c>
    </row>
    <row r="35" customFormat="false" ht="15" hidden="false" customHeight="false" outlineLevel="0" collapsed="false">
      <c r="A35" s="101" t="s">
        <v>1896</v>
      </c>
      <c r="B35" s="18" t="s">
        <v>400</v>
      </c>
      <c r="C35" s="18" t="s">
        <v>336</v>
      </c>
      <c r="D35" s="18"/>
      <c r="F35" s="119" t="n">
        <f aca="false">IF(F$5&lt;=LastHist,0,E40+F27+F31+F32+F33+F34)</f>
        <v>0</v>
      </c>
      <c r="G35" s="119" t="n">
        <f aca="false">IF(G$5&lt;=LastHist,0,F40+G27+G31+G32+G33+G34)</f>
        <v>0</v>
      </c>
      <c r="H35" s="119" t="n">
        <f aca="false">IF(H$5&lt;=LastHist,0,G40+H27+H31+H32+H33+H34)</f>
        <v>0</v>
      </c>
      <c r="I35" s="119" t="n">
        <f aca="false">IF(I$5&lt;=LastHist,0,H40+I27+I31+I32+I33+I34)</f>
        <v>0</v>
      </c>
      <c r="J35" s="119" t="n">
        <f aca="false">IF(J$5&lt;=LastHist,0,I40+J27+J31+J32+J33+J34)</f>
        <v>0</v>
      </c>
      <c r="K35" s="119" t="n">
        <f aca="false">IF(K$5&lt;=LastHist,0,J40+K27+K31+K32+K33+K34)</f>
        <v>0</v>
      </c>
      <c r="L35" s="119" t="n">
        <f aca="false">IF(L$5&lt;=LastHist,0,K40+L27+L31+L32+L33+L34)</f>
        <v>0</v>
      </c>
      <c r="M35" s="119" t="n">
        <f aca="false">IF(M$5&lt;=LastHist,0,L40+M27+M31+M32+M33+M34)</f>
        <v>0</v>
      </c>
      <c r="N35" s="119" t="n">
        <f aca="false">IF(N$5&lt;=LastHist,0,M40+N27+N31+N32+N33+N34)</f>
        <v>0</v>
      </c>
      <c r="O35" s="119" t="n">
        <f aca="false">IF(O$5&lt;=LastHist,0,N40+O27+O31+O32+O33+O34)</f>
        <v>0</v>
      </c>
      <c r="P35" s="120" t="n">
        <f aca="false">IF(P$5&lt;=LastHist,0,O40+P27+P31+P32+P33+P34)</f>
        <v>12107.6396856815</v>
      </c>
      <c r="Q35" s="120" t="n">
        <f aca="false">IF(Q$5&lt;=LastHist,0,P40+Q27+Q31+Q32+Q33+Q34)</f>
        <v>8759.50567689751</v>
      </c>
      <c r="R35" s="120" t="n">
        <f aca="false">IF(R$5&lt;=LastHist,0,Q40+R27+R31+R32+R33+R34)</f>
        <v>4960.68193685336</v>
      </c>
      <c r="S35" s="120" t="n">
        <f aca="false">IF(S$5&lt;=LastHist,0,R40+S27+S31+S32+S33+S34)</f>
        <v>786.996591253117</v>
      </c>
      <c r="T35" s="120" t="n">
        <f aca="false">IF(T$5&lt;=LastHist,0,S40+T27+T31+T32+T33+T34)</f>
        <v>-4179.99691116826</v>
      </c>
      <c r="U35" s="120" t="n">
        <f aca="false">IF(U$5&lt;=LastHist,0,T40+U27+U31+U32+U33+U34)</f>
        <v>-806.742888377125</v>
      </c>
      <c r="V35" s="120" t="n">
        <f aca="false">IF(V$5&lt;=LastHist,0,U40+V27+V31+V32+V33+V34)</f>
        <v>-299.079913069394</v>
      </c>
      <c r="W35" s="120" t="n">
        <f aca="false">IF(W$5&lt;=LastHist,0,V40+W27+W31+W32+W33+W34)</f>
        <v>1017.76994035921</v>
      </c>
      <c r="X35" s="120" t="n">
        <f aca="false">IF(X$5&lt;=LastHist,0,W40+X27+X31+X32+X33+X34)</f>
        <v>-3142.4724519058</v>
      </c>
      <c r="Y35" s="120" t="n">
        <f aca="false">IF(Y$5&lt;=LastHist,0,X40+Y27+Y31+Y32+Y33+Y34)</f>
        <v>1046.75081901201</v>
      </c>
      <c r="Z35" s="120" t="n">
        <f aca="false">IF(Z$5&lt;=LastHist,0,Y40+Z27+Z31+Z32+Z33+Z34)</f>
        <v>-2495.83300705864</v>
      </c>
      <c r="AA35" s="120" t="n">
        <f aca="false">IF(AA$5&lt;=LastHist,0,Z40+AA27+AA31+AA32+AA33+AA34)</f>
        <v>1035.33365598962</v>
      </c>
      <c r="AB35" s="120" t="n">
        <f aca="false">IF(AB$5&lt;=LastHist,0,AA40+AB27+AB31+AB32+AB33+AB34)</f>
        <v>-4384.70769236889</v>
      </c>
      <c r="AC35" s="120" t="n">
        <f aca="false">IF(AC$5&lt;=LastHist,0,AB40+AC27+AC31+AC32+AC33+AC34)</f>
        <v>4619.12573719295</v>
      </c>
      <c r="AD35" s="120" t="n">
        <f aca="false">IF(AD$5&lt;=LastHist,0,AC40+AD27+AD31+AD32+AD33+AD34)</f>
        <v>4379.86919709712</v>
      </c>
      <c r="AE35" s="120" t="n">
        <f aca="false">IF(AE$5&lt;=LastHist,0,AD40+AE27+AE31+AE32+AE33+AE34)</f>
        <v>8663.68544849475</v>
      </c>
      <c r="AF35" s="120" t="n">
        <f aca="false">IF(AF$5&lt;=LastHist,0,AE40+AF27+AF31+AF32+AF33+AF34)</f>
        <v>12731.9565407103</v>
      </c>
      <c r="AG35" s="120" t="n">
        <f aca="false">IF(AG$5&lt;=LastHist,0,AF40+AG27+AG31+AG32+AG33+AG34)</f>
        <v>15434.7981052284</v>
      </c>
      <c r="AI35" s="120" t="n">
        <f aca="false">SUMIF($F$7:$AG$7,AI$7,$F35:$AG35)</f>
        <v>0</v>
      </c>
      <c r="AJ35" s="120" t="n">
        <f aca="false">SUMIF($F$7:$AG$7,AJ$7,$F35:$AG35)</f>
        <v>0</v>
      </c>
      <c r="AK35" s="120" t="n">
        <f aca="false">SUMIF($F$7:$AG$7,AK$7,$F35:$AG35)</f>
        <v>20867.145362579</v>
      </c>
      <c r="AL35" s="120" t="n">
        <f aca="false">SUMIF($F$7:$AG$7,AL$7,$F35:$AG35)</f>
        <v>760.938728561093</v>
      </c>
      <c r="AM35" s="120" t="n">
        <f aca="false">SUMIF($F$7:$AG$7,AM$7,$F35:$AG35)</f>
        <v>-1377.03160560398</v>
      </c>
      <c r="AN35" s="120" t="n">
        <f aca="false">SUMIF($F$7:$AG$7,AN$7,$F35:$AG35)</f>
        <v>-1226.08130624496</v>
      </c>
      <c r="AO35" s="120" t="n">
        <f aca="false">SUMIF($F$7:$AG$7,AO$7,$F35:$AG35)</f>
        <v>41210.3092915305</v>
      </c>
    </row>
    <row r="36" customFormat="false" ht="15" hidden="false" customHeight="false" outlineLevel="0" collapsed="false">
      <c r="A36" s="101" t="s">
        <v>1897</v>
      </c>
      <c r="B36" s="18" t="s">
        <v>400</v>
      </c>
      <c r="C36" s="18" t="s">
        <v>336</v>
      </c>
      <c r="D36" s="18"/>
      <c r="F36" s="119" t="n">
        <f aca="false">IF(F$5&lt;=LastHist,0,MAX(0,MinCash-F35))</f>
        <v>0</v>
      </c>
      <c r="G36" s="119" t="n">
        <f aca="false">IF(G$5&lt;=LastHist,0,MAX(0,MinCash-G35))</f>
        <v>0</v>
      </c>
      <c r="H36" s="119" t="n">
        <f aca="false">IF(H$5&lt;=LastHist,0,MAX(0,MinCash-H35))</f>
        <v>0</v>
      </c>
      <c r="I36" s="119" t="n">
        <f aca="false">IF(I$5&lt;=LastHist,0,MAX(0,MinCash-I35))</f>
        <v>0</v>
      </c>
      <c r="J36" s="119" t="n">
        <f aca="false">IF(J$5&lt;=LastHist,0,MAX(0,MinCash-J35))</f>
        <v>0</v>
      </c>
      <c r="K36" s="119" t="n">
        <f aca="false">IF(K$5&lt;=LastHist,0,MAX(0,MinCash-K35))</f>
        <v>0</v>
      </c>
      <c r="L36" s="119" t="n">
        <f aca="false">IF(L$5&lt;=LastHist,0,MAX(0,MinCash-L35))</f>
        <v>0</v>
      </c>
      <c r="M36" s="119" t="n">
        <f aca="false">IF(M$5&lt;=LastHist,0,MAX(0,MinCash-M35))</f>
        <v>0</v>
      </c>
      <c r="N36" s="119" t="n">
        <f aca="false">IF(N$5&lt;=LastHist,0,MAX(0,MinCash-N35))</f>
        <v>0</v>
      </c>
      <c r="O36" s="119" t="n">
        <f aca="false">IF(O$5&lt;=LastHist,0,MAX(0,MinCash-O35))</f>
        <v>0</v>
      </c>
      <c r="P36" s="120" t="n">
        <f aca="false">IF(P$5&lt;=LastHist,0,MAX(0,MinCash-P35))</f>
        <v>0</v>
      </c>
      <c r="Q36" s="120" t="n">
        <f aca="false">IF(Q$5&lt;=LastHist,0,MAX(0,MinCash-Q35))</f>
        <v>0</v>
      </c>
      <c r="R36" s="120" t="n">
        <f aca="false">IF(R$5&lt;=LastHist,0,MAX(0,MinCash-R35))</f>
        <v>0</v>
      </c>
      <c r="S36" s="120" t="n">
        <f aca="false">IF(S$5&lt;=LastHist,0,MAX(0,MinCash-S35))</f>
        <v>1213.00340874688</v>
      </c>
      <c r="T36" s="120" t="n">
        <f aca="false">IF(T$5&lt;=LastHist,0,MAX(0,MinCash-T35))</f>
        <v>6179.99691116826</v>
      </c>
      <c r="U36" s="120" t="n">
        <f aca="false">IF(U$5&lt;=LastHist,0,MAX(0,MinCash-U35))</f>
        <v>2806.74288837712</v>
      </c>
      <c r="V36" s="120" t="n">
        <f aca="false">IF(V$5&lt;=LastHist,0,MAX(0,MinCash-V35))</f>
        <v>2299.07991306939</v>
      </c>
      <c r="W36" s="120" t="n">
        <f aca="false">IF(W$5&lt;=LastHist,0,MAX(0,MinCash-W35))</f>
        <v>982.230059640791</v>
      </c>
      <c r="X36" s="120" t="n">
        <f aca="false">IF(X$5&lt;=LastHist,0,MAX(0,MinCash-X35))</f>
        <v>5142.4724519058</v>
      </c>
      <c r="Y36" s="120" t="n">
        <f aca="false">IF(Y$5&lt;=LastHist,0,MAX(0,MinCash-Y35))</f>
        <v>953.24918098799</v>
      </c>
      <c r="Z36" s="120" t="n">
        <f aca="false">IF(Z$5&lt;=LastHist,0,MAX(0,MinCash-Z35))</f>
        <v>4495.83300705864</v>
      </c>
      <c r="AA36" s="120" t="n">
        <f aca="false">IF(AA$5&lt;=LastHist,0,MAX(0,MinCash-AA35))</f>
        <v>964.666344010385</v>
      </c>
      <c r="AB36" s="120" t="n">
        <f aca="false">IF(AB$5&lt;=LastHist,0,MAX(0,MinCash-AB35))</f>
        <v>6384.70769236889</v>
      </c>
      <c r="AC36" s="120" t="n">
        <f aca="false">IF(AC$5&lt;=LastHist,0,MAX(0,MinCash-AC35))</f>
        <v>0</v>
      </c>
      <c r="AD36" s="120" t="n">
        <f aca="false">IF(AD$5&lt;=LastHist,0,MAX(0,MinCash-AD35))</f>
        <v>0</v>
      </c>
      <c r="AE36" s="120" t="n">
        <f aca="false">IF(AE$5&lt;=LastHist,0,MAX(0,MinCash-AE35))</f>
        <v>0</v>
      </c>
      <c r="AF36" s="120" t="n">
        <f aca="false">IF(AF$5&lt;=LastHist,0,MAX(0,MinCash-AF35))</f>
        <v>0</v>
      </c>
      <c r="AG36" s="120" t="n">
        <f aca="false">IF(AG$5&lt;=LastHist,0,MAX(0,MinCash-AG35))</f>
        <v>0</v>
      </c>
      <c r="AI36" s="120" t="n">
        <f aca="false">SUMIF($F$7:$AG$7,AI$7,$F36:$AG36)</f>
        <v>0</v>
      </c>
      <c r="AJ36" s="120" t="n">
        <f aca="false">SUMIF($F$7:$AG$7,AJ$7,$F36:$AG36)</f>
        <v>0</v>
      </c>
      <c r="AK36" s="120" t="n">
        <f aca="false">SUMIF($F$7:$AG$7,AK$7,$F36:$AG36)</f>
        <v>0</v>
      </c>
      <c r="AL36" s="120" t="n">
        <f aca="false">SUMIF($F$7:$AG$7,AL$7,$F36:$AG36)</f>
        <v>10199.7432082923</v>
      </c>
      <c r="AM36" s="120" t="n">
        <f aca="false">SUMIF($F$7:$AG$7,AM$7,$F36:$AG36)</f>
        <v>9377.03160560398</v>
      </c>
      <c r="AN36" s="120" t="n">
        <f aca="false">SUMIF($F$7:$AG$7,AN$7,$F36:$AG36)</f>
        <v>11845.2070434379</v>
      </c>
      <c r="AO36" s="120" t="n">
        <f aca="false">SUMIF($F$7:$AG$7,AO$7,$F36:$AG36)</f>
        <v>0</v>
      </c>
    </row>
    <row r="37" customFormat="false" ht="15" hidden="false" customHeight="false" outlineLevel="0" collapsed="false">
      <c r="A37" s="101" t="s">
        <v>1898</v>
      </c>
      <c r="B37" s="18" t="s">
        <v>400</v>
      </c>
      <c r="C37" s="18" t="s">
        <v>336</v>
      </c>
      <c r="D37" s="18"/>
      <c r="F37" s="119" t="n">
        <f aca="false">F36*PlugDebtSh</f>
        <v>0</v>
      </c>
      <c r="G37" s="119" t="n">
        <f aca="false">G36*PlugDebtSh</f>
        <v>0</v>
      </c>
      <c r="H37" s="119" t="n">
        <f aca="false">H36*PlugDebtSh</f>
        <v>0</v>
      </c>
      <c r="I37" s="119" t="n">
        <f aca="false">I36*PlugDebtSh</f>
        <v>0</v>
      </c>
      <c r="J37" s="119" t="n">
        <f aca="false">J36*PlugDebtSh</f>
        <v>0</v>
      </c>
      <c r="K37" s="119" t="n">
        <f aca="false">K36*PlugDebtSh</f>
        <v>0</v>
      </c>
      <c r="L37" s="119" t="n">
        <f aca="false">L36*PlugDebtSh</f>
        <v>0</v>
      </c>
      <c r="M37" s="119" t="n">
        <f aca="false">M36*PlugDebtSh</f>
        <v>0</v>
      </c>
      <c r="N37" s="119" t="n">
        <f aca="false">N36*PlugDebtSh</f>
        <v>0</v>
      </c>
      <c r="O37" s="119" t="n">
        <f aca="false">O36*PlugDebtSh</f>
        <v>0</v>
      </c>
      <c r="P37" s="120" t="n">
        <f aca="false">P36*PlugDebtSh</f>
        <v>0</v>
      </c>
      <c r="Q37" s="120" t="n">
        <f aca="false">Q36*PlugDebtSh</f>
        <v>0</v>
      </c>
      <c r="R37" s="120" t="n">
        <f aca="false">R36*PlugDebtSh</f>
        <v>0</v>
      </c>
      <c r="S37" s="120" t="n">
        <f aca="false">S36*PlugDebtSh</f>
        <v>606.501704373442</v>
      </c>
      <c r="T37" s="120" t="n">
        <f aca="false">T36*PlugDebtSh</f>
        <v>3089.99845558413</v>
      </c>
      <c r="U37" s="120" t="n">
        <f aca="false">U36*PlugDebtSh</f>
        <v>1403.37144418856</v>
      </c>
      <c r="V37" s="120" t="n">
        <f aca="false">V36*PlugDebtSh</f>
        <v>1149.5399565347</v>
      </c>
      <c r="W37" s="120" t="n">
        <f aca="false">W36*PlugDebtSh</f>
        <v>491.115029820395</v>
      </c>
      <c r="X37" s="120" t="n">
        <f aca="false">X36*PlugDebtSh</f>
        <v>2571.2362259529</v>
      </c>
      <c r="Y37" s="120" t="n">
        <f aca="false">Y36*PlugDebtSh</f>
        <v>476.624590493995</v>
      </c>
      <c r="Z37" s="120" t="n">
        <f aca="false">Z36*PlugDebtSh</f>
        <v>2247.91650352932</v>
      </c>
      <c r="AA37" s="120" t="n">
        <f aca="false">AA36*PlugDebtSh</f>
        <v>482.333172005192</v>
      </c>
      <c r="AB37" s="120" t="n">
        <f aca="false">AB36*PlugDebtSh</f>
        <v>3192.35384618444</v>
      </c>
      <c r="AC37" s="120" t="n">
        <f aca="false">AC36*PlugDebtSh</f>
        <v>0</v>
      </c>
      <c r="AD37" s="120" t="n">
        <f aca="false">AD36*PlugDebtSh</f>
        <v>0</v>
      </c>
      <c r="AE37" s="120" t="n">
        <f aca="false">AE36*PlugDebtSh</f>
        <v>0</v>
      </c>
      <c r="AF37" s="120" t="n">
        <f aca="false">AF36*PlugDebtSh</f>
        <v>0</v>
      </c>
      <c r="AG37" s="120" t="n">
        <f aca="false">AG36*PlugDebtSh</f>
        <v>0</v>
      </c>
      <c r="AI37" s="120" t="n">
        <f aca="false">SUMIF($F$7:$AG$7,AI$7,$F37:$AG37)</f>
        <v>0</v>
      </c>
      <c r="AJ37" s="120" t="n">
        <f aca="false">SUMIF($F$7:$AG$7,AJ$7,$F37:$AG37)</f>
        <v>0</v>
      </c>
      <c r="AK37" s="120" t="n">
        <f aca="false">SUMIF($F$7:$AG$7,AK$7,$F37:$AG37)</f>
        <v>0</v>
      </c>
      <c r="AL37" s="120" t="n">
        <f aca="false">SUMIF($F$7:$AG$7,AL$7,$F37:$AG37)</f>
        <v>5099.87160414613</v>
      </c>
      <c r="AM37" s="120" t="n">
        <f aca="false">SUMIF($F$7:$AG$7,AM$7,$F37:$AG37)</f>
        <v>4688.51580280199</v>
      </c>
      <c r="AN37" s="120" t="n">
        <f aca="false">SUMIF($F$7:$AG$7,AN$7,$F37:$AG37)</f>
        <v>5922.60352171896</v>
      </c>
      <c r="AO37" s="120" t="n">
        <f aca="false">SUMIF($F$7:$AG$7,AO$7,$F37:$AG37)</f>
        <v>0</v>
      </c>
    </row>
    <row r="38" customFormat="false" ht="15" hidden="false" customHeight="false" outlineLevel="0" collapsed="false">
      <c r="A38" s="101" t="s">
        <v>1899</v>
      </c>
      <c r="B38" s="18" t="s">
        <v>400</v>
      </c>
      <c r="C38" s="18" t="s">
        <v>336</v>
      </c>
      <c r="D38" s="18"/>
      <c r="F38" s="119" t="n">
        <f aca="false">F36*(1-PlugDebtSh)</f>
        <v>0</v>
      </c>
      <c r="G38" s="119" t="n">
        <f aca="false">G36*(1-PlugDebtSh)</f>
        <v>0</v>
      </c>
      <c r="H38" s="119" t="n">
        <f aca="false">H36*(1-PlugDebtSh)</f>
        <v>0</v>
      </c>
      <c r="I38" s="119" t="n">
        <f aca="false">I36*(1-PlugDebtSh)</f>
        <v>0</v>
      </c>
      <c r="J38" s="119" t="n">
        <f aca="false">J36*(1-PlugDebtSh)</f>
        <v>0</v>
      </c>
      <c r="K38" s="119" t="n">
        <f aca="false">K36*(1-PlugDebtSh)</f>
        <v>0</v>
      </c>
      <c r="L38" s="119" t="n">
        <f aca="false">L36*(1-PlugDebtSh)</f>
        <v>0</v>
      </c>
      <c r="M38" s="119" t="n">
        <f aca="false">M36*(1-PlugDebtSh)</f>
        <v>0</v>
      </c>
      <c r="N38" s="119" t="n">
        <f aca="false">N36*(1-PlugDebtSh)</f>
        <v>0</v>
      </c>
      <c r="O38" s="119" t="n">
        <f aca="false">O36*(1-PlugDebtSh)</f>
        <v>0</v>
      </c>
      <c r="P38" s="120" t="n">
        <f aca="false">P36*(1-PlugDebtSh)</f>
        <v>0</v>
      </c>
      <c r="Q38" s="120" t="n">
        <f aca="false">Q36*(1-PlugDebtSh)</f>
        <v>0</v>
      </c>
      <c r="R38" s="120" t="n">
        <f aca="false">R36*(1-PlugDebtSh)</f>
        <v>0</v>
      </c>
      <c r="S38" s="120" t="n">
        <f aca="false">S36*(1-PlugDebtSh)</f>
        <v>606.501704373442</v>
      </c>
      <c r="T38" s="120" t="n">
        <f aca="false">T36*(1-PlugDebtSh)</f>
        <v>3089.99845558413</v>
      </c>
      <c r="U38" s="120" t="n">
        <f aca="false">U36*(1-PlugDebtSh)</f>
        <v>1403.37144418856</v>
      </c>
      <c r="V38" s="120" t="n">
        <f aca="false">V36*(1-PlugDebtSh)</f>
        <v>1149.5399565347</v>
      </c>
      <c r="W38" s="120" t="n">
        <f aca="false">W36*(1-PlugDebtSh)</f>
        <v>491.115029820395</v>
      </c>
      <c r="X38" s="120" t="n">
        <f aca="false">X36*(1-PlugDebtSh)</f>
        <v>2571.2362259529</v>
      </c>
      <c r="Y38" s="120" t="n">
        <f aca="false">Y36*(1-PlugDebtSh)</f>
        <v>476.624590493995</v>
      </c>
      <c r="Z38" s="120" t="n">
        <f aca="false">Z36*(1-PlugDebtSh)</f>
        <v>2247.91650352932</v>
      </c>
      <c r="AA38" s="120" t="n">
        <f aca="false">AA36*(1-PlugDebtSh)</f>
        <v>482.333172005192</v>
      </c>
      <c r="AB38" s="120" t="n">
        <f aca="false">AB36*(1-PlugDebtSh)</f>
        <v>3192.35384618444</v>
      </c>
      <c r="AC38" s="120" t="n">
        <f aca="false">AC36*(1-PlugDebtSh)</f>
        <v>0</v>
      </c>
      <c r="AD38" s="120" t="n">
        <f aca="false">AD36*(1-PlugDebtSh)</f>
        <v>0</v>
      </c>
      <c r="AE38" s="120" t="n">
        <f aca="false">AE36*(1-PlugDebtSh)</f>
        <v>0</v>
      </c>
      <c r="AF38" s="120" t="n">
        <f aca="false">AF36*(1-PlugDebtSh)</f>
        <v>0</v>
      </c>
      <c r="AG38" s="120" t="n">
        <f aca="false">AG36*(1-PlugDebtSh)</f>
        <v>0</v>
      </c>
      <c r="AI38" s="120" t="n">
        <f aca="false">SUMIF($F$7:$AG$7,AI$7,$F38:$AG38)</f>
        <v>0</v>
      </c>
      <c r="AJ38" s="120" t="n">
        <f aca="false">SUMIF($F$7:$AG$7,AJ$7,$F38:$AG38)</f>
        <v>0</v>
      </c>
      <c r="AK38" s="120" t="n">
        <f aca="false">SUMIF($F$7:$AG$7,AK$7,$F38:$AG38)</f>
        <v>0</v>
      </c>
      <c r="AL38" s="120" t="n">
        <f aca="false">SUMIF($F$7:$AG$7,AL$7,$F38:$AG38)</f>
        <v>5099.87160414613</v>
      </c>
      <c r="AM38" s="120" t="n">
        <f aca="false">SUMIF($F$7:$AG$7,AM$7,$F38:$AG38)</f>
        <v>4688.51580280199</v>
      </c>
      <c r="AN38" s="120" t="n">
        <f aca="false">SUMIF($F$7:$AG$7,AN$7,$F38:$AG38)</f>
        <v>5922.60352171896</v>
      </c>
      <c r="AO38" s="120" t="n">
        <f aca="false">SUMIF($F$7:$AG$7,AO$7,$F38:$AG38)</f>
        <v>0</v>
      </c>
    </row>
    <row r="39" customFormat="false" ht="15" hidden="false" customHeight="false" outlineLevel="0" collapsed="false">
      <c r="A39" s="101" t="s">
        <v>1900</v>
      </c>
      <c r="B39" s="18" t="s">
        <v>781</v>
      </c>
      <c r="C39" s="18" t="s">
        <v>336</v>
      </c>
      <c r="D39" s="18" t="s">
        <v>1901</v>
      </c>
      <c r="F39" s="131" t="n">
        <f aca="false">F38/(SharePx*(1-EqDisc))</f>
        <v>0</v>
      </c>
      <c r="G39" s="131" t="n">
        <f aca="false">G38/(SharePx*(1-EqDisc))</f>
        <v>0</v>
      </c>
      <c r="H39" s="131" t="n">
        <f aca="false">H38/(SharePx*(1-EqDisc))</f>
        <v>0</v>
      </c>
      <c r="I39" s="131" t="n">
        <f aca="false">I38/(SharePx*(1-EqDisc))</f>
        <v>0</v>
      </c>
      <c r="J39" s="131" t="n">
        <f aca="false">J38/(SharePx*(1-EqDisc))</f>
        <v>0</v>
      </c>
      <c r="K39" s="131" t="n">
        <f aca="false">K38/(SharePx*(1-EqDisc))</f>
        <v>0</v>
      </c>
      <c r="L39" s="131" t="n">
        <f aca="false">L38/(SharePx*(1-EqDisc))</f>
        <v>0</v>
      </c>
      <c r="M39" s="131" t="n">
        <f aca="false">M38/(SharePx*(1-EqDisc))</f>
        <v>0</v>
      </c>
      <c r="N39" s="131" t="n">
        <f aca="false">N38/(SharePx*(1-EqDisc))</f>
        <v>0</v>
      </c>
      <c r="O39" s="131" t="n">
        <f aca="false">O38/(SharePx*(1-EqDisc))</f>
        <v>0</v>
      </c>
      <c r="P39" s="37" t="n">
        <f aca="false">P38/(SharePx*(1-EqDisc))</f>
        <v>0</v>
      </c>
      <c r="Q39" s="37" t="n">
        <f aca="false">Q38/(SharePx*(1-EqDisc))</f>
        <v>0</v>
      </c>
      <c r="R39" s="37" t="n">
        <f aca="false">R38/(SharePx*(1-EqDisc))</f>
        <v>0</v>
      </c>
      <c r="S39" s="37" t="n">
        <f aca="false">S38/(SharePx*(1-EqDisc))</f>
        <v>2.57509776798643</v>
      </c>
      <c r="T39" s="37" t="n">
        <f aca="false">T38/(SharePx*(1-EqDisc))</f>
        <v>13.1195808168031</v>
      </c>
      <c r="U39" s="37" t="n">
        <f aca="false">U38/(SharePx*(1-EqDisc))</f>
        <v>5.95846416840524</v>
      </c>
      <c r="V39" s="37" t="n">
        <f aca="false">V38/(SharePx*(1-EqDisc))</f>
        <v>4.88074106789491</v>
      </c>
      <c r="W39" s="37" t="n">
        <f aca="false">W38/(SharePx*(1-EqDisc))</f>
        <v>2.08518658397107</v>
      </c>
      <c r="X39" s="37" t="n">
        <f aca="false">X38/(SharePx*(1-EqDisc))</f>
        <v>10.9170091669525</v>
      </c>
      <c r="Y39" s="37" t="n">
        <f aca="false">Y38/(SharePx*(1-EqDisc))</f>
        <v>2.02366277010957</v>
      </c>
      <c r="Z39" s="37" t="n">
        <f aca="false">Z38/(SharePx*(1-EqDisc))</f>
        <v>9.5442514491171</v>
      </c>
      <c r="AA39" s="37" t="n">
        <f aca="false">AA38/(SharePx*(1-EqDisc))</f>
        <v>2.0479003862644</v>
      </c>
      <c r="AB39" s="37" t="n">
        <f aca="false">AB38/(SharePx*(1-EqDisc))</f>
        <v>13.5541634997134</v>
      </c>
      <c r="AC39" s="37" t="n">
        <f aca="false">AC38/(SharePx*(1-EqDisc))</f>
        <v>0</v>
      </c>
      <c r="AD39" s="37" t="n">
        <f aca="false">AD38/(SharePx*(1-EqDisc))</f>
        <v>0</v>
      </c>
      <c r="AE39" s="37" t="n">
        <f aca="false">AE38/(SharePx*(1-EqDisc))</f>
        <v>0</v>
      </c>
      <c r="AF39" s="37" t="n">
        <f aca="false">AF38/(SharePx*(1-EqDisc))</f>
        <v>0</v>
      </c>
      <c r="AG39" s="37" t="n">
        <f aca="false">AG38/(SharePx*(1-EqDisc))</f>
        <v>0</v>
      </c>
      <c r="AI39" s="37" t="n">
        <f aca="false">SUMIF($F$7:$AG$7,AI$7,$F39:$AG39)</f>
        <v>0</v>
      </c>
      <c r="AJ39" s="37" t="n">
        <f aca="false">SUMIF($F$7:$AG$7,AJ$7,$F39:$AG39)</f>
        <v>0</v>
      </c>
      <c r="AK39" s="37" t="n">
        <f aca="false">SUMIF($F$7:$AG$7,AK$7,$F39:$AG39)</f>
        <v>0</v>
      </c>
      <c r="AL39" s="37" t="n">
        <f aca="false">SUMIF($F$7:$AG$7,AL$7,$F39:$AG39)</f>
        <v>21.6531427531948</v>
      </c>
      <c r="AM39" s="37" t="n">
        <f aca="false">SUMIF($F$7:$AG$7,AM$7,$F39:$AG39)</f>
        <v>19.906599588928</v>
      </c>
      <c r="AN39" s="37" t="n">
        <f aca="false">SUMIF($F$7:$AG$7,AN$7,$F39:$AG39)</f>
        <v>25.1463153350949</v>
      </c>
      <c r="AO39" s="37" t="n">
        <f aca="false">SUMIF($F$7:$AG$7,AO$7,$F39:$AG39)</f>
        <v>0</v>
      </c>
    </row>
    <row r="40" customFormat="false" ht="15" hidden="false" customHeight="false" outlineLevel="0" collapsed="false">
      <c r="A40" s="3" t="s">
        <v>1902</v>
      </c>
      <c r="B40" s="18" t="s">
        <v>400</v>
      </c>
      <c r="C40" s="18" t="s">
        <v>1903</v>
      </c>
      <c r="D40" s="18" t="s">
        <v>1904</v>
      </c>
      <c r="E40" s="0" t="n">
        <f aca="false">0</f>
        <v>0</v>
      </c>
      <c r="F40" s="121" t="n">
        <f aca="false">IF(F$5&lt;=LastHist,INDEX(H_Cash,1,F$5),F35+F36)</f>
        <v>2288.2</v>
      </c>
      <c r="G40" s="121" t="n">
        <f aca="false">IF(G$5&lt;=LastHist,INDEX(H_Cash,1,G$5),G35+G36)</f>
        <v>2288.2</v>
      </c>
      <c r="H40" s="121" t="n">
        <f aca="false">IF(H$5&lt;=LastHist,INDEX(H_Cash,1,H$5),H35+H36)</f>
        <v>2288.2</v>
      </c>
      <c r="I40" s="121" t="n">
        <f aca="false">IF(I$5&lt;=LastHist,INDEX(H_Cash,1,I$5),I35+I36)</f>
        <v>2434.7</v>
      </c>
      <c r="J40" s="121" t="n">
        <f aca="false">IF(J$5&lt;=LastHist,INDEX(H_Cash,1,J$5),J35+J36)</f>
        <v>1447</v>
      </c>
      <c r="K40" s="121" t="n">
        <f aca="false">IF(K$5&lt;=LastHist,INDEX(H_Cash,1,K$5),K35+K36)</f>
        <v>1679.3</v>
      </c>
      <c r="L40" s="121" t="n">
        <f aca="false">IF(L$5&lt;=LastHist,INDEX(H_Cash,1,L$5),L35+L36)</f>
        <v>4794.8</v>
      </c>
      <c r="M40" s="121" t="n">
        <f aca="false">IF(M$5&lt;=LastHist,INDEX(H_Cash,1,M$5),M35+M36)</f>
        <v>3678.1</v>
      </c>
      <c r="N40" s="121" t="n">
        <f aca="false">IF(N$5&lt;=LastHist,INDEX(H_Cash,1,N$5),N35+N36)</f>
        <v>9298.2</v>
      </c>
      <c r="O40" s="121" t="n">
        <f aca="false">IF(O$5&lt;=LastHist,INDEX(H_Cash,1,O$5),O35+O36)</f>
        <v>8042.1</v>
      </c>
      <c r="P40" s="93" t="n">
        <f aca="false">IF(P$5&lt;=LastHist,INDEX(H_Cash,1,P$5),P35+P36)</f>
        <v>12107.6396856815</v>
      </c>
      <c r="Q40" s="93" t="n">
        <f aca="false">IF(Q$5&lt;=LastHist,INDEX(H_Cash,1,Q$5),Q35+Q36)</f>
        <v>8759.50567689751</v>
      </c>
      <c r="R40" s="93" t="n">
        <f aca="false">IF(R$5&lt;=LastHist,INDEX(H_Cash,1,R$5),R35+R36)</f>
        <v>4960.68193685336</v>
      </c>
      <c r="S40" s="93" t="n">
        <f aca="false">IF(S$5&lt;=LastHist,INDEX(H_Cash,1,S$5),S35+S36)</f>
        <v>2000</v>
      </c>
      <c r="T40" s="93" t="n">
        <f aca="false">IF(T$5&lt;=LastHist,INDEX(H_Cash,1,T$5),T35+T36)</f>
        <v>2000</v>
      </c>
      <c r="U40" s="93" t="n">
        <f aca="false">IF(U$5&lt;=LastHist,INDEX(H_Cash,1,U$5),U35+U36)</f>
        <v>2000</v>
      </c>
      <c r="V40" s="93" t="n">
        <f aca="false">IF(V$5&lt;=LastHist,INDEX(H_Cash,1,V$5),V35+V36)</f>
        <v>2000</v>
      </c>
      <c r="W40" s="93" t="n">
        <f aca="false">IF(W$5&lt;=LastHist,INDEX(H_Cash,1,W$5),W35+W36)</f>
        <v>2000</v>
      </c>
      <c r="X40" s="93" t="n">
        <f aca="false">IF(X$5&lt;=LastHist,INDEX(H_Cash,1,X$5),X35+X36)</f>
        <v>2000</v>
      </c>
      <c r="Y40" s="93" t="n">
        <f aca="false">IF(Y$5&lt;=LastHist,INDEX(H_Cash,1,Y$5),Y35+Y36)</f>
        <v>2000</v>
      </c>
      <c r="Z40" s="93" t="n">
        <f aca="false">IF(Z$5&lt;=LastHist,INDEX(H_Cash,1,Z$5),Z35+Z36)</f>
        <v>2000</v>
      </c>
      <c r="AA40" s="93" t="n">
        <f aca="false">IF(AA$5&lt;=LastHist,INDEX(H_Cash,1,AA$5),AA35+AA36)</f>
        <v>2000</v>
      </c>
      <c r="AB40" s="93" t="n">
        <f aca="false">IF(AB$5&lt;=LastHist,INDEX(H_Cash,1,AB$5),AB35+AB36)</f>
        <v>2000</v>
      </c>
      <c r="AC40" s="93" t="n">
        <f aca="false">IF(AC$5&lt;=LastHist,INDEX(H_Cash,1,AC$5),AC35+AC36)</f>
        <v>4619.12573719295</v>
      </c>
      <c r="AD40" s="93" t="n">
        <f aca="false">IF(AD$5&lt;=LastHist,INDEX(H_Cash,1,AD$5),AD35+AD36)</f>
        <v>4379.86919709712</v>
      </c>
      <c r="AE40" s="93" t="n">
        <f aca="false">IF(AE$5&lt;=LastHist,INDEX(H_Cash,1,AE$5),AE35+AE36)</f>
        <v>8663.68544849475</v>
      </c>
      <c r="AF40" s="93" t="n">
        <f aca="false">IF(AF$5&lt;=LastHist,INDEX(H_Cash,1,AF$5),AF35+AF36)</f>
        <v>12731.9565407103</v>
      </c>
      <c r="AG40" s="93" t="n">
        <f aca="false">IF(AG$5&lt;=LastHist,INDEX(H_Cash,1,AG$5),AG35+AG36)</f>
        <v>15434.7981052284</v>
      </c>
      <c r="AI40" s="93" t="n">
        <f aca="false">INDEX($F40:$AG40,1,MATCH(AI$7,$F$7:$AG$7,1))</f>
        <v>2434.7</v>
      </c>
      <c r="AJ40" s="93" t="n">
        <f aca="false">INDEX($F40:$AG40,1,MATCH(AJ$7,$F$7:$AG$7,1))</f>
        <v>3678.1</v>
      </c>
      <c r="AK40" s="93" t="n">
        <f aca="false">INDEX($F40:$AG40,1,MATCH(AK$7,$F$7:$AG$7,1))</f>
        <v>8759.50567689751</v>
      </c>
      <c r="AL40" s="93" t="n">
        <f aca="false">INDEX($F40:$AG40,1,MATCH(AL$7,$F$7:$AG$7,1))</f>
        <v>2000</v>
      </c>
      <c r="AM40" s="93" t="n">
        <f aca="false">INDEX($F40:$AG40,1,MATCH(AM$7,$F$7:$AG$7,1))</f>
        <v>2000</v>
      </c>
      <c r="AN40" s="93" t="n">
        <f aca="false">INDEX($F40:$AG40,1,MATCH(AN$7,$F$7:$AG$7,1))</f>
        <v>4619.12573719295</v>
      </c>
      <c r="AO40" s="93" t="n">
        <f aca="false">INDEX($F40:$AG40,1,MATCH(AO$7,$F$7:$AG$7,1))</f>
        <v>15434.7981052284</v>
      </c>
    </row>
    <row r="42" customFormat="false" ht="15" hidden="false" customHeight="false" outlineLevel="0" collapsed="false">
      <c r="A42" s="48" t="s">
        <v>1905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customFormat="false" ht="15" hidden="false" customHeight="false" outlineLevel="0" collapsed="false">
      <c r="A43" s="101" t="s">
        <v>1906</v>
      </c>
      <c r="B43" s="18" t="s">
        <v>400</v>
      </c>
      <c r="C43" s="18" t="s">
        <v>336</v>
      </c>
      <c r="D43" s="18"/>
      <c r="E43" s="120" t="n">
        <f aca="false">0</f>
        <v>0</v>
      </c>
      <c r="F43" s="119" t="n">
        <f aca="false">E43+F37</f>
        <v>0</v>
      </c>
      <c r="G43" s="119" t="n">
        <f aca="false">F43+G37</f>
        <v>0</v>
      </c>
      <c r="H43" s="119" t="n">
        <f aca="false">G43+H37</f>
        <v>0</v>
      </c>
      <c r="I43" s="119" t="n">
        <f aca="false">H43+I37</f>
        <v>0</v>
      </c>
      <c r="J43" s="119" t="n">
        <f aca="false">I43+J37</f>
        <v>0</v>
      </c>
      <c r="K43" s="119" t="n">
        <f aca="false">J43+K37</f>
        <v>0</v>
      </c>
      <c r="L43" s="119" t="n">
        <f aca="false">K43+L37</f>
        <v>0</v>
      </c>
      <c r="M43" s="119" t="n">
        <f aca="false">L43+M37</f>
        <v>0</v>
      </c>
      <c r="N43" s="119" t="n">
        <f aca="false">M43+N37</f>
        <v>0</v>
      </c>
      <c r="O43" s="119" t="n">
        <f aca="false">N43+O37</f>
        <v>0</v>
      </c>
      <c r="P43" s="120" t="n">
        <f aca="false">O43+P37</f>
        <v>0</v>
      </c>
      <c r="Q43" s="120" t="n">
        <f aca="false">P43+Q37</f>
        <v>0</v>
      </c>
      <c r="R43" s="120" t="n">
        <f aca="false">Q43+R37</f>
        <v>0</v>
      </c>
      <c r="S43" s="120" t="n">
        <f aca="false">R43+S37</f>
        <v>606.501704373442</v>
      </c>
      <c r="T43" s="120" t="n">
        <f aca="false">S43+T37</f>
        <v>3696.50015995757</v>
      </c>
      <c r="U43" s="120" t="n">
        <f aca="false">T43+U37</f>
        <v>5099.87160414613</v>
      </c>
      <c r="V43" s="120" t="n">
        <f aca="false">U43+V37</f>
        <v>6249.41156068083</v>
      </c>
      <c r="W43" s="120" t="n">
        <f aca="false">V43+W37</f>
        <v>6740.52659050123</v>
      </c>
      <c r="X43" s="120" t="n">
        <f aca="false">W43+X37</f>
        <v>9311.76281645413</v>
      </c>
      <c r="Y43" s="120" t="n">
        <f aca="false">X43+Y37</f>
        <v>9788.38740694812</v>
      </c>
      <c r="Z43" s="120" t="n">
        <f aca="false">Y43+Z37</f>
        <v>12036.3039104774</v>
      </c>
      <c r="AA43" s="120" t="n">
        <f aca="false">Z43+AA37</f>
        <v>12518.6370824826</v>
      </c>
      <c r="AB43" s="120" t="n">
        <f aca="false">AA43+AB37</f>
        <v>15710.9909286671</v>
      </c>
      <c r="AC43" s="120" t="n">
        <f aca="false">AB43+AC37</f>
        <v>15710.9909286671</v>
      </c>
      <c r="AD43" s="120" t="n">
        <f aca="false">AC43+AD37</f>
        <v>15710.9909286671</v>
      </c>
      <c r="AE43" s="120" t="n">
        <f aca="false">AD43+AE37</f>
        <v>15710.9909286671</v>
      </c>
      <c r="AF43" s="120" t="n">
        <f aca="false">AE43+AF37</f>
        <v>15710.9909286671</v>
      </c>
      <c r="AG43" s="120" t="n">
        <f aca="false">AF43+AG37</f>
        <v>15710.9909286671</v>
      </c>
      <c r="AI43" s="120" t="n">
        <f aca="false">INDEX($F43:$AG43,1,MATCH(AI$7,$F$7:$AG$7,1))</f>
        <v>0</v>
      </c>
      <c r="AJ43" s="120" t="n">
        <f aca="false">INDEX($F43:$AG43,1,MATCH(AJ$7,$F$7:$AG$7,1))</f>
        <v>0</v>
      </c>
      <c r="AK43" s="120" t="n">
        <f aca="false">INDEX($F43:$AG43,1,MATCH(AK$7,$F$7:$AG$7,1))</f>
        <v>0</v>
      </c>
      <c r="AL43" s="120" t="n">
        <f aca="false">INDEX($F43:$AG43,1,MATCH(AL$7,$F$7:$AG$7,1))</f>
        <v>5099.87160414613</v>
      </c>
      <c r="AM43" s="120" t="n">
        <f aca="false">INDEX($F43:$AG43,1,MATCH(AM$7,$F$7:$AG$7,1))</f>
        <v>9788.38740694812</v>
      </c>
      <c r="AN43" s="120" t="n">
        <f aca="false">INDEX($F43:$AG43,1,MATCH(AN$7,$F$7:$AG$7,1))</f>
        <v>15710.9909286671</v>
      </c>
      <c r="AO43" s="120" t="n">
        <f aca="false">INDEX($F43:$AG43,1,MATCH(AO$7,$F$7:$AG$7,1))</f>
        <v>15710.9909286671</v>
      </c>
    </row>
    <row r="44" customFormat="false" ht="15" hidden="false" customHeight="false" outlineLevel="0" collapsed="false">
      <c r="A44" s="101" t="s">
        <v>1907</v>
      </c>
      <c r="B44" s="18" t="s">
        <v>400</v>
      </c>
      <c r="C44" s="18" t="s">
        <v>336</v>
      </c>
      <c r="D44" s="18"/>
      <c r="F44" s="119" t="n">
        <f aca="false">INDEX(CV_bal,1,1)+INDEX(Sec_Bal,1,1)+F43</f>
        <v>0</v>
      </c>
      <c r="G44" s="119" t="n">
        <f aca="false">INDEX(CV_bal,1,2)+INDEX(Sec_Bal,1,2)+G43</f>
        <v>0</v>
      </c>
      <c r="H44" s="119" t="n">
        <f aca="false">INDEX(CV_bal,1,3)+INDEX(Sec_Bal,1,3)+H43</f>
        <v>0</v>
      </c>
      <c r="I44" s="119" t="n">
        <f aca="false">INDEX(CV_bal,1,4)+INDEX(Sec_Bal,1,4)+I43</f>
        <v>0</v>
      </c>
      <c r="J44" s="119" t="n">
        <f aca="false">INDEX(CV_bal,1,5)+INDEX(Sec_Bal,1,5)+J43</f>
        <v>0</v>
      </c>
      <c r="K44" s="119" t="n">
        <f aca="false">INDEX(CV_bal,1,6)+INDEX(Sec_Bal,1,6)+K43</f>
        <v>978.144752529375</v>
      </c>
      <c r="L44" s="119" t="n">
        <f aca="false">INDEX(CV_bal,1,7)+INDEX(Sec_Bal,1,7)+L43</f>
        <v>4155.5572615681</v>
      </c>
      <c r="M44" s="119" t="n">
        <f aca="false">INDEX(CV_bal,1,8)+INDEX(Sec_Bal,1,8)+M43</f>
        <v>4187.61417855736</v>
      </c>
      <c r="N44" s="119" t="n">
        <f aca="false">INDEX(CV_bal,1,9)+INDEX(Sec_Bal,1,9)+N43</f>
        <v>8561.10885639054</v>
      </c>
      <c r="O44" s="119" t="n">
        <f aca="false">INDEX(CV_bal,1,10)+INDEX(Sec_Bal,1,10)+O43</f>
        <v>8631.15852692773</v>
      </c>
      <c r="P44" s="120" t="n">
        <f aca="false">INDEX(CV_bal,1,11)+INDEX(Sec_Bal,1,11)+P43</f>
        <v>14395.060210042</v>
      </c>
      <c r="Q44" s="120" t="n">
        <f aca="false">INDEX(CV_bal,1,12)+INDEX(Sec_Bal,1,12)+Q43</f>
        <v>14500.7196838144</v>
      </c>
      <c r="R44" s="120" t="n">
        <f aca="false">INDEX(CV_bal,1,13)+INDEX(Sec_Bal,1,13)+R43</f>
        <v>14604.0822125048</v>
      </c>
      <c r="S44" s="120" t="n">
        <f aca="false">INDEX(CV_bal,1,14)+INDEX(Sec_Bal,1,14)+S43</f>
        <v>15315.0949181096</v>
      </c>
      <c r="T44" s="120" t="n">
        <f aca="false">INDEX(CV_bal,1,15)+INDEX(Sec_Bal,1,15)+T43</f>
        <v>18510.7528474661</v>
      </c>
      <c r="U44" s="120" t="n">
        <f aca="false">INDEX(CV_bal,1,16)+INDEX(Sec_Bal,1,16)+U43</f>
        <v>20019.7837654271</v>
      </c>
      <c r="V44" s="120" t="n">
        <f aca="false">INDEX(CV_bal,1,17)+INDEX(Sec_Bal,1,17)+V43</f>
        <v>21273.8347231931</v>
      </c>
      <c r="W44" s="120" t="n">
        <f aca="false">INDEX(CV_bal,1,18)+INDEX(Sec_Bal,1,18)+W43</f>
        <v>21869.4607542449</v>
      </c>
      <c r="X44" s="120" t="n">
        <f aca="false">INDEX(CV_bal,1,19)+INDEX(Sec_Bal,1,19)+X43</f>
        <v>24546.3564539702</v>
      </c>
      <c r="Y44" s="120" t="n">
        <f aca="false">INDEX(CV_bal,1,20)+INDEX(Sec_Bal,1,20)+Y43</f>
        <v>25128.6405182366</v>
      </c>
      <c r="Z44" s="120" t="n">
        <f aca="false">INDEX(CV_bal,1,21)+INDEX(Sec_Bal,1,21)+Z43</f>
        <v>27479.9195504563</v>
      </c>
      <c r="AA44" s="120" t="n">
        <f aca="false">INDEX(CV_bal,1,22)+INDEX(Sec_Bal,1,22)+AA43</f>
        <v>27960.9577560389</v>
      </c>
      <c r="AB44" s="120" t="n">
        <f aca="false">INDEX(CV_bal,1,23)+INDEX(Sec_Bal,1,23)+AB43</f>
        <v>31257.8377321033</v>
      </c>
      <c r="AC44" s="120" t="n">
        <f aca="false">INDEX(CV_bal,1,24)+INDEX(Sec_Bal,1,24)+AC43</f>
        <v>31362.3638619833</v>
      </c>
      <c r="AD44" s="120" t="n">
        <f aca="false">INDEX(CV_bal,1,25)+INDEX(Sec_Bal,1,25)+AD43</f>
        <v>27657.6743330003</v>
      </c>
      <c r="AE44" s="120" t="n">
        <f aca="false">INDEX(CV_bal,1,26)+INDEX(Sec_Bal,1,26)+AE43</f>
        <v>27736.363286478</v>
      </c>
      <c r="AF44" s="120" t="n">
        <f aca="false">INDEX(CV_bal,1,27)+INDEX(Sec_Bal,1,27)+AF43</f>
        <v>25995.5310350554</v>
      </c>
      <c r="AG44" s="120" t="n">
        <f aca="false">INDEX(CV_bal,1,28)+INDEX(Sec_Bal,1,28)+AG43</f>
        <v>25288.1344011026</v>
      </c>
      <c r="AI44" s="120" t="n">
        <f aca="false">INDEX($F44:$AG44,1,MATCH(AI$7,$F$7:$AG$7,1))</f>
        <v>0</v>
      </c>
      <c r="AJ44" s="120" t="n">
        <f aca="false">INDEX($F44:$AG44,1,MATCH(AJ$7,$F$7:$AG$7,1))</f>
        <v>4187.61417855736</v>
      </c>
      <c r="AK44" s="120" t="n">
        <f aca="false">INDEX($F44:$AG44,1,MATCH(AK$7,$F$7:$AG$7,1))</f>
        <v>14500.7196838144</v>
      </c>
      <c r="AL44" s="120" t="n">
        <f aca="false">INDEX($F44:$AG44,1,MATCH(AL$7,$F$7:$AG$7,1))</f>
        <v>20019.7837654271</v>
      </c>
      <c r="AM44" s="120" t="n">
        <f aca="false">INDEX($F44:$AG44,1,MATCH(AM$7,$F$7:$AG$7,1))</f>
        <v>25128.6405182366</v>
      </c>
      <c r="AN44" s="120" t="n">
        <f aca="false">INDEX($F44:$AG44,1,MATCH(AN$7,$F$7:$AG$7,1))</f>
        <v>31362.3638619833</v>
      </c>
      <c r="AO44" s="120" t="n">
        <f aca="false">INDEX($F44:$AG44,1,MATCH(AO$7,$F$7:$AG$7,1))</f>
        <v>25288.1344011026</v>
      </c>
    </row>
    <row r="45" customFormat="false" ht="15" hidden="false" customHeight="false" outlineLevel="0" collapsed="false">
      <c r="A45" s="101" t="s">
        <v>1908</v>
      </c>
      <c r="B45" s="18" t="s">
        <v>400</v>
      </c>
      <c r="C45" s="18" t="s">
        <v>336</v>
      </c>
      <c r="D45" s="18"/>
      <c r="F45" s="119" t="n">
        <f aca="false">INDEX(CV_debt,1,1)+INDEX(Sec_Bal,1,1)+F43</f>
        <v>0</v>
      </c>
      <c r="G45" s="119" t="n">
        <f aca="false">INDEX(CV_debt,1,2)+INDEX(Sec_Bal,1,2)+G43</f>
        <v>0</v>
      </c>
      <c r="H45" s="119" t="n">
        <f aca="false">INDEX(CV_debt,1,3)+INDEX(Sec_Bal,1,3)+H43</f>
        <v>0</v>
      </c>
      <c r="I45" s="119" t="n">
        <f aca="false">INDEX(CV_debt,1,4)+INDEX(Sec_Bal,1,4)+I43</f>
        <v>0</v>
      </c>
      <c r="J45" s="119" t="n">
        <f aca="false">INDEX(CV_debt,1,5)+INDEX(Sec_Bal,1,5)+J43</f>
        <v>0</v>
      </c>
      <c r="K45" s="119" t="n">
        <f aca="false">INDEX(CV_debt,1,6)+INDEX(Sec_Bal,1,6)+K43</f>
        <v>0</v>
      </c>
      <c r="L45" s="119" t="n">
        <f aca="false">INDEX(CV_debt,1,7)+INDEX(Sec_Bal,1,7)+L43</f>
        <v>3165.83981973062</v>
      </c>
      <c r="M45" s="119" t="n">
        <f aca="false">INDEX(CV_debt,1,8)+INDEX(Sec_Bal,1,8)+M43</f>
        <v>3186.32404741178</v>
      </c>
      <c r="N45" s="119" t="n">
        <f aca="false">INDEX(CV_debt,1,9)+INDEX(Sec_Bal,1,9)+N43</f>
        <v>7548.49761613922</v>
      </c>
      <c r="O45" s="119" t="n">
        <f aca="false">INDEX(CV_debt,1,10)+INDEX(Sec_Bal,1,10)+O43</f>
        <v>7607.10038746948</v>
      </c>
      <c r="P45" s="120" t="n">
        <f aca="false">INDEX(CV_debt,1,11)+INDEX(Sec_Bal,1,11)+P43</f>
        <v>14209.1777535968</v>
      </c>
      <c r="Q45" s="120" t="n">
        <f aca="false">INDEX(CV_debt,1,12)+INDEX(Sec_Bal,1,12)+Q43</f>
        <v>14312.7600780062</v>
      </c>
      <c r="R45" s="120" t="n">
        <f aca="false">INDEX(CV_debt,1,13)+INDEX(Sec_Bal,1,13)+R43</f>
        <v>14414.0906127545</v>
      </c>
      <c r="S45" s="120" t="n">
        <f aca="false">INDEX(CV_debt,1,14)+INDEX(Sec_Bal,1,14)+S43</f>
        <v>15123.0487467068</v>
      </c>
      <c r="T45" s="120" t="n">
        <f aca="false">INDEX(CV_debt,1,15)+INDEX(Sec_Bal,1,15)+T43</f>
        <v>18316.6295267003</v>
      </c>
      <c r="U45" s="120" t="n">
        <f aca="false">INDEX(CV_debt,1,16)+INDEX(Sec_Bal,1,16)+U43</f>
        <v>19823.5832952983</v>
      </c>
      <c r="V45" s="120" t="n">
        <f aca="false">INDEX(CV_debt,1,17)+INDEX(Sec_Bal,1,17)+V43</f>
        <v>21075.5796814118</v>
      </c>
      <c r="W45" s="120" t="n">
        <f aca="false">INDEX(CV_debt,1,18)+INDEX(Sec_Bal,1,18)+W43</f>
        <v>21669.1511408111</v>
      </c>
      <c r="X45" s="120" t="n">
        <f aca="false">INDEX(CV_debt,1,19)+INDEX(Sec_Bal,1,19)+X43</f>
        <v>24343.9696911734</v>
      </c>
      <c r="Y45" s="120" t="n">
        <f aca="false">INDEX(CV_debt,1,20)+INDEX(Sec_Bal,1,20)+Y43</f>
        <v>24924.1766060768</v>
      </c>
      <c r="Z45" s="120" t="n">
        <f aca="false">INDEX(CV_debt,1,21)+INDEX(Sec_Bal,1,21)+Z43</f>
        <v>27273.4236443544</v>
      </c>
      <c r="AA45" s="120" t="n">
        <f aca="false">INDEX(CV_debt,1,22)+INDEX(Sec_Bal,1,22)+AA43</f>
        <v>27858.2132459385</v>
      </c>
      <c r="AB45" s="120" t="n">
        <f aca="false">INDEX(CV_debt,1,23)+INDEX(Sec_Bal,1,23)+AB43</f>
        <v>31154.1494165323</v>
      </c>
      <c r="AC45" s="120" t="n">
        <f aca="false">INDEX(CV_debt,1,24)+INDEX(Sec_Bal,1,24)+AC43</f>
        <v>31257.7317409417</v>
      </c>
      <c r="AD45" s="120" t="n">
        <f aca="false">INDEX(CV_debt,1,25)+INDEX(Sec_Bal,1,25)+AD43</f>
        <v>27552.1189239984</v>
      </c>
      <c r="AE45" s="120" t="n">
        <f aca="false">INDEX(CV_debt,1,26)+INDEX(Sec_Bal,1,26)+AE43</f>
        <v>27629.8743307606</v>
      </c>
      <c r="AF45" s="120" t="n">
        <f aca="false">INDEX(CV_debt,1,27)+INDEX(Sec_Bal,1,27)+AF43</f>
        <v>25888.0982738675</v>
      </c>
      <c r="AG45" s="120" t="n">
        <f aca="false">INDEX(CV_debt,1,28)+INDEX(Sec_Bal,1,28)+AG43</f>
        <v>25179.7578344442</v>
      </c>
      <c r="AI45" s="120" t="n">
        <f aca="false">INDEX($F45:$AG45,1,MATCH(AI$7,$F$7:$AG$7,1))</f>
        <v>0</v>
      </c>
      <c r="AJ45" s="120" t="n">
        <f aca="false">INDEX($F45:$AG45,1,MATCH(AJ$7,$F$7:$AG$7,1))</f>
        <v>3186.32404741178</v>
      </c>
      <c r="AK45" s="120" t="n">
        <f aca="false">INDEX($F45:$AG45,1,MATCH(AK$7,$F$7:$AG$7,1))</f>
        <v>14312.7600780062</v>
      </c>
      <c r="AL45" s="120" t="n">
        <f aca="false">INDEX($F45:$AG45,1,MATCH(AL$7,$F$7:$AG$7,1))</f>
        <v>19823.5832952983</v>
      </c>
      <c r="AM45" s="120" t="n">
        <f aca="false">INDEX($F45:$AG45,1,MATCH(AM$7,$F$7:$AG$7,1))</f>
        <v>24924.1766060768</v>
      </c>
      <c r="AN45" s="120" t="n">
        <f aca="false">INDEX($F45:$AG45,1,MATCH(AN$7,$F$7:$AG$7,1))</f>
        <v>31257.7317409417</v>
      </c>
      <c r="AO45" s="120" t="n">
        <f aca="false">INDEX($F45:$AG45,1,MATCH(AO$7,$F$7:$AG$7,1))</f>
        <v>25179.7578344442</v>
      </c>
    </row>
    <row r="46" customFormat="false" ht="15" hidden="false" customHeight="false" outlineLevel="0" collapsed="false">
      <c r="A46" s="3" t="s">
        <v>1909</v>
      </c>
      <c r="B46" s="18" t="s">
        <v>400</v>
      </c>
      <c r="C46" s="18" t="s">
        <v>336</v>
      </c>
      <c r="D46" s="18"/>
      <c r="F46" s="121" t="n">
        <f aca="false">F45-F40</f>
        <v>-2288.2</v>
      </c>
      <c r="G46" s="121" t="n">
        <f aca="false">G45-G40</f>
        <v>-2288.2</v>
      </c>
      <c r="H46" s="121" t="n">
        <f aca="false">H45-H40</f>
        <v>-2288.2</v>
      </c>
      <c r="I46" s="121" t="n">
        <f aca="false">I45-I40</f>
        <v>-2434.7</v>
      </c>
      <c r="J46" s="121" t="n">
        <f aca="false">J45-J40</f>
        <v>-1447</v>
      </c>
      <c r="K46" s="121" t="n">
        <f aca="false">K45-K40</f>
        <v>-1679.3</v>
      </c>
      <c r="L46" s="121" t="n">
        <f aca="false">L45-L40</f>
        <v>-1628.96018026938</v>
      </c>
      <c r="M46" s="121" t="n">
        <f aca="false">M45-M40</f>
        <v>-491.775952588217</v>
      </c>
      <c r="N46" s="121" t="n">
        <f aca="false">N45-N40</f>
        <v>-1749.70238386078</v>
      </c>
      <c r="O46" s="121" t="n">
        <f aca="false">O45-O40</f>
        <v>-434.999612530522</v>
      </c>
      <c r="P46" s="93" t="n">
        <f aca="false">P45-P40</f>
        <v>2101.53806791523</v>
      </c>
      <c r="Q46" s="93" t="n">
        <f aca="false">Q45-Q40</f>
        <v>5553.25440110864</v>
      </c>
      <c r="R46" s="93" t="n">
        <f aca="false">R45-R40</f>
        <v>9453.40867590111</v>
      </c>
      <c r="S46" s="93" t="n">
        <f aca="false">S45-S40</f>
        <v>13123.0487467068</v>
      </c>
      <c r="T46" s="93" t="n">
        <f aca="false">T45-T40</f>
        <v>16316.6295267003</v>
      </c>
      <c r="U46" s="93" t="n">
        <f aca="false">U45-U40</f>
        <v>17823.5832952983</v>
      </c>
      <c r="V46" s="93" t="n">
        <f aca="false">V45-V40</f>
        <v>19075.5796814118</v>
      </c>
      <c r="W46" s="93" t="n">
        <f aca="false">W45-W40</f>
        <v>19669.1511408111</v>
      </c>
      <c r="X46" s="93" t="n">
        <f aca="false">X45-X40</f>
        <v>22343.9696911734</v>
      </c>
      <c r="Y46" s="93" t="n">
        <f aca="false">Y45-Y40</f>
        <v>22924.1766060768</v>
      </c>
      <c r="Z46" s="93" t="n">
        <f aca="false">Z45-Z40</f>
        <v>25273.4236443544</v>
      </c>
      <c r="AA46" s="93" t="n">
        <f aca="false">AA45-AA40</f>
        <v>25858.2132459385</v>
      </c>
      <c r="AB46" s="93" t="n">
        <f aca="false">AB45-AB40</f>
        <v>29154.1494165323</v>
      </c>
      <c r="AC46" s="93" t="n">
        <f aca="false">AC45-AC40</f>
        <v>26638.6060037487</v>
      </c>
      <c r="AD46" s="93" t="n">
        <f aca="false">AD45-AD40</f>
        <v>23172.2497269013</v>
      </c>
      <c r="AE46" s="93" t="n">
        <f aca="false">AE45-AE40</f>
        <v>18966.1888822659</v>
      </c>
      <c r="AF46" s="93" t="n">
        <f aca="false">AF45-AF40</f>
        <v>13156.1417331572</v>
      </c>
      <c r="AG46" s="93" t="n">
        <f aca="false">AG45-AG40</f>
        <v>9744.95972921575</v>
      </c>
      <c r="AI46" s="93" t="n">
        <f aca="false">INDEX($F46:$AG46,1,MATCH(AI$7,$F$7:$AG$7,1))</f>
        <v>-2434.7</v>
      </c>
      <c r="AJ46" s="93" t="n">
        <f aca="false">INDEX($F46:$AG46,1,MATCH(AJ$7,$F$7:$AG$7,1))</f>
        <v>-491.775952588217</v>
      </c>
      <c r="AK46" s="93" t="n">
        <f aca="false">INDEX($F46:$AG46,1,MATCH(AK$7,$F$7:$AG$7,1))</f>
        <v>5553.25440110864</v>
      </c>
      <c r="AL46" s="93" t="n">
        <f aca="false">INDEX($F46:$AG46,1,MATCH(AL$7,$F$7:$AG$7,1))</f>
        <v>17823.5832952983</v>
      </c>
      <c r="AM46" s="93" t="n">
        <f aca="false">INDEX($F46:$AG46,1,MATCH(AM$7,$F$7:$AG$7,1))</f>
        <v>22924.1766060768</v>
      </c>
      <c r="AN46" s="93" t="n">
        <f aca="false">INDEX($F46:$AG46,1,MATCH(AN$7,$F$7:$AG$7,1))</f>
        <v>26638.6060037487</v>
      </c>
      <c r="AO46" s="93" t="n">
        <f aca="false">INDEX($F46:$AG46,1,MATCH(AO$7,$F$7:$AG$7,1))</f>
        <v>9744.95972921575</v>
      </c>
    </row>
    <row r="48" customFormat="false" ht="15" hidden="false" customHeight="false" outlineLevel="0" collapsed="false">
      <c r="A48" s="48" t="s">
        <v>1910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customFormat="false" ht="15" hidden="false" customHeight="false" outlineLevel="0" collapsed="false">
      <c r="A49" s="101" t="s">
        <v>1911</v>
      </c>
      <c r="B49" s="18" t="s">
        <v>400</v>
      </c>
      <c r="C49" s="18" t="s">
        <v>336</v>
      </c>
      <c r="D49" s="18" t="s">
        <v>737</v>
      </c>
      <c r="O49" s="106" t="n">
        <f aca="false">CS_Cash</f>
        <v>8042.1</v>
      </c>
    </row>
    <row r="50" customFormat="false" ht="15" hidden="false" customHeight="false" outlineLevel="0" collapsed="false">
      <c r="A50" s="101" t="s">
        <v>1912</v>
      </c>
      <c r="B50" s="18" t="s">
        <v>400</v>
      </c>
      <c r="C50" s="18" t="s">
        <v>336</v>
      </c>
      <c r="D50" s="18"/>
      <c r="P50" s="103" t="n">
        <f aca="false">AugGross</f>
        <v>5750</v>
      </c>
      <c r="Q50" s="103" t="n">
        <f aca="false">0</f>
        <v>0</v>
      </c>
      <c r="R50" s="103" t="n">
        <f aca="false">0</f>
        <v>0</v>
      </c>
      <c r="S50" s="103" t="n">
        <f aca="false">0</f>
        <v>0</v>
      </c>
      <c r="T50" s="103" t="n">
        <f aca="false">0</f>
        <v>0</v>
      </c>
      <c r="U50" s="103" t="n">
        <f aca="false">0</f>
        <v>0</v>
      </c>
      <c r="V50" s="103" t="n">
        <f aca="false">0</f>
        <v>0</v>
      </c>
      <c r="W50" s="103" t="n">
        <f aca="false">0</f>
        <v>0</v>
      </c>
      <c r="X50" s="103" t="n">
        <f aca="false">0</f>
        <v>0</v>
      </c>
      <c r="Y50" s="103" t="n">
        <f aca="false">0</f>
        <v>0</v>
      </c>
      <c r="Z50" s="103" t="n">
        <f aca="false">0</f>
        <v>0</v>
      </c>
      <c r="AA50" s="103" t="n">
        <f aca="false">0</f>
        <v>0</v>
      </c>
      <c r="AB50" s="103" t="n">
        <f aca="false">0</f>
        <v>0</v>
      </c>
      <c r="AC50" s="103" t="n">
        <f aca="false">0</f>
        <v>0</v>
      </c>
      <c r="AD50" s="103" t="n">
        <f aca="false">0</f>
        <v>0</v>
      </c>
      <c r="AE50" s="103" t="n">
        <f aca="false">0</f>
        <v>0</v>
      </c>
      <c r="AF50" s="103" t="n">
        <f aca="false">0</f>
        <v>0</v>
      </c>
      <c r="AG50" s="103" t="n">
        <f aca="false">0</f>
        <v>0</v>
      </c>
      <c r="AI50" s="103" t="n">
        <f aca="false">SUMIF($F$7:$AG$7,AI$7,$F50:$AG50)</f>
        <v>0</v>
      </c>
      <c r="AJ50" s="103" t="n">
        <f aca="false">SUMIF($F$7:$AG$7,AJ$7,$F50:$AG50)</f>
        <v>0</v>
      </c>
      <c r="AK50" s="103" t="n">
        <f aca="false">SUMIF($F$7:$AG$7,AK$7,$F50:$AG50)</f>
        <v>5750</v>
      </c>
      <c r="AL50" s="103" t="n">
        <f aca="false">SUMIF($F$7:$AG$7,AL$7,$F50:$AG50)</f>
        <v>0</v>
      </c>
      <c r="AM50" s="103" t="n">
        <f aca="false">SUMIF($F$7:$AG$7,AM$7,$F50:$AG50)</f>
        <v>0</v>
      </c>
      <c r="AN50" s="103" t="n">
        <f aca="false">SUMIF($F$7:$AG$7,AN$7,$F50:$AG50)</f>
        <v>0</v>
      </c>
      <c r="AO50" s="103" t="n">
        <f aca="false">SUMIF($F$7:$AG$7,AO$7,$F50:$AG50)</f>
        <v>0</v>
      </c>
    </row>
    <row r="51" customFormat="false" ht="15" hidden="false" customHeight="false" outlineLevel="0" collapsed="false">
      <c r="A51" s="101" t="s">
        <v>1913</v>
      </c>
      <c r="B51" s="18" t="s">
        <v>400</v>
      </c>
      <c r="C51" s="18" t="s">
        <v>336</v>
      </c>
      <c r="D51" s="18"/>
      <c r="P51" s="103" t="n">
        <f aca="false">SecAmt*LoanOn</f>
        <v>775</v>
      </c>
      <c r="Q51" s="103" t="n">
        <f aca="false">0</f>
        <v>0</v>
      </c>
      <c r="R51" s="103" t="n">
        <f aca="false">0</f>
        <v>0</v>
      </c>
      <c r="S51" s="103" t="n">
        <f aca="false">0</f>
        <v>0</v>
      </c>
      <c r="T51" s="103" t="n">
        <f aca="false">0</f>
        <v>0</v>
      </c>
      <c r="U51" s="103" t="n">
        <f aca="false">0</f>
        <v>0</v>
      </c>
      <c r="V51" s="103" t="n">
        <f aca="false">0</f>
        <v>0</v>
      </c>
      <c r="W51" s="103" t="n">
        <f aca="false">0</f>
        <v>0</v>
      </c>
      <c r="X51" s="103" t="n">
        <f aca="false">0</f>
        <v>0</v>
      </c>
      <c r="Y51" s="103" t="n">
        <f aca="false">0</f>
        <v>0</v>
      </c>
      <c r="Z51" s="103" t="n">
        <f aca="false">0</f>
        <v>0</v>
      </c>
      <c r="AA51" s="103" t="n">
        <f aca="false">0</f>
        <v>0</v>
      </c>
      <c r="AB51" s="103" t="n">
        <f aca="false">0</f>
        <v>0</v>
      </c>
      <c r="AC51" s="103" t="n">
        <f aca="false">0</f>
        <v>0</v>
      </c>
      <c r="AD51" s="103" t="n">
        <f aca="false">0</f>
        <v>0</v>
      </c>
      <c r="AE51" s="103" t="n">
        <f aca="false">0</f>
        <v>0</v>
      </c>
      <c r="AF51" s="103" t="n">
        <f aca="false">0</f>
        <v>0</v>
      </c>
      <c r="AG51" s="103" t="n">
        <f aca="false">0</f>
        <v>0</v>
      </c>
      <c r="AI51" s="103" t="n">
        <f aca="false">SUMIF($F$7:$AG$7,AI$7,$F51:$AG51)</f>
        <v>0</v>
      </c>
      <c r="AJ51" s="103" t="n">
        <f aca="false">SUMIF($F$7:$AG$7,AJ$7,$F51:$AG51)</f>
        <v>0</v>
      </c>
      <c r="AK51" s="103" t="n">
        <f aca="false">SUMIF($F$7:$AG$7,AK$7,$F51:$AG51)</f>
        <v>775</v>
      </c>
      <c r="AL51" s="103" t="n">
        <f aca="false">SUMIF($F$7:$AG$7,AL$7,$F51:$AG51)</f>
        <v>0</v>
      </c>
      <c r="AM51" s="103" t="n">
        <f aca="false">SUMIF($F$7:$AG$7,AM$7,$F51:$AG51)</f>
        <v>0</v>
      </c>
      <c r="AN51" s="103" t="n">
        <f aca="false">SUMIF($F$7:$AG$7,AN$7,$F51:$AG51)</f>
        <v>0</v>
      </c>
      <c r="AO51" s="103" t="n">
        <f aca="false">SUMIF($F$7:$AG$7,AO$7,$F51:$AG51)</f>
        <v>0</v>
      </c>
    </row>
    <row r="52" customFormat="false" ht="15" hidden="false" customHeight="false" outlineLevel="0" collapsed="false">
      <c r="A52" s="101" t="s">
        <v>1914</v>
      </c>
      <c r="B52" s="18" t="s">
        <v>400</v>
      </c>
      <c r="C52" s="18" t="s">
        <v>336</v>
      </c>
      <c r="D52" s="18"/>
      <c r="P52" s="103" t="n">
        <f aca="false">ATMOn*ATM_Rem*SharePx</f>
        <v>0</v>
      </c>
      <c r="Q52" s="103" t="n">
        <f aca="false">0</f>
        <v>0</v>
      </c>
      <c r="R52" s="103" t="n">
        <f aca="false">0</f>
        <v>0</v>
      </c>
      <c r="S52" s="103" t="n">
        <f aca="false">0</f>
        <v>0</v>
      </c>
      <c r="T52" s="103" t="n">
        <f aca="false">0</f>
        <v>0</v>
      </c>
      <c r="U52" s="103" t="n">
        <f aca="false">0</f>
        <v>0</v>
      </c>
      <c r="V52" s="103" t="n">
        <f aca="false">0</f>
        <v>0</v>
      </c>
      <c r="W52" s="103" t="n">
        <f aca="false">0</f>
        <v>0</v>
      </c>
      <c r="X52" s="103" t="n">
        <f aca="false">0</f>
        <v>0</v>
      </c>
      <c r="Y52" s="103" t="n">
        <f aca="false">0</f>
        <v>0</v>
      </c>
      <c r="Z52" s="103" t="n">
        <f aca="false">0</f>
        <v>0</v>
      </c>
      <c r="AA52" s="103" t="n">
        <f aca="false">0</f>
        <v>0</v>
      </c>
      <c r="AB52" s="103" t="n">
        <f aca="false">0</f>
        <v>0</v>
      </c>
      <c r="AC52" s="103" t="n">
        <f aca="false">0</f>
        <v>0</v>
      </c>
      <c r="AD52" s="103" t="n">
        <f aca="false">0</f>
        <v>0</v>
      </c>
      <c r="AE52" s="103" t="n">
        <f aca="false">0</f>
        <v>0</v>
      </c>
      <c r="AF52" s="103" t="n">
        <f aca="false">0</f>
        <v>0</v>
      </c>
      <c r="AG52" s="103" t="n">
        <f aca="false">0</f>
        <v>0</v>
      </c>
      <c r="AI52" s="103" t="n">
        <f aca="false">SUMIF($F$7:$AG$7,AI$7,$F52:$AG52)</f>
        <v>0</v>
      </c>
      <c r="AJ52" s="103" t="n">
        <f aca="false">SUMIF($F$7:$AG$7,AJ$7,$F52:$AG52)</f>
        <v>0</v>
      </c>
      <c r="AK52" s="103" t="n">
        <f aca="false">SUMIF($F$7:$AG$7,AK$7,$F52:$AG52)</f>
        <v>0</v>
      </c>
      <c r="AL52" s="103" t="n">
        <f aca="false">SUMIF($F$7:$AG$7,AL$7,$F52:$AG52)</f>
        <v>0</v>
      </c>
      <c r="AM52" s="103" t="n">
        <f aca="false">SUMIF($F$7:$AG$7,AM$7,$F52:$AG52)</f>
        <v>0</v>
      </c>
      <c r="AN52" s="103" t="n">
        <f aca="false">SUMIF($F$7:$AG$7,AN$7,$F52:$AG52)</f>
        <v>0</v>
      </c>
      <c r="AO52" s="103" t="n">
        <f aca="false">SUMIF($F$7:$AG$7,AO$7,$F52:$AG52)</f>
        <v>0</v>
      </c>
    </row>
    <row r="53" customFormat="false" ht="15" hidden="false" customHeight="false" outlineLevel="0" collapsed="false">
      <c r="A53" s="101" t="s">
        <v>1915</v>
      </c>
      <c r="B53" s="18" t="s">
        <v>400</v>
      </c>
      <c r="C53" s="18" t="s">
        <v>336</v>
      </c>
      <c r="D53" s="18"/>
      <c r="P53" s="103" t="n">
        <f aca="false">INDEX(CF_FCF,1,11)+INDEX(CF_PlugIntRow,1,11)</f>
        <v>-2389.46031431848</v>
      </c>
      <c r="Q53" s="103" t="n">
        <f aca="false">INDEX(CF_FCF,1,12)+INDEX(CF_PlugIntRow,1,12)</f>
        <v>-3348.13400878401</v>
      </c>
      <c r="R53" s="103" t="n">
        <f aca="false">INDEX(CF_FCF,1,13)+INDEX(CF_PlugIntRow,1,13)</f>
        <v>-3798.82374004416</v>
      </c>
      <c r="S53" s="103" t="n">
        <f aca="false">INDEX(CF_FCF,1,14)+INDEX(CF_PlugIntRow,1,14)</f>
        <v>-4173.68534560024</v>
      </c>
      <c r="T53" s="103" t="n">
        <f aca="false">INDEX(CF_FCF,1,15)+INDEX(CF_PlugIntRow,1,15)</f>
        <v>-6169.38313134172</v>
      </c>
      <c r="U53" s="103" t="n">
        <f aca="false">INDEX(CF_FCF,1,16)+INDEX(CF_PlugIntRow,1,16)</f>
        <v>-2742.05413557787</v>
      </c>
      <c r="V53" s="103" t="n">
        <f aca="false">INDEX(CF_FCF,1,17)+INDEX(CF_PlugIntRow,1,17)</f>
        <v>-2209.83215999684</v>
      </c>
      <c r="W53" s="103" t="n">
        <f aca="false">INDEX(CF_FCF,1,18)+INDEX(CF_PlugIntRow,1,18)</f>
        <v>-872.865357328876</v>
      </c>
      <c r="X53" s="103" t="n">
        <f aca="false">INDEX(CF_FCF,1,19)+INDEX(CF_PlugIntRow,1,19)</f>
        <v>-5024.51323657203</v>
      </c>
      <c r="Y53" s="103" t="n">
        <f aca="false">INDEX(CF_FCF,1,20)+INDEX(CF_PlugIntRow,1,20)</f>
        <v>-790.293331700043</v>
      </c>
      <c r="Z53" s="103" t="n">
        <f aca="false">INDEX(CF_FCF,1,21)+INDEX(CF_PlugIntRow,1,21)</f>
        <v>-4324.53622743705</v>
      </c>
      <c r="AA53" s="103" t="n">
        <f aca="false">INDEX(CF_FCF,1,22)+INDEX(CF_PlugIntRow,1,22)</f>
        <v>-754.03102557703</v>
      </c>
      <c r="AB53" s="103" t="n">
        <f aca="false">INDEX(CF_FCF,1,23)+INDEX(CF_PlugIntRow,1,23)</f>
        <v>-6165.63154342544</v>
      </c>
      <c r="AC53" s="103" t="n">
        <f aca="false">INDEX(CF_FCF,1,24)+INDEX(CF_PlugIntRow,1,24)</f>
        <v>2894.06807844462</v>
      </c>
      <c r="AD53" s="103" t="n">
        <f aca="false">INDEX(CF_FCF,1,25)+INDEX(CF_PlugIntRow,1,25)</f>
        <v>3830.68580115585</v>
      </c>
      <c r="AE53" s="103" t="n">
        <f aca="false">INDEX(CF_FCF,1,26)+INDEX(CF_PlugIntRow,1,26)</f>
        <v>4558.7585926493</v>
      </c>
      <c r="AF53" s="103" t="n">
        <f aca="false">INDEX(CF_FCF,1,27)+INDEX(CF_PlugIntRow,1,27)</f>
        <v>4343.21343346718</v>
      </c>
      <c r="AG53" s="103" t="n">
        <f aca="false">INDEX(CF_FCF,1,28)+INDEX(CF_PlugIntRow,1,28)</f>
        <v>3752.78390576985</v>
      </c>
      <c r="AI53" s="103" t="n">
        <f aca="false">SUMIF($F$7:$AG$7,AI$7,$F53:$AG53)</f>
        <v>0</v>
      </c>
      <c r="AJ53" s="103" t="n">
        <f aca="false">SUMIF($F$7:$AG$7,AJ$7,$F53:$AG53)</f>
        <v>0</v>
      </c>
      <c r="AK53" s="103" t="n">
        <f aca="false">SUMIF($F$7:$AG$7,AK$7,$F53:$AG53)</f>
        <v>-5737.59432310249</v>
      </c>
      <c r="AL53" s="103" t="n">
        <f aca="false">SUMIF($F$7:$AG$7,AL$7,$F53:$AG53)</f>
        <v>-16883.946352564</v>
      </c>
      <c r="AM53" s="103" t="n">
        <f aca="false">SUMIF($F$7:$AG$7,AM$7,$F53:$AG53)</f>
        <v>-8897.50408559779</v>
      </c>
      <c r="AN53" s="103" t="n">
        <f aca="false">SUMIF($F$7:$AG$7,AN$7,$F53:$AG53)</f>
        <v>-8350.1307179949</v>
      </c>
      <c r="AO53" s="103" t="n">
        <f aca="false">SUMIF($F$7:$AG$7,AO$7,$F53:$AG53)</f>
        <v>16485.4417330422</v>
      </c>
    </row>
    <row r="54" customFormat="false" ht="15" hidden="false" customHeight="false" outlineLevel="0" collapsed="false">
      <c r="A54" s="101" t="s">
        <v>1916</v>
      </c>
      <c r="B54" s="18" t="s">
        <v>400</v>
      </c>
      <c r="C54" s="18" t="s">
        <v>336</v>
      </c>
      <c r="D54" s="18"/>
      <c r="P54" s="103" t="n">
        <f aca="false">0</f>
        <v>0</v>
      </c>
      <c r="Q54" s="103" t="n">
        <f aca="false">-INDEX(CV_rep,1,12)+MIN(0,INDEX(Sec_Flow,1,12))</f>
        <v>0</v>
      </c>
      <c r="R54" s="103" t="n">
        <f aca="false">-INDEX(CV_rep,1,13)+MIN(0,INDEX(Sec_Flow,1,13))</f>
        <v>0</v>
      </c>
      <c r="S54" s="103" t="n">
        <f aca="false">-INDEX(CV_rep,1,14)+MIN(0,INDEX(Sec_Flow,1,14))</f>
        <v>0</v>
      </c>
      <c r="T54" s="103" t="n">
        <f aca="false">-INDEX(CV_rep,1,15)+MIN(0,INDEX(Sec_Flow,1,15))</f>
        <v>0</v>
      </c>
      <c r="U54" s="103" t="n">
        <f aca="false">-INDEX(CV_rep,1,16)+MIN(0,INDEX(Sec_Flow,1,16))</f>
        <v>0</v>
      </c>
      <c r="V54" s="103" t="n">
        <f aca="false">-INDEX(CV_rep,1,17)+MIN(0,INDEX(Sec_Flow,1,17))</f>
        <v>0</v>
      </c>
      <c r="W54" s="103" t="n">
        <f aca="false">-INDEX(CV_rep,1,18)+MIN(0,INDEX(Sec_Flow,1,18))</f>
        <v>0</v>
      </c>
      <c r="X54" s="103" t="n">
        <f aca="false">-INDEX(CV_rep,1,19)+MIN(0,INDEX(Sec_Flow,1,19))</f>
        <v>0</v>
      </c>
      <c r="Y54" s="103" t="n">
        <f aca="false">-INDEX(CV_rep,1,20)+MIN(0,INDEX(Sec_Flow,1,20))</f>
        <v>0</v>
      </c>
      <c r="Z54" s="103" t="n">
        <f aca="false">-INDEX(CV_rep,1,21)+MIN(0,INDEX(Sec_Flow,1,21))</f>
        <v>0</v>
      </c>
      <c r="AA54" s="103" t="n">
        <f aca="false">-INDEX(CV_rep,1,22)+MIN(0,INDEX(Sec_Flow,1,22))</f>
        <v>0</v>
      </c>
      <c r="AB54" s="103" t="n">
        <f aca="false">-INDEX(CV_rep,1,23)+MIN(0,INDEX(Sec_Flow,1,23))</f>
        <v>0</v>
      </c>
      <c r="AC54" s="103" t="n">
        <f aca="false">-INDEX(CV_rep,1,24)+MIN(0,INDEX(Sec_Flow,1,24))</f>
        <v>0</v>
      </c>
      <c r="AD54" s="103" t="n">
        <f aca="false">-INDEX(CV_rep,1,25)+MIN(0,INDEX(Sec_Flow,1,25))</f>
        <v>-3795</v>
      </c>
      <c r="AE54" s="103" t="n">
        <f aca="false">-INDEX(CV_rep,1,26)+MIN(0,INDEX(Sec_Flow,1,26))</f>
        <v>0</v>
      </c>
      <c r="AF54" s="103" t="n">
        <f aca="false">-INDEX(CV_rep,1,27)+MIN(0,INDEX(Sec_Flow,1,27))</f>
        <v>0</v>
      </c>
      <c r="AG54" s="103" t="n">
        <f aca="false">-INDEX(CV_rep,1,28)+MIN(0,INDEX(Sec_Flow,1,28))</f>
        <v>-775</v>
      </c>
      <c r="AI54" s="103" t="n">
        <f aca="false">SUMIF($F$7:$AG$7,AI$7,$F54:$AG54)</f>
        <v>0</v>
      </c>
      <c r="AJ54" s="103" t="n">
        <f aca="false">SUMIF($F$7:$AG$7,AJ$7,$F54:$AG54)</f>
        <v>0</v>
      </c>
      <c r="AK54" s="103" t="n">
        <f aca="false">SUMIF($F$7:$AG$7,AK$7,$F54:$AG54)</f>
        <v>0</v>
      </c>
      <c r="AL54" s="103" t="n">
        <f aca="false">SUMIF($F$7:$AG$7,AL$7,$F54:$AG54)</f>
        <v>0</v>
      </c>
      <c r="AM54" s="103" t="n">
        <f aca="false">SUMIF($F$7:$AG$7,AM$7,$F54:$AG54)</f>
        <v>0</v>
      </c>
      <c r="AN54" s="103" t="n">
        <f aca="false">SUMIF($F$7:$AG$7,AN$7,$F54:$AG54)</f>
        <v>0</v>
      </c>
      <c r="AO54" s="103" t="n">
        <f aca="false">SUMIF($F$7:$AG$7,AO$7,$F54:$AG54)</f>
        <v>-4570</v>
      </c>
    </row>
    <row r="55" customFormat="false" ht="15" hidden="false" customHeight="false" outlineLevel="0" collapsed="false">
      <c r="A55" s="3" t="s">
        <v>1917</v>
      </c>
      <c r="B55" s="18" t="s">
        <v>400</v>
      </c>
      <c r="C55" s="18" t="s">
        <v>336</v>
      </c>
      <c r="D55" s="18"/>
      <c r="O55" s="108" t="n">
        <f aca="false">CS_Cash</f>
        <v>8042.1</v>
      </c>
      <c r="P55" s="109" t="n">
        <f aca="false">O55+P50+P51+P52+P53+P54</f>
        <v>12177.6396856815</v>
      </c>
      <c r="Q55" s="109" t="n">
        <f aca="false">P55+Q50+Q51+Q52+Q53+Q54</f>
        <v>8829.50567689751</v>
      </c>
      <c r="R55" s="109" t="n">
        <f aca="false">Q55+R50+R51+R52+R53+R54</f>
        <v>5030.68193685336</v>
      </c>
      <c r="S55" s="109" t="n">
        <f aca="false">R55+S50+S51+S52+S53+S54</f>
        <v>856.996591253117</v>
      </c>
      <c r="T55" s="109" t="n">
        <f aca="false">S55+T50+T51+T52+T53+T54</f>
        <v>-5312.38654008861</v>
      </c>
      <c r="U55" s="109" t="n">
        <f aca="false">T55+U50+U51+U52+U53+U54</f>
        <v>-8054.44067566647</v>
      </c>
      <c r="V55" s="109" t="n">
        <f aca="false">U55+V50+V51+V52+V53+V54</f>
        <v>-10264.2728356633</v>
      </c>
      <c r="W55" s="109" t="n">
        <f aca="false">V55+W50+W51+W52+W53+W54</f>
        <v>-11137.1381929922</v>
      </c>
      <c r="X55" s="109" t="n">
        <f aca="false">W55+X50+X51+X52+X53+X54</f>
        <v>-16161.6514295642</v>
      </c>
      <c r="Y55" s="109" t="n">
        <f aca="false">X55+Y50+Y51+Y52+Y53+Y54</f>
        <v>-16951.9447612643</v>
      </c>
      <c r="Z55" s="109" t="n">
        <f aca="false">Y55+Z50+Z51+Z52+Z53+Z54</f>
        <v>-21276.4809887013</v>
      </c>
      <c r="AA55" s="109" t="n">
        <f aca="false">Z55+AA50+AA51+AA52+AA53+AA54</f>
        <v>-22030.5120142783</v>
      </c>
      <c r="AB55" s="109" t="n">
        <f aca="false">AA55+AB50+AB51+AB52+AB53+AB54</f>
        <v>-28196.1435577038</v>
      </c>
      <c r="AC55" s="109" t="n">
        <f aca="false">AB55+AC50+AC51+AC52+AC53+AC54</f>
        <v>-25302.0754792592</v>
      </c>
      <c r="AD55" s="109" t="n">
        <f aca="false">AC55+AD50+AD51+AD52+AD53+AD54</f>
        <v>-25266.3896781033</v>
      </c>
      <c r="AE55" s="109" t="n">
        <f aca="false">AD55+AE50+AE51+AE52+AE53+AE54</f>
        <v>-20707.631085454</v>
      </c>
      <c r="AF55" s="109" t="n">
        <f aca="false">AE55+AF50+AF51+AF52+AF53+AF54</f>
        <v>-16364.4176519868</v>
      </c>
      <c r="AG55" s="109" t="n">
        <f aca="false">AF55+AG50+AG51+AG52+AG53+AG54</f>
        <v>-13386.633746217</v>
      </c>
      <c r="AI55" s="109" t="n">
        <f aca="false">INDEX($F55:$AG55,1,MATCH(AI$7,$F$7:$AG$7,1))</f>
        <v>0</v>
      </c>
      <c r="AJ55" s="109" t="n">
        <f aca="false">INDEX($F55:$AG55,1,MATCH(AJ$7,$F$7:$AG$7,1))</f>
        <v>0</v>
      </c>
      <c r="AK55" s="109" t="n">
        <f aca="false">INDEX($F55:$AG55,1,MATCH(AK$7,$F$7:$AG$7,1))</f>
        <v>8829.50567689751</v>
      </c>
      <c r="AL55" s="109" t="n">
        <f aca="false">INDEX($F55:$AG55,1,MATCH(AL$7,$F$7:$AG$7,1))</f>
        <v>-8054.44067566647</v>
      </c>
      <c r="AM55" s="109" t="n">
        <f aca="false">INDEX($F55:$AG55,1,MATCH(AM$7,$F$7:$AG$7,1))</f>
        <v>-16951.9447612643</v>
      </c>
      <c r="AN55" s="109" t="n">
        <f aca="false">INDEX($F55:$AG55,1,MATCH(AN$7,$F$7:$AG$7,1))</f>
        <v>-25302.0754792592</v>
      </c>
      <c r="AO55" s="109" t="n">
        <f aca="false">INDEX($F55:$AG55,1,MATCH(AO$7,$F$7:$AG$7,1))</f>
        <v>-13386.633746217</v>
      </c>
    </row>
    <row r="56" customFormat="false" ht="15" hidden="false" customHeight="false" outlineLevel="0" collapsed="false">
      <c r="A56" s="0" t="s">
        <v>1918</v>
      </c>
      <c r="E56" s="5" t="n">
        <f aca="false">CS_Cash+AugGross+SecAmt*LoanOn+ATMOn*ATM_Rem*SharePx</f>
        <v>14567.1</v>
      </c>
    </row>
    <row r="57" customFormat="false" ht="15" hidden="false" customHeight="false" outlineLevel="0" collapsed="false">
      <c r="A57" s="0" t="s">
        <v>9</v>
      </c>
      <c r="E57" s="4" t="str">
        <f aca="false">IFERROR(INDEX(Q_Lab,1,MATCH(TRUE(),INDEX($F$55:$AG$55&lt;0,0),0)),"none to Q4'30")</f>
        <v>Q3'27</v>
      </c>
    </row>
    <row r="58" customFormat="false" ht="15" hidden="false" customHeight="false" outlineLevel="0" collapsed="false">
      <c r="A58" s="0" t="s">
        <v>1919</v>
      </c>
      <c r="E58" s="25" t="n">
        <f aca="false">SUMPRODUCT((Q_Yr=2026)*(Q_Idx&gt;LastHist)*CF_Prepay)</f>
        <v>3296.062</v>
      </c>
      <c r="F58" s="25" t="n">
        <f aca="false">Prepay26-(DR_Open-DR_YE25)</f>
        <v>4602.3</v>
      </c>
    </row>
    <row r="60" customFormat="false" ht="15" hidden="false" customHeight="false" outlineLevel="0" collapsed="false">
      <c r="A60" s="3" t="s">
        <v>1920</v>
      </c>
      <c r="E60" s="3" t="s">
        <v>1921</v>
      </c>
      <c r="F60" s="3" t="s">
        <v>1922</v>
      </c>
      <c r="G60" s="3" t="s">
        <v>1923</v>
      </c>
      <c r="H60" s="3" t="s">
        <v>1924</v>
      </c>
    </row>
    <row r="61" customFormat="false" ht="15" hidden="false" customHeight="false" outlineLevel="0" collapsed="false">
      <c r="A61" s="0" t="s">
        <v>178</v>
      </c>
      <c r="E61" s="35" t="n">
        <f aca="false">Liq_Start/1000</f>
        <v>14.5671</v>
      </c>
      <c r="F61" s="35" t="n">
        <f aca="false">INDEX(Liq,1,13)/1000</f>
        <v>5.03068193685336</v>
      </c>
      <c r="G61" s="35" t="n">
        <f aca="false">INDEX(Liq,1,14)/1000</f>
        <v>0.856996591253117</v>
      </c>
      <c r="H61" s="35" t="n">
        <f aca="false">INDEX(Liq,1,16)/1000</f>
        <v>-8.05444067566647</v>
      </c>
    </row>
    <row r="62" customFormat="false" ht="15" hidden="false" customHeight="false" outlineLevel="0" collapsed="false">
      <c r="A62" s="0" t="s">
        <v>1925</v>
      </c>
      <c r="E62" s="35" t="n">
        <f aca="false">Sk_Start</f>
        <v>14.6</v>
      </c>
      <c r="F62" s="35" t="n">
        <f aca="false">Sk_Q127</f>
        <v>1.1</v>
      </c>
      <c r="G62" s="35" t="n">
        <f aca="false">Sk_Q227</f>
        <v>-2.7</v>
      </c>
      <c r="H62" s="35" t="n">
        <f aca="false">Sk_YE27</f>
        <v>-9.9</v>
      </c>
    </row>
    <row r="63" customFormat="false" ht="15" hidden="false" customHeight="false" outlineLevel="0" collapsed="false">
      <c r="A63" s="0" t="s">
        <v>1926</v>
      </c>
      <c r="E63" s="135" t="n">
        <f aca="false">E61-E62</f>
        <v>-0.0328999999999997</v>
      </c>
      <c r="F63" s="135" t="n">
        <f aca="false">F61-F62</f>
        <v>3.93068193685336</v>
      </c>
      <c r="G63" s="135" t="n">
        <f aca="false">G61-G62</f>
        <v>3.55699659125312</v>
      </c>
      <c r="H63" s="135" t="n">
        <f aca="false">H61-H62</f>
        <v>1.84555932433353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1865</v>
      </c>
    </row>
    <row r="2" customFormat="false" ht="15" hidden="false" customHeight="false" outlineLevel="0" collapsed="false">
      <c r="A2" s="18" t="s">
        <v>1927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9" customFormat="false" ht="15" hidden="false" customHeight="false" outlineLevel="0" collapsed="false">
      <c r="A9" s="101" t="s">
        <v>1928</v>
      </c>
      <c r="B9" s="18" t="s">
        <v>781</v>
      </c>
      <c r="C9" s="18" t="s">
        <v>389</v>
      </c>
      <c r="D9" s="18" t="s">
        <v>1929</v>
      </c>
      <c r="F9" s="131" t="n">
        <f aca="false">IF(F$5&lt;=LastHist,INDEX(H_Shares,1,F$5),E9*(1+SBCsh)+IF(F$5=ExchIdx,ExchShares,0)+IF(F$5=11,ATM_Q3,0)+INDEX(CF_EqSh,1,1)+INDEX(CV_csh,1,1))</f>
        <v>199.34</v>
      </c>
      <c r="G9" s="131" t="n">
        <f aca="false">IF(G$5&lt;=LastHist,INDEX(H_Shares,1,G$5),F9*(1+SBCsh)+IF(G$5=ExchIdx,ExchShares,0)+IF(G$5=11,ATM_Q3,0)+INDEX(CF_EqSh,1,2)+INDEX(CV_csh,1,2))</f>
        <v>199.34</v>
      </c>
      <c r="H9" s="131" t="n">
        <f aca="false">IF(H$5&lt;=LastHist,INDEX(H_Shares,1,H$5),G9*(1+SBCsh)+IF(H$5=ExchIdx,ExchShares,0)+IF(H$5=11,ATM_Q3,0)+INDEX(CF_EqSh,1,3)+INDEX(CV_csh,1,3))</f>
        <v>199.340118</v>
      </c>
      <c r="I9" s="131" t="n">
        <f aca="false">IF(I$5&lt;=LastHist,INDEX(H_Shares,1,I$5),H9*(1+SBCsh)+IF(I$5=ExchIdx,ExchShares,0)+IF(I$5=11,ATM_Q3,0)+INDEX(CF_EqSh,1,4)+INDEX(CV_csh,1,4))</f>
        <v>235.7536</v>
      </c>
      <c r="J9" s="131" t="n">
        <f aca="false">IF(J$5&lt;=LastHist,INDEX(H_Shares,1,J$5),I9*(1+SBCsh)+IF(J$5=ExchIdx,ExchShares,0)+IF(J$5=11,ATM_Q3,0)+INDEX(CF_EqSh,1,5)+INDEX(CV_csh,1,5))</f>
        <v>238.108831</v>
      </c>
      <c r="K9" s="131" t="n">
        <f aca="false">IF(K$5&lt;=LastHist,INDEX(H_Shares,1,K$5),J9*(1+SBCsh)+IF(K$5=ExchIdx,ExchShares,0)+IF(K$5=11,ATM_Q3,0)+INDEX(CF_EqSh,1,6)+INDEX(CV_csh,1,6))</f>
        <v>238.705092</v>
      </c>
      <c r="L9" s="131" t="n">
        <f aca="false">IF(L$5&lt;=LastHist,INDEX(H_Shares,1,L$5),K9*(1+SBCsh)+IF(L$5=ExchIdx,ExchShares,0)+IF(L$5=11,ATM_Q3,0)+INDEX(CF_EqSh,1,7)+INDEX(CV_csh,1,7))</f>
        <v>251.807222</v>
      </c>
      <c r="M9" s="131" t="n">
        <f aca="false">IF(M$5&lt;=LastHist,INDEX(H_Shares,1,M$5),L9*(1+SBCsh)+IF(M$5=ExchIdx,ExchShares,0)+IF(M$5=11,ATM_Q3,0)+INDEX(CF_EqSh,1,8)+INDEX(CV_csh,1,8))</f>
        <v>253.016971</v>
      </c>
      <c r="N9" s="131" t="n">
        <f aca="false">IF(N$5&lt;=LastHist,INDEX(H_Shares,1,N$5),M9*(1+SBCsh)+IF(N$5=ExchIdx,ExchShares,0)+IF(N$5=11,ATM_Q3,0)+INDEX(CF_EqSh,1,9)+INDEX(CV_csh,1,9))</f>
        <v>253.898194</v>
      </c>
      <c r="O9" s="131" t="n">
        <f aca="false">IF(O$5&lt;=LastHist,INDEX(H_Shares,1,O$5),N9*(1+SBCsh)+IF(O$5=ExchIdx,ExchShares,0)+IF(O$5=11,ATM_Q3,0)+INDEX(CF_EqSh,1,10)+INDEX(CV_csh,1,10))</f>
        <v>271.855218</v>
      </c>
      <c r="P9" s="37" t="n">
        <f aca="false">IF(P$5&lt;=LastHist,INDEX(H_Shares,1,P$5),O9*(1+SBCsh)+IF(P$5=ExchIdx,ExchShares,0)+IF(P$5=11,ATM_Q3,0)+INDEX(CF_EqSh,1,11)+INDEX(CV_csh,1,11))</f>
        <v>287.625218</v>
      </c>
      <c r="Q9" s="37" t="n">
        <f aca="false">IF(Q$5&lt;=LastHist,INDEX(H_Shares,1,Q$5),P9*(1+SBCsh)+IF(Q$5=ExchIdx,ExchShares,0)+IF(Q$5=11,ATM_Q3,0)+INDEX(CF_EqSh,1,12)+INDEX(CV_csh,1,12))</f>
        <v>287.625218</v>
      </c>
      <c r="R9" s="37" t="n">
        <f aca="false">IF(R$5&lt;=LastHist,INDEX(H_Shares,1,R$5),Q9*(1+SBCsh)+IF(R$5=ExchIdx,ExchShares,0)+IF(R$5=11,ATM_Q3,0)+INDEX(CF_EqSh,1,13)+INDEX(CV_csh,1,13))</f>
        <v>287.625218</v>
      </c>
      <c r="S9" s="37" t="n">
        <f aca="false">IF(S$5&lt;=LastHist,INDEX(H_Shares,1,S$5),R9*(1+SBCsh)+IF(S$5=ExchIdx,ExchShares,0)+IF(S$5=11,ATM_Q3,0)+INDEX(CF_EqSh,1,14)+INDEX(CV_csh,1,14))</f>
        <v>290.200315767986</v>
      </c>
      <c r="T9" s="37" t="n">
        <f aca="false">IF(T$5&lt;=LastHist,INDEX(H_Shares,1,T$5),S9*(1+SBCsh)+IF(T$5=ExchIdx,ExchShares,0)+IF(T$5=11,ATM_Q3,0)+INDEX(CF_EqSh,1,15)+INDEX(CV_csh,1,15))</f>
        <v>303.31989658479</v>
      </c>
      <c r="U9" s="37" t="n">
        <f aca="false">IF(U$5&lt;=LastHist,INDEX(H_Shares,1,U$5),T9*(1+SBCsh)+IF(U$5=ExchIdx,ExchShares,0)+IF(U$5=11,ATM_Q3,0)+INDEX(CF_EqSh,1,16)+INDEX(CV_csh,1,16))</f>
        <v>309.278360753195</v>
      </c>
      <c r="V9" s="37" t="n">
        <f aca="false">IF(V$5&lt;=LastHist,INDEX(H_Shares,1,V$5),U9*(1+SBCsh)+IF(V$5=ExchIdx,ExchShares,0)+IF(V$5=11,ATM_Q3,0)+INDEX(CF_EqSh,1,17)+INDEX(CV_csh,1,17))</f>
        <v>314.15910182109</v>
      </c>
      <c r="W9" s="37" t="n">
        <f aca="false">IF(W$5&lt;=LastHist,INDEX(H_Shares,1,W$5),V9*(1+SBCsh)+IF(W$5=ExchIdx,ExchShares,0)+IF(W$5=11,ATM_Q3,0)+INDEX(CF_EqSh,1,18)+INDEX(CV_csh,1,18))</f>
        <v>316.244288405061</v>
      </c>
      <c r="X9" s="37" t="n">
        <f aca="false">IF(X$5&lt;=LastHist,INDEX(H_Shares,1,X$5),W9*(1+SBCsh)+IF(X$5=ExchIdx,ExchShares,0)+IF(X$5=11,ATM_Q3,0)+INDEX(CF_EqSh,1,19)+INDEX(CV_csh,1,19))</f>
        <v>327.161297572013</v>
      </c>
      <c r="Y9" s="37" t="n">
        <f aca="false">IF(Y$5&lt;=LastHist,INDEX(H_Shares,1,Y$5),X9*(1+SBCsh)+IF(Y$5=ExchIdx,ExchShares,0)+IF(Y$5=11,ATM_Q3,0)+INDEX(CF_EqSh,1,20)+INDEX(CV_csh,1,20))</f>
        <v>329.184960342123</v>
      </c>
      <c r="Z9" s="37" t="n">
        <f aca="false">IF(Z$5&lt;=LastHist,INDEX(H_Shares,1,Z$5),Y9*(1+SBCsh)+IF(Z$5=ExchIdx,ExchShares,0)+IF(Z$5=11,ATM_Q3,0)+INDEX(CF_EqSh,1,21)+INDEX(CV_csh,1,21))</f>
        <v>338.72921179124</v>
      </c>
      <c r="AA9" s="37" t="n">
        <f aca="false">IF(AA$5&lt;=LastHist,INDEX(H_Shares,1,AA$5),Z9*(1+SBCsh)+IF(AA$5=ExchIdx,ExchShares,0)+IF(AA$5=11,ATM_Q3,0)+INDEX(CF_EqSh,1,22)+INDEX(CV_csh,1,22))</f>
        <v>342.477788427504</v>
      </c>
      <c r="AB9" s="37" t="n">
        <f aca="false">IF(AB$5&lt;=LastHist,INDEX(H_Shares,1,AB$5),AA9*(1+SBCsh)+IF(AB$5=ExchIdx,ExchShares,0)+IF(AB$5=11,ATM_Q3,0)+INDEX(CF_EqSh,1,23)+INDEX(CV_csh,1,23))</f>
        <v>356.031951927218</v>
      </c>
      <c r="AC9" s="37" t="n">
        <f aca="false">IF(AC$5&lt;=LastHist,INDEX(H_Shares,1,AC$5),AB9*(1+SBCsh)+IF(AC$5=ExchIdx,ExchShares,0)+IF(AC$5=11,ATM_Q3,0)+INDEX(CF_EqSh,1,24)+INDEX(CV_csh,1,24))</f>
        <v>356.031951927218</v>
      </c>
      <c r="AD9" s="37" t="n">
        <f aca="false">IF(AD$5&lt;=LastHist,INDEX(H_Shares,1,AD$5),AC9*(1+SBCsh)+IF(AD$5=ExchIdx,ExchShares,0)+IF(AD$5=11,ATM_Q3,0)+INDEX(CF_EqSh,1,25)+INDEX(CV_csh,1,25))</f>
        <v>356.031951927218</v>
      </c>
      <c r="AE9" s="37" t="n">
        <f aca="false">IF(AE$5&lt;=LastHist,INDEX(H_Shares,1,AE$5),AD9*(1+SBCsh)+IF(AE$5=ExchIdx,ExchShares,0)+IF(AE$5=11,ATM_Q3,0)+INDEX(CF_EqSh,1,26)+INDEX(CV_csh,1,26))</f>
        <v>356.031951927218</v>
      </c>
      <c r="AF9" s="37" t="n">
        <f aca="false">IF(AF$5&lt;=LastHist,INDEX(H_Shares,1,AF$5),AE9*(1+SBCsh)+IF(AF$5=ExchIdx,ExchShares,0)+IF(AF$5=11,ATM_Q3,0)+INDEX(CF_EqSh,1,27)+INDEX(CV_csh,1,27))</f>
        <v>367.428336927218</v>
      </c>
      <c r="AG9" s="37" t="n">
        <f aca="false">IF(AG$5&lt;=LastHist,INDEX(H_Shares,1,AG$5),AF9*(1+SBCsh)+IF(AG$5=ExchIdx,ExchShares,0)+IF(AG$5=11,ATM_Q3,0)+INDEX(CF_EqSh,1,28)+INDEX(CV_csh,1,28))</f>
        <v>367.428336927218</v>
      </c>
      <c r="AI9" s="37" t="n">
        <f aca="false">INDEX($F9:$AG9,1,MATCH(AI$7,$F$7:$AG$7,1))</f>
        <v>235.7536</v>
      </c>
      <c r="AJ9" s="37" t="n">
        <f aca="false">INDEX($F9:$AG9,1,MATCH(AJ$7,$F$7:$AG$7,1))</f>
        <v>253.016971</v>
      </c>
      <c r="AK9" s="37" t="n">
        <f aca="false">INDEX($F9:$AG9,1,MATCH(AK$7,$F$7:$AG$7,1))</f>
        <v>287.625218</v>
      </c>
      <c r="AL9" s="37" t="n">
        <f aca="false">INDEX($F9:$AG9,1,MATCH(AL$7,$F$7:$AG$7,1))</f>
        <v>309.278360753195</v>
      </c>
      <c r="AM9" s="37" t="n">
        <f aca="false">INDEX($F9:$AG9,1,MATCH(AM$7,$F$7:$AG$7,1))</f>
        <v>329.184960342123</v>
      </c>
      <c r="AN9" s="37" t="n">
        <f aca="false">INDEX($F9:$AG9,1,MATCH(AN$7,$F$7:$AG$7,1))</f>
        <v>356.031951927218</v>
      </c>
      <c r="AO9" s="37" t="n">
        <f aca="false">INDEX($F9:$AG9,1,MATCH(AO$7,$F$7:$AG$7,1))</f>
        <v>367.428336927218</v>
      </c>
    </row>
    <row r="10" customFormat="false" ht="15" hidden="false" customHeight="false" outlineLevel="0" collapsed="false">
      <c r="A10" s="101" t="s">
        <v>790</v>
      </c>
      <c r="B10" s="18" t="s">
        <v>781</v>
      </c>
      <c r="C10" s="18" t="s">
        <v>389</v>
      </c>
      <c r="D10" s="18"/>
      <c r="F10" s="131" t="n">
        <f aca="false">IF(F$5&gt;=NVDA_Idx,NVDA_W,0)</f>
        <v>0</v>
      </c>
      <c r="G10" s="131" t="n">
        <f aca="false">IF(G$5&gt;=NVDA_Idx,NVDA_W,0)</f>
        <v>0</v>
      </c>
      <c r="H10" s="131" t="n">
        <f aca="false">IF(H$5&gt;=NVDA_Idx,NVDA_W,0)</f>
        <v>0</v>
      </c>
      <c r="I10" s="131" t="n">
        <f aca="false">IF(I$5&gt;=NVDA_Idx,NVDA_W,0)</f>
        <v>0</v>
      </c>
      <c r="J10" s="131" t="n">
        <f aca="false">IF(J$5&gt;=NVDA_Idx,NVDA_W,0)</f>
        <v>0</v>
      </c>
      <c r="K10" s="131" t="n">
        <f aca="false">IF(K$5&gt;=NVDA_Idx,NVDA_W,0)</f>
        <v>0</v>
      </c>
      <c r="L10" s="131" t="n">
        <f aca="false">IF(L$5&gt;=NVDA_Idx,NVDA_W,0)</f>
        <v>0</v>
      </c>
      <c r="M10" s="131" t="n">
        <f aca="false">IF(M$5&gt;=NVDA_Idx,NVDA_W,0)</f>
        <v>0</v>
      </c>
      <c r="N10" s="131" t="n">
        <f aca="false">IF(N$5&gt;=NVDA_Idx,NVDA_W,0)</f>
        <v>21.065936</v>
      </c>
      <c r="O10" s="131" t="n">
        <f aca="false">IF(O$5&gt;=NVDA_Idx,NVDA_W,0)</f>
        <v>21.065936</v>
      </c>
      <c r="P10" s="37" t="n">
        <f aca="false">IF(P$5&gt;=NVDA_Idx,NVDA_W,0)</f>
        <v>21.065936</v>
      </c>
      <c r="Q10" s="37" t="n">
        <f aca="false">IF(Q$5&gt;=NVDA_Idx,NVDA_W,0)</f>
        <v>21.065936</v>
      </c>
      <c r="R10" s="37" t="n">
        <f aca="false">IF(R$5&gt;=NVDA_Idx,NVDA_W,0)</f>
        <v>21.065936</v>
      </c>
      <c r="S10" s="37" t="n">
        <f aca="false">IF(S$5&gt;=NVDA_Idx,NVDA_W,0)</f>
        <v>21.065936</v>
      </c>
      <c r="T10" s="37" t="n">
        <f aca="false">IF(T$5&gt;=NVDA_Idx,NVDA_W,0)</f>
        <v>21.065936</v>
      </c>
      <c r="U10" s="37" t="n">
        <f aca="false">IF(U$5&gt;=NVDA_Idx,NVDA_W,0)</f>
        <v>21.065936</v>
      </c>
      <c r="V10" s="37" t="n">
        <f aca="false">IF(V$5&gt;=NVDA_Idx,NVDA_W,0)</f>
        <v>21.065936</v>
      </c>
      <c r="W10" s="37" t="n">
        <f aca="false">IF(W$5&gt;=NVDA_Idx,NVDA_W,0)</f>
        <v>21.065936</v>
      </c>
      <c r="X10" s="37" t="n">
        <f aca="false">IF(X$5&gt;=NVDA_Idx,NVDA_W,0)</f>
        <v>21.065936</v>
      </c>
      <c r="Y10" s="37" t="n">
        <f aca="false">IF(Y$5&gt;=NVDA_Idx,NVDA_W,0)</f>
        <v>21.065936</v>
      </c>
      <c r="Z10" s="37" t="n">
        <f aca="false">IF(Z$5&gt;=NVDA_Idx,NVDA_W,0)</f>
        <v>21.065936</v>
      </c>
      <c r="AA10" s="37" t="n">
        <f aca="false">IF(AA$5&gt;=NVDA_Idx,NVDA_W,0)</f>
        <v>21.065936</v>
      </c>
      <c r="AB10" s="37" t="n">
        <f aca="false">IF(AB$5&gt;=NVDA_Idx,NVDA_W,0)</f>
        <v>21.065936</v>
      </c>
      <c r="AC10" s="37" t="n">
        <f aca="false">IF(AC$5&gt;=NVDA_Idx,NVDA_W,0)</f>
        <v>21.065936</v>
      </c>
      <c r="AD10" s="37" t="n">
        <f aca="false">IF(AD$5&gt;=NVDA_Idx,NVDA_W,0)</f>
        <v>21.065936</v>
      </c>
      <c r="AE10" s="37" t="n">
        <f aca="false">IF(AE$5&gt;=NVDA_Idx,NVDA_W,0)</f>
        <v>21.065936</v>
      </c>
      <c r="AF10" s="37" t="n">
        <f aca="false">IF(AF$5&gt;=NVDA_Idx,NVDA_W,0)</f>
        <v>21.065936</v>
      </c>
      <c r="AG10" s="37" t="n">
        <f aca="false">IF(AG$5&gt;=NVDA_Idx,NVDA_W,0)</f>
        <v>21.065936</v>
      </c>
      <c r="AI10" s="37" t="n">
        <f aca="false">INDEX($F10:$AG10,1,MATCH(AI$7,$F$7:$AG$7,1))</f>
        <v>0</v>
      </c>
      <c r="AJ10" s="37" t="n">
        <f aca="false">INDEX($F10:$AG10,1,MATCH(AJ$7,$F$7:$AG$7,1))</f>
        <v>0</v>
      </c>
      <c r="AK10" s="37" t="n">
        <f aca="false">INDEX($F10:$AG10,1,MATCH(AK$7,$F$7:$AG$7,1))</f>
        <v>21.065936</v>
      </c>
      <c r="AL10" s="37" t="n">
        <f aca="false">INDEX($F10:$AG10,1,MATCH(AL$7,$F$7:$AG$7,1))</f>
        <v>21.065936</v>
      </c>
      <c r="AM10" s="37" t="n">
        <f aca="false">INDEX($F10:$AG10,1,MATCH(AM$7,$F$7:$AG$7,1))</f>
        <v>21.065936</v>
      </c>
      <c r="AN10" s="37" t="n">
        <f aca="false">INDEX($F10:$AG10,1,MATCH(AN$7,$F$7:$AG$7,1))</f>
        <v>21.065936</v>
      </c>
      <c r="AO10" s="37" t="n">
        <f aca="false">INDEX($F10:$AG10,1,MATCH(AO$7,$F$7:$AG$7,1))</f>
        <v>21.065936</v>
      </c>
    </row>
    <row r="11" customFormat="false" ht="15" hidden="false" customHeight="false" outlineLevel="0" collapsed="false">
      <c r="A11" s="3" t="s">
        <v>1930</v>
      </c>
      <c r="B11" s="18" t="s">
        <v>781</v>
      </c>
      <c r="C11" s="18" t="s">
        <v>336</v>
      </c>
      <c r="D11" s="18"/>
      <c r="F11" s="132" t="n">
        <f aca="false">F9+F10</f>
        <v>199.34</v>
      </c>
      <c r="G11" s="132" t="n">
        <f aca="false">G9+G10</f>
        <v>199.34</v>
      </c>
      <c r="H11" s="132" t="n">
        <f aca="false">H9+H10</f>
        <v>199.340118</v>
      </c>
      <c r="I11" s="132" t="n">
        <f aca="false">I9+I10</f>
        <v>235.7536</v>
      </c>
      <c r="J11" s="132" t="n">
        <f aca="false">J9+J10</f>
        <v>238.108831</v>
      </c>
      <c r="K11" s="132" t="n">
        <f aca="false">K9+K10</f>
        <v>238.705092</v>
      </c>
      <c r="L11" s="132" t="n">
        <f aca="false">L9+L10</f>
        <v>251.807222</v>
      </c>
      <c r="M11" s="132" t="n">
        <f aca="false">M9+M10</f>
        <v>253.016971</v>
      </c>
      <c r="N11" s="132" t="n">
        <f aca="false">N9+N10</f>
        <v>274.96413</v>
      </c>
      <c r="O11" s="132" t="n">
        <f aca="false">O9+O10</f>
        <v>292.921154</v>
      </c>
      <c r="P11" s="55" t="n">
        <f aca="false">P9+P10</f>
        <v>308.691154</v>
      </c>
      <c r="Q11" s="55" t="n">
        <f aca="false">Q9+Q10</f>
        <v>308.691154</v>
      </c>
      <c r="R11" s="55" t="n">
        <f aca="false">R9+R10</f>
        <v>308.691154</v>
      </c>
      <c r="S11" s="55" t="n">
        <f aca="false">S9+S10</f>
        <v>311.266251767986</v>
      </c>
      <c r="T11" s="55" t="n">
        <f aca="false">T9+T10</f>
        <v>324.38583258479</v>
      </c>
      <c r="U11" s="55" t="n">
        <f aca="false">U9+U10</f>
        <v>330.344296753195</v>
      </c>
      <c r="V11" s="55" t="n">
        <f aca="false">V9+V10</f>
        <v>335.22503782109</v>
      </c>
      <c r="W11" s="55" t="n">
        <f aca="false">W9+W10</f>
        <v>337.310224405061</v>
      </c>
      <c r="X11" s="55" t="n">
        <f aca="false">X9+X10</f>
        <v>348.227233572013</v>
      </c>
      <c r="Y11" s="55" t="n">
        <f aca="false">Y9+Y10</f>
        <v>350.250896342123</v>
      </c>
      <c r="Z11" s="55" t="n">
        <f aca="false">Z9+Z10</f>
        <v>359.79514779124</v>
      </c>
      <c r="AA11" s="55" t="n">
        <f aca="false">AA9+AA10</f>
        <v>363.543724427504</v>
      </c>
      <c r="AB11" s="55" t="n">
        <f aca="false">AB9+AB10</f>
        <v>377.097887927218</v>
      </c>
      <c r="AC11" s="55" t="n">
        <f aca="false">AC9+AC10</f>
        <v>377.097887927218</v>
      </c>
      <c r="AD11" s="55" t="n">
        <f aca="false">AD9+AD10</f>
        <v>377.097887927218</v>
      </c>
      <c r="AE11" s="55" t="n">
        <f aca="false">AE9+AE10</f>
        <v>377.097887927218</v>
      </c>
      <c r="AF11" s="55" t="n">
        <f aca="false">AF9+AF10</f>
        <v>388.494272927218</v>
      </c>
      <c r="AG11" s="55" t="n">
        <f aca="false">AG9+AG10</f>
        <v>388.494272927218</v>
      </c>
      <c r="AI11" s="55" t="n">
        <f aca="false">INDEX($F11:$AG11,1,MATCH(AI$7,$F$7:$AG$7,1))</f>
        <v>235.7536</v>
      </c>
      <c r="AJ11" s="55" t="n">
        <f aca="false">INDEX($F11:$AG11,1,MATCH(AJ$7,$F$7:$AG$7,1))</f>
        <v>253.016971</v>
      </c>
      <c r="AK11" s="55" t="n">
        <f aca="false">INDEX($F11:$AG11,1,MATCH(AK$7,$F$7:$AG$7,1))</f>
        <v>308.691154</v>
      </c>
      <c r="AL11" s="55" t="n">
        <f aca="false">INDEX($F11:$AG11,1,MATCH(AL$7,$F$7:$AG$7,1))</f>
        <v>330.344296753195</v>
      </c>
      <c r="AM11" s="55" t="n">
        <f aca="false">INDEX($F11:$AG11,1,MATCH(AM$7,$F$7:$AG$7,1))</f>
        <v>350.250896342123</v>
      </c>
      <c r="AN11" s="55" t="n">
        <f aca="false">INDEX($F11:$AG11,1,MATCH(AN$7,$F$7:$AG$7,1))</f>
        <v>377.097887927218</v>
      </c>
      <c r="AO11" s="55" t="n">
        <f aca="false">INDEX($F11:$AG11,1,MATCH(AO$7,$F$7:$AG$7,1))</f>
        <v>388.494272927218</v>
      </c>
    </row>
    <row r="12" customFormat="false" ht="15" hidden="false" customHeight="false" outlineLevel="0" collapsed="false">
      <c r="A12" s="101" t="s">
        <v>1931</v>
      </c>
      <c r="B12" s="18" t="s">
        <v>781</v>
      </c>
      <c r="C12" s="18" t="s">
        <v>389</v>
      </c>
      <c r="D12" s="18"/>
      <c r="F12" s="131" t="n">
        <f aca="false">Options*MAX(0,1-OptK/DilPx)</f>
        <v>0</v>
      </c>
      <c r="G12" s="131" t="n">
        <f aca="false">Options*MAX(0,1-OptK/DilPx)</f>
        <v>0</v>
      </c>
      <c r="H12" s="131" t="n">
        <f aca="false">Options*MAX(0,1-OptK/DilPx)</f>
        <v>0</v>
      </c>
      <c r="I12" s="131" t="n">
        <f aca="false">Options*MAX(0,1-OptK/DilPx)</f>
        <v>0</v>
      </c>
      <c r="J12" s="131" t="n">
        <f aca="false">Options*MAX(0,1-OptK/DilPx)</f>
        <v>0</v>
      </c>
      <c r="K12" s="131" t="n">
        <f aca="false">Options*MAX(0,1-OptK/DilPx)</f>
        <v>0</v>
      </c>
      <c r="L12" s="131" t="n">
        <f aca="false">Options*MAX(0,1-OptK/DilPx)</f>
        <v>0</v>
      </c>
      <c r="M12" s="131" t="n">
        <f aca="false">Options*MAX(0,1-OptK/DilPx)</f>
        <v>0</v>
      </c>
      <c r="N12" s="131" t="n">
        <f aca="false">Options*MAX(0,1-OptK/DilPx)</f>
        <v>0</v>
      </c>
      <c r="O12" s="131" t="n">
        <f aca="false">Options*MAX(0,1-OptK/DilPx)</f>
        <v>0</v>
      </c>
      <c r="P12" s="37" t="n">
        <f aca="false">Options*MAX(0,1-OptK/DilPx)</f>
        <v>0</v>
      </c>
      <c r="Q12" s="37" t="n">
        <f aca="false">Options*MAX(0,1-OptK/DilPx)</f>
        <v>0</v>
      </c>
      <c r="R12" s="37" t="n">
        <f aca="false">Options*MAX(0,1-OptK/DilPx)</f>
        <v>0</v>
      </c>
      <c r="S12" s="37" t="n">
        <f aca="false">Options*MAX(0,1-OptK/DilPx)</f>
        <v>0</v>
      </c>
      <c r="T12" s="37" t="n">
        <f aca="false">Options*MAX(0,1-OptK/DilPx)</f>
        <v>0</v>
      </c>
      <c r="U12" s="37" t="n">
        <f aca="false">Options*MAX(0,1-OptK/DilPx)</f>
        <v>0</v>
      </c>
      <c r="V12" s="37" t="n">
        <f aca="false">Options*MAX(0,1-OptK/DilPx)</f>
        <v>0</v>
      </c>
      <c r="W12" s="37" t="n">
        <f aca="false">Options*MAX(0,1-OptK/DilPx)</f>
        <v>0</v>
      </c>
      <c r="X12" s="37" t="n">
        <f aca="false">Options*MAX(0,1-OptK/DilPx)</f>
        <v>0</v>
      </c>
      <c r="Y12" s="37" t="n">
        <f aca="false">Options*MAX(0,1-OptK/DilPx)</f>
        <v>0</v>
      </c>
      <c r="Z12" s="37" t="n">
        <f aca="false">Options*MAX(0,1-OptK/DilPx)</f>
        <v>0</v>
      </c>
      <c r="AA12" s="37" t="n">
        <f aca="false">Options*MAX(0,1-OptK/DilPx)</f>
        <v>0</v>
      </c>
      <c r="AB12" s="37" t="n">
        <f aca="false">Options*MAX(0,1-OptK/DilPx)</f>
        <v>0</v>
      </c>
      <c r="AC12" s="37" t="n">
        <f aca="false">Options*MAX(0,1-OptK/DilPx)</f>
        <v>0</v>
      </c>
      <c r="AD12" s="37" t="n">
        <f aca="false">Options*MAX(0,1-OptK/DilPx)</f>
        <v>0</v>
      </c>
      <c r="AE12" s="37" t="n">
        <f aca="false">Options*MAX(0,1-OptK/DilPx)</f>
        <v>0</v>
      </c>
      <c r="AF12" s="37" t="n">
        <f aca="false">Options*MAX(0,1-OptK/DilPx)</f>
        <v>0</v>
      </c>
      <c r="AG12" s="37" t="n">
        <f aca="false">Options*MAX(0,1-OptK/DilPx)</f>
        <v>0</v>
      </c>
      <c r="AI12" s="37" t="n">
        <f aca="false">INDEX($F12:$AG12,1,MATCH(AI$7,$F$7:$AG$7,1))</f>
        <v>0</v>
      </c>
      <c r="AJ12" s="37" t="n">
        <f aca="false">INDEX($F12:$AG12,1,MATCH(AJ$7,$F$7:$AG$7,1))</f>
        <v>0</v>
      </c>
      <c r="AK12" s="37" t="n">
        <f aca="false">INDEX($F12:$AG12,1,MATCH(AK$7,$F$7:$AG$7,1))</f>
        <v>0</v>
      </c>
      <c r="AL12" s="37" t="n">
        <f aca="false">INDEX($F12:$AG12,1,MATCH(AL$7,$F$7:$AG$7,1))</f>
        <v>0</v>
      </c>
      <c r="AM12" s="37" t="n">
        <f aca="false">INDEX($F12:$AG12,1,MATCH(AM$7,$F$7:$AG$7,1))</f>
        <v>0</v>
      </c>
      <c r="AN12" s="37" t="n">
        <f aca="false">INDEX($F12:$AG12,1,MATCH(AN$7,$F$7:$AG$7,1))</f>
        <v>0</v>
      </c>
      <c r="AO12" s="37" t="n">
        <f aca="false">INDEX($F12:$AG12,1,MATCH(AO$7,$F$7:$AG$7,1))</f>
        <v>0</v>
      </c>
    </row>
    <row r="13" customFormat="false" ht="15" hidden="false" customHeight="false" outlineLevel="0" collapsed="false">
      <c r="A13" s="101" t="s">
        <v>1932</v>
      </c>
      <c r="B13" s="18" t="s">
        <v>781</v>
      </c>
      <c r="C13" s="18" t="s">
        <v>389</v>
      </c>
      <c r="D13" s="18"/>
      <c r="F13" s="131" t="n">
        <f aca="false">RSU+EigenIn*Eigen</f>
        <v>6.234091</v>
      </c>
      <c r="G13" s="131" t="n">
        <f aca="false">RSU+EigenIn*Eigen</f>
        <v>6.234091</v>
      </c>
      <c r="H13" s="131" t="n">
        <f aca="false">RSU+EigenIn*Eigen</f>
        <v>6.234091</v>
      </c>
      <c r="I13" s="131" t="n">
        <f aca="false">RSU+EigenIn*Eigen</f>
        <v>6.234091</v>
      </c>
      <c r="J13" s="131" t="n">
        <f aca="false">RSU+EigenIn*Eigen</f>
        <v>6.234091</v>
      </c>
      <c r="K13" s="131" t="n">
        <f aca="false">RSU+EigenIn*Eigen</f>
        <v>6.234091</v>
      </c>
      <c r="L13" s="131" t="n">
        <f aca="false">RSU+EigenIn*Eigen</f>
        <v>6.234091</v>
      </c>
      <c r="M13" s="131" t="n">
        <f aca="false">RSU+EigenIn*Eigen</f>
        <v>6.234091</v>
      </c>
      <c r="N13" s="131" t="n">
        <f aca="false">RSU+EigenIn*Eigen</f>
        <v>6.234091</v>
      </c>
      <c r="O13" s="131" t="n">
        <f aca="false">RSU+EigenIn*Eigen</f>
        <v>6.234091</v>
      </c>
      <c r="P13" s="37" t="n">
        <f aca="false">RSU+EigenIn*Eigen</f>
        <v>6.234091</v>
      </c>
      <c r="Q13" s="37" t="n">
        <f aca="false">RSU+EigenIn*Eigen</f>
        <v>6.234091</v>
      </c>
      <c r="R13" s="37" t="n">
        <f aca="false">RSU+EigenIn*Eigen</f>
        <v>6.234091</v>
      </c>
      <c r="S13" s="37" t="n">
        <f aca="false">RSU+EigenIn*Eigen</f>
        <v>6.234091</v>
      </c>
      <c r="T13" s="37" t="n">
        <f aca="false">RSU+EigenIn*Eigen</f>
        <v>6.234091</v>
      </c>
      <c r="U13" s="37" t="n">
        <f aca="false">RSU+EigenIn*Eigen</f>
        <v>6.234091</v>
      </c>
      <c r="V13" s="37" t="n">
        <f aca="false">RSU+EigenIn*Eigen</f>
        <v>6.234091</v>
      </c>
      <c r="W13" s="37" t="n">
        <f aca="false">RSU+EigenIn*Eigen</f>
        <v>6.234091</v>
      </c>
      <c r="X13" s="37" t="n">
        <f aca="false">RSU+EigenIn*Eigen</f>
        <v>6.234091</v>
      </c>
      <c r="Y13" s="37" t="n">
        <f aca="false">RSU+EigenIn*Eigen</f>
        <v>6.234091</v>
      </c>
      <c r="Z13" s="37" t="n">
        <f aca="false">RSU+EigenIn*Eigen</f>
        <v>6.234091</v>
      </c>
      <c r="AA13" s="37" t="n">
        <f aca="false">RSU+EigenIn*Eigen</f>
        <v>6.234091</v>
      </c>
      <c r="AB13" s="37" t="n">
        <f aca="false">RSU+EigenIn*Eigen</f>
        <v>6.234091</v>
      </c>
      <c r="AC13" s="37" t="n">
        <f aca="false">RSU+EigenIn*Eigen</f>
        <v>6.234091</v>
      </c>
      <c r="AD13" s="37" t="n">
        <f aca="false">RSU+EigenIn*Eigen</f>
        <v>6.234091</v>
      </c>
      <c r="AE13" s="37" t="n">
        <f aca="false">RSU+EigenIn*Eigen</f>
        <v>6.234091</v>
      </c>
      <c r="AF13" s="37" t="n">
        <f aca="false">RSU+EigenIn*Eigen</f>
        <v>6.234091</v>
      </c>
      <c r="AG13" s="37" t="n">
        <f aca="false">RSU+EigenIn*Eigen</f>
        <v>6.234091</v>
      </c>
      <c r="AI13" s="37" t="n">
        <f aca="false">INDEX($F13:$AG13,1,MATCH(AI$7,$F$7:$AG$7,1))</f>
        <v>6.234091</v>
      </c>
      <c r="AJ13" s="37" t="n">
        <f aca="false">INDEX($F13:$AG13,1,MATCH(AJ$7,$F$7:$AG$7,1))</f>
        <v>6.234091</v>
      </c>
      <c r="AK13" s="37" t="n">
        <f aca="false">INDEX($F13:$AG13,1,MATCH(AK$7,$F$7:$AG$7,1))</f>
        <v>6.234091</v>
      </c>
      <c r="AL13" s="37" t="n">
        <f aca="false">INDEX($F13:$AG13,1,MATCH(AL$7,$F$7:$AG$7,1))</f>
        <v>6.234091</v>
      </c>
      <c r="AM13" s="37" t="n">
        <f aca="false">INDEX($F13:$AG13,1,MATCH(AM$7,$F$7:$AG$7,1))</f>
        <v>6.234091</v>
      </c>
      <c r="AN13" s="37" t="n">
        <f aca="false">INDEX($F13:$AG13,1,MATCH(AN$7,$F$7:$AG$7,1))</f>
        <v>6.234091</v>
      </c>
      <c r="AO13" s="37" t="n">
        <f aca="false">INDEX($F13:$AG13,1,MATCH(AO$7,$F$7:$AG$7,1))</f>
        <v>6.234091</v>
      </c>
    </row>
    <row r="14" customFormat="false" ht="15" hidden="false" customHeight="false" outlineLevel="0" collapsed="false">
      <c r="A14" s="101" t="s">
        <v>1933</v>
      </c>
      <c r="B14" s="18" t="s">
        <v>781</v>
      </c>
      <c r="C14" s="18" t="s">
        <v>1709</v>
      </c>
      <c r="D14" s="18"/>
      <c r="F14" s="131" t="n">
        <f aca="false">INDEX(CV_dil,1,1)</f>
        <v>0</v>
      </c>
      <c r="G14" s="131" t="n">
        <f aca="false">INDEX(CV_dil,1,2)</f>
        <v>0</v>
      </c>
      <c r="H14" s="131" t="n">
        <f aca="false">INDEX(CV_dil,1,3)</f>
        <v>0</v>
      </c>
      <c r="I14" s="131" t="n">
        <f aca="false">INDEX(CV_dil,1,4)</f>
        <v>0</v>
      </c>
      <c r="J14" s="131" t="n">
        <f aca="false">INDEX(CV_dil,1,5)</f>
        <v>0</v>
      </c>
      <c r="K14" s="131" t="n">
        <f aca="false">INDEX(CV_dil,1,6)</f>
        <v>18.9503925</v>
      </c>
      <c r="L14" s="131" t="n">
        <f aca="false">INDEX(CV_dil,1,7)</f>
        <v>18.9503925</v>
      </c>
      <c r="M14" s="131" t="n">
        <f aca="false">INDEX(CV_dil,1,8)</f>
        <v>18.9503925</v>
      </c>
      <c r="N14" s="131" t="n">
        <f aca="false">INDEX(CV_dil,1,9)</f>
        <v>18.9503925</v>
      </c>
      <c r="O14" s="131" t="n">
        <f aca="false">INDEX(CV_dil,1,10)</f>
        <v>18.9503925</v>
      </c>
      <c r="P14" s="37" t="n">
        <f aca="false">INDEX(CV_dil,1,11)</f>
        <v>3.4013525</v>
      </c>
      <c r="Q14" s="37" t="n">
        <f aca="false">INDEX(CV_dil,1,12)</f>
        <v>3.4013525</v>
      </c>
      <c r="R14" s="37" t="n">
        <f aca="false">INDEX(CV_dil,1,13)</f>
        <v>3.4013525</v>
      </c>
      <c r="S14" s="37" t="n">
        <f aca="false">INDEX(CV_dil,1,14)</f>
        <v>3.4013525</v>
      </c>
      <c r="T14" s="37" t="n">
        <f aca="false">INDEX(CV_dil,1,15)</f>
        <v>3.4013525</v>
      </c>
      <c r="U14" s="37" t="n">
        <f aca="false">INDEX(CV_dil,1,16)</f>
        <v>3.4013525</v>
      </c>
      <c r="V14" s="37" t="n">
        <f aca="false">INDEX(CV_dil,1,17)</f>
        <v>3.4013525</v>
      </c>
      <c r="W14" s="37" t="n">
        <f aca="false">INDEX(CV_dil,1,18)</f>
        <v>3.4013525</v>
      </c>
      <c r="X14" s="37" t="n">
        <f aca="false">INDEX(CV_dil,1,19)</f>
        <v>3.4013525</v>
      </c>
      <c r="Y14" s="37" t="n">
        <f aca="false">INDEX(CV_dil,1,20)</f>
        <v>3.4013525</v>
      </c>
      <c r="Z14" s="37" t="n">
        <f aca="false">INDEX(CV_dil,1,21)</f>
        <v>3.4013525</v>
      </c>
      <c r="AA14" s="37" t="n">
        <f aca="false">INDEX(CV_dil,1,22)</f>
        <v>1.70067625</v>
      </c>
      <c r="AB14" s="37" t="n">
        <f aca="false">INDEX(CV_dil,1,23)</f>
        <v>1.70067625</v>
      </c>
      <c r="AC14" s="37" t="n">
        <f aca="false">INDEX(CV_dil,1,24)</f>
        <v>1.70067625</v>
      </c>
      <c r="AD14" s="37" t="n">
        <f aca="false">INDEX(CV_dil,1,25)</f>
        <v>1.70067625</v>
      </c>
      <c r="AE14" s="37" t="n">
        <f aca="false">INDEX(CV_dil,1,26)</f>
        <v>1.70067625</v>
      </c>
      <c r="AF14" s="37" t="n">
        <f aca="false">INDEX(CV_dil,1,27)</f>
        <v>1.70067625</v>
      </c>
      <c r="AG14" s="37" t="n">
        <f aca="false">INDEX(CV_dil,1,28)</f>
        <v>1.70067625</v>
      </c>
      <c r="AI14" s="37" t="n">
        <f aca="false">INDEX($F14:$AG14,1,MATCH(AI$7,$F$7:$AG$7,1))</f>
        <v>0</v>
      </c>
      <c r="AJ14" s="37" t="n">
        <f aca="false">INDEX($F14:$AG14,1,MATCH(AJ$7,$F$7:$AG$7,1))</f>
        <v>18.9503925</v>
      </c>
      <c r="AK14" s="37" t="n">
        <f aca="false">INDEX($F14:$AG14,1,MATCH(AK$7,$F$7:$AG$7,1))</f>
        <v>3.4013525</v>
      </c>
      <c r="AL14" s="37" t="n">
        <f aca="false">INDEX($F14:$AG14,1,MATCH(AL$7,$F$7:$AG$7,1))</f>
        <v>3.4013525</v>
      </c>
      <c r="AM14" s="37" t="n">
        <f aca="false">INDEX($F14:$AG14,1,MATCH(AM$7,$F$7:$AG$7,1))</f>
        <v>3.4013525</v>
      </c>
      <c r="AN14" s="37" t="n">
        <f aca="false">INDEX($F14:$AG14,1,MATCH(AN$7,$F$7:$AG$7,1))</f>
        <v>1.70067625</v>
      </c>
      <c r="AO14" s="37" t="n">
        <f aca="false">INDEX($F14:$AG14,1,MATCH(AO$7,$F$7:$AG$7,1))</f>
        <v>1.70067625</v>
      </c>
    </row>
    <row r="15" customFormat="false" ht="15" hidden="false" customHeight="false" outlineLevel="0" collapsed="false">
      <c r="A15" s="3" t="s">
        <v>1934</v>
      </c>
      <c r="B15" s="18" t="s">
        <v>781</v>
      </c>
      <c r="C15" s="18" t="s">
        <v>336</v>
      </c>
      <c r="D15" s="18"/>
      <c r="F15" s="132" t="n">
        <f aca="false">F11+F12+F13+F14</f>
        <v>205.574091</v>
      </c>
      <c r="G15" s="132" t="n">
        <f aca="false">G11+G12+G13+G14</f>
        <v>205.574091</v>
      </c>
      <c r="H15" s="132" t="n">
        <f aca="false">H11+H12+H13+H14</f>
        <v>205.574209</v>
      </c>
      <c r="I15" s="132" t="n">
        <f aca="false">I11+I12+I13+I14</f>
        <v>241.987691</v>
      </c>
      <c r="J15" s="132" t="n">
        <f aca="false">J11+J12+J13+J14</f>
        <v>244.342922</v>
      </c>
      <c r="K15" s="132" t="n">
        <f aca="false">K11+K12+K13+K14</f>
        <v>263.8895755</v>
      </c>
      <c r="L15" s="132" t="n">
        <f aca="false">L11+L12+L13+L14</f>
        <v>276.9917055</v>
      </c>
      <c r="M15" s="132" t="n">
        <f aca="false">M11+M12+M13+M14</f>
        <v>278.2014545</v>
      </c>
      <c r="N15" s="132" t="n">
        <f aca="false">N11+N12+N13+N14</f>
        <v>300.1486135</v>
      </c>
      <c r="O15" s="132" t="n">
        <f aca="false">O11+O12+O13+O14</f>
        <v>318.1056375</v>
      </c>
      <c r="P15" s="55" t="n">
        <f aca="false">P11+P12+P13+P14</f>
        <v>318.3265975</v>
      </c>
      <c r="Q15" s="55" t="n">
        <f aca="false">Q11+Q12+Q13+Q14</f>
        <v>318.3265975</v>
      </c>
      <c r="R15" s="55" t="n">
        <f aca="false">R11+R12+R13+R14</f>
        <v>318.3265975</v>
      </c>
      <c r="S15" s="55" t="n">
        <f aca="false">S11+S12+S13+S14</f>
        <v>320.901695267986</v>
      </c>
      <c r="T15" s="55" t="n">
        <f aca="false">T11+T12+T13+T14</f>
        <v>334.02127608479</v>
      </c>
      <c r="U15" s="55" t="n">
        <f aca="false">U11+U12+U13+U14</f>
        <v>339.979740253195</v>
      </c>
      <c r="V15" s="55" t="n">
        <f aca="false">V11+V12+V13+V14</f>
        <v>344.86048132109</v>
      </c>
      <c r="W15" s="55" t="n">
        <f aca="false">W11+W12+W13+W14</f>
        <v>346.945667905061</v>
      </c>
      <c r="X15" s="55" t="n">
        <f aca="false">X11+X12+X13+X14</f>
        <v>357.862677072013</v>
      </c>
      <c r="Y15" s="55" t="n">
        <f aca="false">Y11+Y12+Y13+Y14</f>
        <v>359.886339842123</v>
      </c>
      <c r="Z15" s="55" t="n">
        <f aca="false">Z11+Z12+Z13+Z14</f>
        <v>369.43059129124</v>
      </c>
      <c r="AA15" s="55" t="n">
        <f aca="false">AA11+AA12+AA13+AA14</f>
        <v>371.478491677504</v>
      </c>
      <c r="AB15" s="55" t="n">
        <f aca="false">AB11+AB12+AB13+AB14</f>
        <v>385.032655177218</v>
      </c>
      <c r="AC15" s="55" t="n">
        <f aca="false">AC11+AC12+AC13+AC14</f>
        <v>385.032655177218</v>
      </c>
      <c r="AD15" s="55" t="n">
        <f aca="false">AD11+AD12+AD13+AD14</f>
        <v>385.032655177218</v>
      </c>
      <c r="AE15" s="55" t="n">
        <f aca="false">AE11+AE12+AE13+AE14</f>
        <v>385.032655177218</v>
      </c>
      <c r="AF15" s="55" t="n">
        <f aca="false">AF11+AF12+AF13+AF14</f>
        <v>396.429040177218</v>
      </c>
      <c r="AG15" s="55" t="n">
        <f aca="false">AG11+AG12+AG13+AG14</f>
        <v>396.429040177218</v>
      </c>
      <c r="AI15" s="55" t="n">
        <f aca="false">INDEX($F15:$AG15,1,MATCH(AI$7,$F$7:$AG$7,1))</f>
        <v>241.987691</v>
      </c>
      <c r="AJ15" s="55" t="n">
        <f aca="false">INDEX($F15:$AG15,1,MATCH(AJ$7,$F$7:$AG$7,1))</f>
        <v>278.2014545</v>
      </c>
      <c r="AK15" s="55" t="n">
        <f aca="false">INDEX($F15:$AG15,1,MATCH(AK$7,$F$7:$AG$7,1))</f>
        <v>318.3265975</v>
      </c>
      <c r="AL15" s="55" t="n">
        <f aca="false">INDEX($F15:$AG15,1,MATCH(AL$7,$F$7:$AG$7,1))</f>
        <v>339.979740253195</v>
      </c>
      <c r="AM15" s="55" t="n">
        <f aca="false">INDEX($F15:$AG15,1,MATCH(AM$7,$F$7:$AG$7,1))</f>
        <v>359.886339842123</v>
      </c>
      <c r="AN15" s="55" t="n">
        <f aca="false">INDEX($F15:$AG15,1,MATCH(AN$7,$F$7:$AG$7,1))</f>
        <v>385.032655177218</v>
      </c>
      <c r="AO15" s="55" t="n">
        <f aca="false">INDEX($F15:$AG15,1,MATCH(AO$7,$F$7:$AG$7,1))</f>
        <v>396.429040177218</v>
      </c>
    </row>
    <row r="16" customFormat="false" ht="15" hidden="false" customHeight="false" outlineLevel="0" collapsed="false">
      <c r="A16" s="101" t="s">
        <v>1935</v>
      </c>
      <c r="B16" s="18" t="s">
        <v>388</v>
      </c>
      <c r="C16" s="18"/>
      <c r="D16" s="18"/>
      <c r="F16" s="125" t="n">
        <f aca="false">F14/F11</f>
        <v>0</v>
      </c>
      <c r="G16" s="125" t="n">
        <f aca="false">G14/G11</f>
        <v>0</v>
      </c>
      <c r="H16" s="125" t="n">
        <f aca="false">H14/H11</f>
        <v>0</v>
      </c>
      <c r="I16" s="125" t="n">
        <f aca="false">I14/I11</f>
        <v>0</v>
      </c>
      <c r="J16" s="125" t="n">
        <f aca="false">J14/J11</f>
        <v>0</v>
      </c>
      <c r="K16" s="125" t="n">
        <f aca="false">K14/K11</f>
        <v>0.0793883043768501</v>
      </c>
      <c r="L16" s="125" t="n">
        <f aca="false">L14/L11</f>
        <v>0.0752575416601832</v>
      </c>
      <c r="M16" s="125" t="n">
        <f aca="false">M14/M11</f>
        <v>0.0748977130866056</v>
      </c>
      <c r="N16" s="125" t="n">
        <f aca="false">N14/N11</f>
        <v>0.0689195077917982</v>
      </c>
      <c r="O16" s="125" t="n">
        <f aca="false">O14/O11</f>
        <v>0.0646945167367462</v>
      </c>
      <c r="P16" s="27" t="n">
        <f aca="false">P14/P11</f>
        <v>0.0110186264035282</v>
      </c>
      <c r="Q16" s="27" t="n">
        <f aca="false">Q14/Q11</f>
        <v>0.0110186264035282</v>
      </c>
      <c r="R16" s="27" t="n">
        <f aca="false">R14/R11</f>
        <v>0.0110186264035282</v>
      </c>
      <c r="S16" s="27" t="n">
        <f aca="false">S14/S11</f>
        <v>0.0109274695881111</v>
      </c>
      <c r="T16" s="27" t="n">
        <f aca="false">T14/T11</f>
        <v>0.010485514958829</v>
      </c>
      <c r="U16" s="27" t="n">
        <f aca="false">U14/U11</f>
        <v>0.010296386326116</v>
      </c>
      <c r="V16" s="27" t="n">
        <f aca="false">V14/V11</f>
        <v>0.0101464751025408</v>
      </c>
      <c r="W16" s="27" t="n">
        <f aca="false">W14/W11</f>
        <v>0.0100837515554093</v>
      </c>
      <c r="X16" s="27" t="n">
        <f aca="false">X14/X11</f>
        <v>0.00976762347134634</v>
      </c>
      <c r="Y16" s="27" t="n">
        <f aca="false">Y14/Y11</f>
        <v>0.00971118856660278</v>
      </c>
      <c r="Z16" s="27" t="n">
        <f aca="false">Z14/Z11</f>
        <v>0.00945358079696375</v>
      </c>
      <c r="AA16" s="27" t="n">
        <f aca="false">AA14/AA11</f>
        <v>0.00467805145771163</v>
      </c>
      <c r="AB16" s="27" t="n">
        <f aca="false">AB14/AB11</f>
        <v>0.00450990659042949</v>
      </c>
      <c r="AC16" s="27" t="n">
        <f aca="false">AC14/AC11</f>
        <v>0.00450990659042949</v>
      </c>
      <c r="AD16" s="27" t="n">
        <f aca="false">AD14/AD11</f>
        <v>0.00450990659042949</v>
      </c>
      <c r="AE16" s="27" t="n">
        <f aca="false">AE14/AE11</f>
        <v>0.00450990659042949</v>
      </c>
      <c r="AF16" s="27" t="n">
        <f aca="false">AF14/AF11</f>
        <v>0.004377609577577</v>
      </c>
      <c r="AG16" s="27" t="n">
        <f aca="false">AG14/AG11</f>
        <v>0.004377609577577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823</v>
      </c>
    </row>
    <row r="2" customFormat="false" ht="15" hidden="false" customHeight="false" outlineLevel="0" collapsed="false">
      <c r="A2" s="18" t="s">
        <v>1936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1937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101" t="s">
        <v>1938</v>
      </c>
      <c r="B11" s="18" t="s">
        <v>400</v>
      </c>
      <c r="C11" s="18" t="s">
        <v>1857</v>
      </c>
      <c r="D11" s="18"/>
      <c r="F11" s="119" t="n">
        <f aca="false">INDEX(CF_UFCF,1,1)</f>
        <v>0</v>
      </c>
      <c r="G11" s="119" t="n">
        <f aca="false">INDEX(CF_UFCF,1,2)</f>
        <v>0</v>
      </c>
      <c r="H11" s="119" t="n">
        <f aca="false">INDEX(CF_UFCF,1,3)</f>
        <v>0</v>
      </c>
      <c r="I11" s="119" t="n">
        <f aca="false">INDEX(CF_UFCF,1,4)</f>
        <v>0</v>
      </c>
      <c r="J11" s="119" t="n">
        <f aca="false">INDEX(CF_UFCF,1,5)</f>
        <v>0</v>
      </c>
      <c r="K11" s="119" t="n">
        <f aca="false">INDEX(CF_UFCF,1,6)</f>
        <v>0</v>
      </c>
      <c r="L11" s="119" t="n">
        <f aca="false">INDEX(CF_UFCF,1,7)</f>
        <v>0</v>
      </c>
      <c r="M11" s="119" t="n">
        <f aca="false">INDEX(CF_UFCF,1,8)</f>
        <v>0</v>
      </c>
      <c r="N11" s="119" t="n">
        <f aca="false">INDEX(CF_UFCF,1,9)</f>
        <v>0</v>
      </c>
      <c r="O11" s="119" t="n">
        <f aca="false">INDEX(CF_UFCF,1,10)</f>
        <v>0</v>
      </c>
      <c r="P11" s="120" t="n">
        <f aca="false">INDEX(CF_UFCF,1,11)</f>
        <v>-2381.55915806848</v>
      </c>
      <c r="Q11" s="120" t="n">
        <f aca="false">INDEX(CF_UFCF,1,12)</f>
        <v>-3375.80632478373</v>
      </c>
      <c r="R11" s="120" t="n">
        <f aca="false">INDEX(CF_UFCF,1,13)</f>
        <v>-3797.19988346701</v>
      </c>
      <c r="S11" s="120" t="n">
        <f aca="false">INDEX(CF_UFCF,1,14)</f>
        <v>-4138.82178129771</v>
      </c>
      <c r="T11" s="120" t="n">
        <f aca="false">INDEX(CF_UFCF,1,15)</f>
        <v>-6108.61360009172</v>
      </c>
      <c r="U11" s="120" t="n">
        <f aca="false">INDEX(CF_UFCF,1,16)</f>
        <v>-2681.28460432787</v>
      </c>
      <c r="V11" s="120" t="n">
        <f aca="false">INDEX(CF_UFCF,1,17)</f>
        <v>-2154.3881690806</v>
      </c>
      <c r="W11" s="120" t="n">
        <f aca="false">INDEX(CF_UFCF,1,18)</f>
        <v>-865.375402360089</v>
      </c>
      <c r="X11" s="120" t="n">
        <f aca="false">INDEX(CF_UFCF,1,19)</f>
        <v>-5019.24066596288</v>
      </c>
      <c r="Y11" s="120" t="n">
        <f aca="false">INDEX(CF_UFCF,1,20)</f>
        <v>-796.629892651072</v>
      </c>
      <c r="Z11" s="120" t="n">
        <f aca="false">INDEX(CF_UFCF,1,21)</f>
        <v>-4333.02474841416</v>
      </c>
      <c r="AA11" s="120" t="n">
        <f aca="false">INDEX(CF_UFCF,1,22)</f>
        <v>-772.854053568959</v>
      </c>
      <c r="AB11" s="120" t="n">
        <f aca="false">INDEX(CF_UFCF,1,23)</f>
        <v>-6186.63230568897</v>
      </c>
      <c r="AC11" s="120" t="n">
        <f aca="false">INDEX(CF_UFCF,1,24)</f>
        <v>2858.65383856557</v>
      </c>
      <c r="AD11" s="120" t="n">
        <f aca="false">INDEX(CF_UFCF,1,25)</f>
        <v>3778.65400337771</v>
      </c>
      <c r="AE11" s="120" t="n">
        <f aca="false">INDEX(CF_UFCF,1,26)</f>
        <v>4508.28016795774</v>
      </c>
      <c r="AF11" s="120" t="n">
        <f aca="false">INDEX(CF_UFCF,1,27)</f>
        <v>4263.52331425108</v>
      </c>
      <c r="AG11" s="120" t="n">
        <f aca="false">INDEX(CF_UFCF,1,28)</f>
        <v>3636.12077786255</v>
      </c>
      <c r="AI11" s="120" t="n">
        <f aca="false">SUMIF($F$7:$AG$7,AI$7,$F11:$AG11)</f>
        <v>0</v>
      </c>
      <c r="AJ11" s="120" t="n">
        <f aca="false">SUMIF($F$7:$AG$7,AJ$7,$F11:$AG11)</f>
        <v>0</v>
      </c>
      <c r="AK11" s="120" t="n">
        <f aca="false">SUMIF($F$7:$AG$7,AK$7,$F11:$AG11)</f>
        <v>-5757.3654828522</v>
      </c>
      <c r="AL11" s="120" t="n">
        <f aca="false">SUMIF($F$7:$AG$7,AL$7,$F11:$AG11)</f>
        <v>-16725.9198691843</v>
      </c>
      <c r="AM11" s="120" t="n">
        <f aca="false">SUMIF($F$7:$AG$7,AM$7,$F11:$AG11)</f>
        <v>-8835.63413005465</v>
      </c>
      <c r="AN11" s="120" t="n">
        <f aca="false">SUMIF($F$7:$AG$7,AN$7,$F11:$AG11)</f>
        <v>-8433.85726910653</v>
      </c>
      <c r="AO11" s="120" t="n">
        <f aca="false">SUMIF($F$7:$AG$7,AO$7,$F11:$AG11)</f>
        <v>16186.5782634491</v>
      </c>
    </row>
    <row r="12" customFormat="false" ht="15" hidden="false" customHeight="false" outlineLevel="0" collapsed="false">
      <c r="A12" s="101" t="s">
        <v>1939</v>
      </c>
      <c r="B12" s="18" t="s">
        <v>504</v>
      </c>
      <c r="C12" s="18" t="s">
        <v>336</v>
      </c>
      <c r="D12" s="18"/>
      <c r="F12" s="122" t="n">
        <f aca="false">IF(F$4&gt;ValDate,1/(1+WACC)^((F$4-ValDate)/365.25),0)</f>
        <v>0</v>
      </c>
      <c r="G12" s="122" t="n">
        <f aca="false">IF(G$4&gt;ValDate,1/(1+WACC)^((G$4-ValDate)/365.25),0)</f>
        <v>0</v>
      </c>
      <c r="H12" s="122" t="n">
        <f aca="false">IF(H$4&gt;ValDate,1/(1+WACC)^((H$4-ValDate)/365.25),0)</f>
        <v>0</v>
      </c>
      <c r="I12" s="122" t="n">
        <f aca="false">IF(I$4&gt;ValDate,1/(1+WACC)^((I$4-ValDate)/365.25),0)</f>
        <v>0</v>
      </c>
      <c r="J12" s="122" t="n">
        <f aca="false">IF(J$4&gt;ValDate,1/(1+WACC)^((J$4-ValDate)/365.25),0)</f>
        <v>0</v>
      </c>
      <c r="K12" s="122" t="n">
        <f aca="false">IF(K$4&gt;ValDate,1/(1+WACC)^((K$4-ValDate)/365.25),0)</f>
        <v>0</v>
      </c>
      <c r="L12" s="122" t="n">
        <f aca="false">IF(L$4&gt;ValDate,1/(1+WACC)^((L$4-ValDate)/365.25),0)</f>
        <v>0</v>
      </c>
      <c r="M12" s="122" t="n">
        <f aca="false">IF(M$4&gt;ValDate,1/(1+WACC)^((M$4-ValDate)/365.25),0)</f>
        <v>0</v>
      </c>
      <c r="N12" s="122" t="n">
        <f aca="false">IF(N$4&gt;ValDate,1/(1+WACC)^((N$4-ValDate)/365.25),0)</f>
        <v>0</v>
      </c>
      <c r="O12" s="122" t="n">
        <f aca="false">IF(O$4&gt;ValDate,1/(1+WACC)^((O$4-ValDate)/365.25),0)</f>
        <v>0</v>
      </c>
      <c r="P12" s="45" t="n">
        <f aca="false">IF(P$4&gt;ValDate,1/(1+WACC)^((P$4-ValDate)/365.25),0)</f>
        <v>0</v>
      </c>
      <c r="Q12" s="45" t="n">
        <f aca="false">IF(Q$4&gt;ValDate,1/(1+WACC)^((Q$4-ValDate)/365.25),0)</f>
        <v>0.975169917110395</v>
      </c>
      <c r="R12" s="45" t="n">
        <f aca="false">IF(R$4&gt;ValDate,1/(1+WACC)^((R$4-ValDate)/365.25),0)</f>
        <v>0.950413103878456</v>
      </c>
      <c r="S12" s="45" t="n">
        <f aca="false">IF(S$4&gt;ValDate,1/(1+WACC)^((S$4-ValDate)/365.25),0)</f>
        <v>0.926020174017693</v>
      </c>
      <c r="T12" s="45" t="n">
        <f aca="false">IF(T$4&gt;ValDate,1/(1+WACC)^((T$4-ValDate)/365.25),0)</f>
        <v>0.901995546596339</v>
      </c>
      <c r="U12" s="45" t="n">
        <f aca="false">IF(U$4&gt;ValDate,1/(1+WACC)^((U$4-ValDate)/365.25),0)</f>
        <v>0.878594213071736</v>
      </c>
      <c r="V12" s="45" t="n">
        <f aca="false">IF(V$4&gt;ValDate,1/(1+WACC)^((V$4-ValDate)/365.25),0)</f>
        <v>0.856044558686635</v>
      </c>
      <c r="W12" s="45" t="n">
        <f aca="false">IF(W$4&gt;ValDate,1/(1+WACC)^((W$4-ValDate)/365.25),0)</f>
        <v>0.834073654884364</v>
      </c>
      <c r="X12" s="45" t="n">
        <f aca="false">IF(X$4&gt;ValDate,1/(1+WACC)^((X$4-ValDate)/365.25),0)</f>
        <v>0.812434483986365</v>
      </c>
      <c r="Y12" s="45" t="n">
        <f aca="false">IF(Y$4&gt;ValDate,1/(1+WACC)^((Y$4-ValDate)/365.25),0)</f>
        <v>0.791356718804048</v>
      </c>
      <c r="Z12" s="45" t="n">
        <f aca="false">IF(Z$4&gt;ValDate,1/(1+WACC)^((Z$4-ValDate)/365.25),0)</f>
        <v>0.771266404138348</v>
      </c>
      <c r="AA12" s="45" t="n">
        <f aca="false">IF(AA$4&gt;ValDate,1/(1+WACC)^((AA$4-ValDate)/365.25),0)</f>
        <v>0.751471383190788</v>
      </c>
      <c r="AB12" s="45" t="n">
        <f aca="false">IF(AB$4&gt;ValDate,1/(1+WACC)^((AB$4-ValDate)/365.25),0)</f>
        <v>0.731975242063928</v>
      </c>
      <c r="AC12" s="45" t="n">
        <f aca="false">IF(AC$4&gt;ValDate,1/(1+WACC)^((AC$4-ValDate)/365.25),0)</f>
        <v>0.712984907980876</v>
      </c>
      <c r="AD12" s="45" t="n">
        <f aca="false">IF(AD$4&gt;ValDate,1/(1+WACC)^((AD$4-ValDate)/365.25),0)</f>
        <v>0.694884232504362</v>
      </c>
      <c r="AE12" s="45" t="n">
        <f aca="false">IF(AE$4&gt;ValDate,1/(1+WACC)^((AE$4-ValDate)/365.25),0)</f>
        <v>0.677049606407923</v>
      </c>
      <c r="AF12" s="45" t="n">
        <f aca="false">IF(AF$4&gt;ValDate,1/(1+WACC)^((AF$4-ValDate)/365.25),0)</f>
        <v>0.659484260645365</v>
      </c>
      <c r="AG12" s="45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01" t="s">
        <v>1940</v>
      </c>
      <c r="B13" s="18" t="s">
        <v>400</v>
      </c>
      <c r="C13" s="18" t="s">
        <v>336</v>
      </c>
      <c r="D13" s="18"/>
      <c r="F13" s="119" t="n">
        <f aca="false">F11*F12</f>
        <v>0</v>
      </c>
      <c r="G13" s="119" t="n">
        <f aca="false">G11*G12</f>
        <v>0</v>
      </c>
      <c r="H13" s="119" t="n">
        <f aca="false">H11*H12</f>
        <v>0</v>
      </c>
      <c r="I13" s="119" t="n">
        <f aca="false">I11*I12</f>
        <v>0</v>
      </c>
      <c r="J13" s="119" t="n">
        <f aca="false">J11*J12</f>
        <v>0</v>
      </c>
      <c r="K13" s="119" t="n">
        <f aca="false">K11*K12</f>
        <v>0</v>
      </c>
      <c r="L13" s="119" t="n">
        <f aca="false">L11*L12</f>
        <v>0</v>
      </c>
      <c r="M13" s="119" t="n">
        <f aca="false">M11*M12</f>
        <v>0</v>
      </c>
      <c r="N13" s="119" t="n">
        <f aca="false">N11*N12</f>
        <v>0</v>
      </c>
      <c r="O13" s="119" t="n">
        <f aca="false">O11*O12</f>
        <v>0</v>
      </c>
      <c r="P13" s="120" t="n">
        <f aca="false">P11*P12</f>
        <v>-0</v>
      </c>
      <c r="Q13" s="120" t="n">
        <f aca="false">Q11*Q12</f>
        <v>-3291.98477392009</v>
      </c>
      <c r="R13" s="120" t="n">
        <f aca="false">R11*R12</f>
        <v>-3608.90852729279</v>
      </c>
      <c r="S13" s="120" t="n">
        <f aca="false">S11*S12</f>
        <v>-3832.63246614552</v>
      </c>
      <c r="T13" s="120" t="n">
        <f aca="false">T11*T12</f>
        <v>-5509.94226316056</v>
      </c>
      <c r="U13" s="120" t="n">
        <f aca="false">U11*U12</f>
        <v>-2355.7611369608</v>
      </c>
      <c r="V13" s="120" t="n">
        <f aca="false">V11*V12</f>
        <v>-1844.25226944031</v>
      </c>
      <c r="W13" s="120" t="n">
        <f aca="false">W11*W12</f>
        <v>-721.786824693507</v>
      </c>
      <c r="X13" s="120" t="n">
        <f aca="false">X11*X12</f>
        <v>-4077.80420045493</v>
      </c>
      <c r="Y13" s="120" t="n">
        <f aca="false">Y11*Y12</f>
        <v>-630.418417949573</v>
      </c>
      <c r="Z13" s="120" t="n">
        <f aca="false">Z11*Z12</f>
        <v>-3341.91641675186</v>
      </c>
      <c r="AA13" s="120" t="n">
        <f aca="false">AA11*AA12</f>
        <v>-580.777704640073</v>
      </c>
      <c r="AB13" s="120" t="n">
        <f aca="false">AB11*AB12</f>
        <v>-4528.4616795172</v>
      </c>
      <c r="AC13" s="120" t="n">
        <f aca="false">AC11*AC12</f>
        <v>2038.17704403885</v>
      </c>
      <c r="AD13" s="120" t="n">
        <f aca="false">AD11*AD12</f>
        <v>2625.72708703666</v>
      </c>
      <c r="AE13" s="120" t="n">
        <f aca="false">AE11*AE12</f>
        <v>3052.32931329243</v>
      </c>
      <c r="AF13" s="120" t="n">
        <f aca="false">AF11*AF12</f>
        <v>2811.72652064315</v>
      </c>
      <c r="AG13" s="120" t="n">
        <f aca="false">AG11*AG12</f>
        <v>2335.75173733319</v>
      </c>
      <c r="AI13" s="120" t="n">
        <f aca="false">SUMIF($F$7:$AG$7,AI$7,$F13:$AG13)</f>
        <v>0</v>
      </c>
      <c r="AJ13" s="120" t="n">
        <f aca="false">SUMIF($F$7:$AG$7,AJ$7,$F13:$AG13)</f>
        <v>0</v>
      </c>
      <c r="AK13" s="120" t="n">
        <f aca="false">SUMIF($F$7:$AG$7,AK$7,$F13:$AG13)</f>
        <v>-3291.98477392009</v>
      </c>
      <c r="AL13" s="120" t="n">
        <f aca="false">SUMIF($F$7:$AG$7,AL$7,$F13:$AG13)</f>
        <v>-15307.2443935597</v>
      </c>
      <c r="AM13" s="120" t="n">
        <f aca="false">SUMIF($F$7:$AG$7,AM$7,$F13:$AG13)</f>
        <v>-7274.26171253832</v>
      </c>
      <c r="AN13" s="120" t="n">
        <f aca="false">SUMIF($F$7:$AG$7,AN$7,$F13:$AG13)</f>
        <v>-6412.97875687029</v>
      </c>
      <c r="AO13" s="120" t="n">
        <f aca="false">SUMIF($F$7:$AG$7,AO$7,$F13:$AG13)</f>
        <v>10825.5346583054</v>
      </c>
    </row>
    <row r="16" customFormat="false" ht="15" hidden="false" customHeight="false" outlineLevel="0" collapsed="false">
      <c r="A16" s="48" t="s">
        <v>1941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</row>
    <row r="17" customFormat="false" ht="15" hidden="false" customHeight="false" outlineLevel="0" collapsed="false">
      <c r="A17" s="101" t="s">
        <v>1942</v>
      </c>
      <c r="D17" s="18"/>
      <c r="E17" s="136" t="n">
        <f aca="false">IF(TGMode=1,MIN(TGCap,TermRR*TermRONC),TG)</f>
        <v>0.03</v>
      </c>
    </row>
    <row r="18" customFormat="false" ht="15" hidden="false" customHeight="false" outlineLevel="0" collapsed="false">
      <c r="A18" s="101" t="s">
        <v>1943</v>
      </c>
      <c r="D18" s="18"/>
      <c r="E18" s="103" t="n">
        <f aca="false">SUMIF(Q_Yr,2030,PL_Rev)</f>
        <v>42109.1859012656</v>
      </c>
    </row>
    <row r="19" customFormat="false" ht="15" hidden="false" customHeight="false" outlineLevel="0" collapsed="false">
      <c r="A19" s="101" t="s">
        <v>1944</v>
      </c>
      <c r="D19" s="18"/>
      <c r="E19" s="103" t="n">
        <f aca="false">SUMIF(Q_Yr,2030,PL_EBITDA)</f>
        <v>29446.7368797962</v>
      </c>
    </row>
    <row r="20" customFormat="false" ht="15" hidden="false" customHeight="false" outlineLevel="0" collapsed="false">
      <c r="A20" s="101" t="s">
        <v>1945</v>
      </c>
      <c r="D20" s="18"/>
      <c r="E20" s="103" t="n">
        <f aca="false">SUMIF(Q_Yr,2030,PL_DA)</f>
        <v>18662.4590029419</v>
      </c>
    </row>
    <row r="21" customFormat="false" ht="15" hidden="false" customHeight="false" outlineLevel="0" collapsed="false">
      <c r="A21" s="101" t="s">
        <v>1946</v>
      </c>
      <c r="D21" s="18"/>
      <c r="E21" s="45" t="n">
        <f aca="false">IFERROR((INDEX(MW_Act,1,28)+MW_Add31)/INDEX(MW_Act,1,28),1)</f>
        <v>1.19632949210414</v>
      </c>
    </row>
    <row r="22" customFormat="false" ht="15" hidden="false" customHeight="false" outlineLevel="0" collapsed="false">
      <c r="A22" s="101" t="s">
        <v>1947</v>
      </c>
      <c r="D22" s="18"/>
      <c r="E22" s="103" t="n">
        <f aca="false">4*INDEX(PL_EBITDA,1,28)</f>
        <v>30543.3451810825</v>
      </c>
    </row>
    <row r="23" customFormat="false" ht="15" hidden="false" customHeight="false" outlineLevel="0" collapsed="false">
      <c r="A23" s="101" t="s">
        <v>1948</v>
      </c>
      <c r="D23" s="18"/>
      <c r="E23" s="103" t="n">
        <f aca="false">IF(TermBase=0,V_EB30,V_EBX*IF(TermBase=1,V_TScale,1))*(1+V_g)</f>
        <v>31459.645536515</v>
      </c>
    </row>
    <row r="24" customFormat="false" ht="15" hidden="false" customHeight="false" outlineLevel="0" collapsed="false">
      <c r="A24" s="101" t="s">
        <v>1949</v>
      </c>
      <c r="D24" s="18"/>
      <c r="E24" s="103" t="n">
        <f aca="false">IF(TermBase=0,V_DA30,4*INDEX(PL_DA,1,28)*IF(TermBase=1,V_TScale,1))*(1+V_g)</f>
        <v>19304.4683315284</v>
      </c>
    </row>
    <row r="25" customFormat="false" ht="15" hidden="false" customHeight="false" outlineLevel="0" collapsed="false">
      <c r="A25" s="101" t="s">
        <v>1950</v>
      </c>
      <c r="D25" s="18" t="s">
        <v>1951</v>
      </c>
      <c r="E25" s="103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16492.304</v>
      </c>
    </row>
    <row r="26" customFormat="false" ht="15" hidden="false" customHeight="false" outlineLevel="0" collapsed="false">
      <c r="A26" s="101" t="s">
        <v>1952</v>
      </c>
      <c r="D26" s="18"/>
      <c r="E26" s="103" t="n">
        <f aca="false">SUMIF(Q_Yr,2030,Dep_Shell)+SUMIF(Q_Yr,2030,Dep_Pow)+SUMIF(Q_Yr,2030,CapMaint)</f>
        <v>2479.44611802531</v>
      </c>
    </row>
    <row r="27" customFormat="false" ht="15" hidden="false" customHeight="false" outlineLevel="0" collapsed="false">
      <c r="A27" s="101" t="s">
        <v>1953</v>
      </c>
      <c r="D27" s="18"/>
      <c r="E27" s="103" t="n">
        <f aca="false">IF(TGMode=1,IF(TermRONC&gt;0,V_g/TermRONC,0)*V_NOPAT,TG*INDEX(NBV,1,28))</f>
        <v>2210.92681072303</v>
      </c>
    </row>
    <row r="28" customFormat="false" ht="15" hidden="false" customHeight="false" outlineLevel="0" collapsed="false">
      <c r="A28" s="101" t="s">
        <v>1954</v>
      </c>
      <c r="D28" s="18"/>
      <c r="E28" s="103" t="n">
        <f aca="false">(V_GRepl+V_NonGPU)*(1+V_g)+V_GrowCx</f>
        <v>21751.8294322891</v>
      </c>
    </row>
    <row r="29" customFormat="false" ht="15" hidden="false" customHeight="false" outlineLevel="0" collapsed="false">
      <c r="A29" s="3" t="s">
        <v>1955</v>
      </c>
      <c r="D29" s="18"/>
      <c r="E29" s="109" t="n">
        <f aca="false">IF(TermMode=1,IF(ReplPxOn=1,V_CXReq,MAX(V_DAT*MaintRatio,V_CXReq)),V_DAT*MaintRatio)</f>
        <v>21751.8294322891</v>
      </c>
    </row>
    <row r="30" customFormat="false" ht="15" hidden="false" customHeight="false" outlineLevel="0" collapsed="false">
      <c r="A30" s="101" t="s">
        <v>1956</v>
      </c>
      <c r="D30" s="18"/>
      <c r="E30" s="34" t="str">
        <f aca="false">IF(V_CXT&gt;=V_GRepl*(1+V_g),"OK","FLAG: below GPU replacement")</f>
        <v>OK</v>
      </c>
    </row>
    <row r="31" customFormat="false" ht="15" hidden="false" customHeight="false" outlineLevel="0" collapsed="false">
      <c r="A31" s="101" t="s">
        <v>1957</v>
      </c>
      <c r="D31" s="18"/>
      <c r="E31" s="103" t="n">
        <f aca="false">MAX(0,V_EBT-IF(TermMode=1,IF(ReplPxOn=1,(V_GRepl+V_NonGPU)*(1+V_g),MAX(V_DAT,(V_GRepl+V_NonGPU)*(1+V_g))),V_DAT))*TaxRate</f>
        <v>3075.03567205683</v>
      </c>
    </row>
    <row r="32" customFormat="false" ht="15" hidden="false" customHeight="false" outlineLevel="0" collapsed="false">
      <c r="A32" s="101" t="s">
        <v>1958</v>
      </c>
      <c r="D32" s="18"/>
      <c r="E32" s="103" t="n">
        <f aca="false">IF(TermMode=1,IF(ReplPxOn=1,(V_GRepl+V_NonGPU)*(1+V_g),MAX(V_DAT,(V_GRepl+V_NonGPU)*(1+V_g))),V_DAT)</f>
        <v>19540.9026215661</v>
      </c>
    </row>
    <row r="33" customFormat="false" ht="15" hidden="false" customHeight="false" outlineLevel="0" collapsed="false">
      <c r="A33" s="101" t="s">
        <v>1959</v>
      </c>
      <c r="D33" s="18"/>
      <c r="E33" s="103" t="n">
        <f aca="false">V_EBT-V_Dss-V_TXT</f>
        <v>8843.70724289212</v>
      </c>
    </row>
    <row r="34" customFormat="false" ht="15" hidden="false" customHeight="false" outlineLevel="0" collapsed="false">
      <c r="A34" s="101" t="s">
        <v>1960</v>
      </c>
      <c r="D34" s="18"/>
      <c r="E34" s="27" t="n">
        <f aca="false">IF(V_NOPAT&lt;&gt;0,V_GrowCx/V_NOPAT,0)</f>
        <v>0.25</v>
      </c>
    </row>
    <row r="35" customFormat="false" ht="15" hidden="false" customHeight="false" outlineLevel="0" collapsed="false">
      <c r="A35" s="101" t="s">
        <v>1961</v>
      </c>
      <c r="D35" s="18"/>
      <c r="E35" s="27" t="n">
        <f aca="false">IFERROR(V_NOPAT/INDEX(NBV,1,28),0)</f>
        <v>0.145548148022988</v>
      </c>
    </row>
    <row r="36" customFormat="false" ht="15" hidden="false" customHeight="false" outlineLevel="0" collapsed="false">
      <c r="A36" s="3" t="s">
        <v>1962</v>
      </c>
      <c r="D36" s="18"/>
      <c r="E36" s="109" t="n">
        <f aca="false">V_EBT-V_TXT-V_CXT</f>
        <v>6632.78043216909</v>
      </c>
    </row>
    <row r="37" customFormat="false" ht="15" hidden="false" customHeight="false" outlineLevel="0" collapsed="false">
      <c r="A37" s="101" t="s">
        <v>1963</v>
      </c>
      <c r="D37" s="18"/>
      <c r="E37" s="103" t="n">
        <f aca="false">V_UFT/(WACC-V_g)</f>
        <v>82909.7554021136</v>
      </c>
    </row>
    <row r="38" customFormat="false" ht="15" hidden="false" customHeight="false" outlineLevel="0" collapsed="false">
      <c r="A38" s="101" t="s">
        <v>1964</v>
      </c>
      <c r="D38" s="18"/>
      <c r="E38" s="103" t="n">
        <f aca="false">V_EBT*ExitMult</f>
        <v>440435.03751121</v>
      </c>
    </row>
    <row r="39" customFormat="false" ht="15" hidden="false" customHeight="false" outlineLevel="0" collapsed="false">
      <c r="A39" s="101" t="s">
        <v>1965</v>
      </c>
      <c r="D39" s="18"/>
      <c r="E39" s="33" t="n">
        <f aca="false">IF(V_EBT&lt;&gt;0,V_TVG/V_EBT,0)</f>
        <v>2.63543196333477</v>
      </c>
    </row>
    <row r="40" customFormat="false" ht="15" hidden="false" customHeight="false" outlineLevel="0" collapsed="false">
      <c r="A40" s="101" t="s">
        <v>1966</v>
      </c>
      <c r="D40" s="18"/>
      <c r="E40" s="31" t="n">
        <f aca="false">IF(V_Rev30&lt;&gt;0,V_EB30/V_Rev30,0)</f>
        <v>0.699294850981936</v>
      </c>
    </row>
    <row r="41" customFormat="false" ht="15" hidden="false" customHeight="false" outlineLevel="0" collapsed="false">
      <c r="A41" s="101" t="s">
        <v>1967</v>
      </c>
      <c r="D41" s="18"/>
      <c r="E41" s="103" t="n">
        <f aca="false">DCFWeight*V_TVG+(1-DCFWeight)*V_TVM</f>
        <v>82909.7554021136</v>
      </c>
    </row>
    <row r="42" customFormat="false" ht="15" hidden="false" customHeight="false" outlineLevel="0" collapsed="false">
      <c r="A42" s="101" t="s">
        <v>1968</v>
      </c>
      <c r="D42" s="18"/>
      <c r="E42" s="103" t="n">
        <f aca="false">MAX(0,V_EBT-MAX(0,V_EBT-V_DAT)*TaxRate)*SUMPRODUCT((ROW($A$1:$A$10)&lt;=LQ_N/4)*(1-(ROW($A$1:$A$10)-1)/(LQ_N/4))/(1+WACC)^ROW($A$1:$A$10))</f>
        <v>67158.0073347312</v>
      </c>
    </row>
    <row r="43" customFormat="false" ht="15" hidden="false" customHeight="false" outlineLevel="0" collapsed="false">
      <c r="A43" s="3" t="s">
        <v>1969</v>
      </c>
      <c r="D43" s="18"/>
      <c r="E43" s="109" t="n">
        <f aca="false">IF(TVFloor=1,MAX(V_TVB,V_TVRO),V_TVB)</f>
        <v>82909.7554021136</v>
      </c>
    </row>
    <row r="44" customFormat="false" ht="15" hidden="false" customHeight="false" outlineLevel="0" collapsed="false">
      <c r="A44" s="101" t="s">
        <v>1970</v>
      </c>
      <c r="D44" s="18"/>
      <c r="E44" s="34" t="str">
        <f aca="false">IF(AND(TVFloor=1,V_TVRO&gt;V_TVB),"RUN-OFF (reinvestment value-destroying)","Going concern")</f>
        <v>Going concern</v>
      </c>
    </row>
    <row r="45" customFormat="false" ht="15" hidden="false" customHeight="false" outlineLevel="0" collapsed="false">
      <c r="A45" s="101" t="s">
        <v>1971</v>
      </c>
      <c r="D45" s="18"/>
      <c r="E45" s="45" t="n">
        <f aca="false">INDEX($F$12:$AG$12,1,28)</f>
        <v>0.64237462945503</v>
      </c>
    </row>
    <row r="46" customFormat="false" ht="15" hidden="false" customHeight="false" outlineLevel="0" collapsed="false">
      <c r="A46" s="101" t="s">
        <v>1972</v>
      </c>
      <c r="D46" s="18"/>
      <c r="E46" s="103" t="n">
        <f aca="false">V_TV*V_DF28</f>
        <v>53259.1234046399</v>
      </c>
    </row>
    <row r="47" customFormat="false" ht="15" hidden="false" customHeight="false" outlineLevel="0" collapsed="false">
      <c r="A47" s="101" t="s">
        <v>1973</v>
      </c>
      <c r="D47" s="18"/>
      <c r="E47" s="103" t="n">
        <f aca="false">SUM($F$13:$AG$13)</f>
        <v>-21460.934978583</v>
      </c>
    </row>
    <row r="48" customFormat="false" ht="15" hidden="false" customHeight="false" outlineLevel="0" collapsed="false">
      <c r="A48" s="3" t="s">
        <v>1974</v>
      </c>
      <c r="D48" s="18"/>
      <c r="E48" s="109" t="n">
        <f aca="false">V_PVF+V_PVTV</f>
        <v>31798.1884260569</v>
      </c>
    </row>
    <row r="49" customFormat="false" ht="15" hidden="false" customHeight="false" outlineLevel="0" collapsed="false">
      <c r="A49" s="101" t="s">
        <v>1975</v>
      </c>
      <c r="D49" s="18"/>
      <c r="E49" s="31" t="n">
        <f aca="false">IF(V_EV&lt;&gt;0,V_PVTV/V_EV,0)</f>
        <v>1.67491061726639</v>
      </c>
    </row>
    <row r="50" customFormat="false" ht="15" hidden="false" customHeight="false" outlineLevel="0" collapsed="false">
      <c r="A50" s="101" t="s">
        <v>1976</v>
      </c>
      <c r="D50" s="18" t="s">
        <v>1977</v>
      </c>
      <c r="E50" s="103" t="n">
        <v>40285.6557125299</v>
      </c>
    </row>
    <row r="51" customFormat="false" ht="15" hidden="false" customHeight="false" outlineLevel="0" collapsed="false">
      <c r="A51" s="101" t="s">
        <v>1978</v>
      </c>
      <c r="D51" s="18"/>
      <c r="E51" s="20" t="n">
        <v>97.0866087914474</v>
      </c>
    </row>
    <row r="52" customFormat="false" ht="15" hidden="false" customHeight="false" outlineLevel="0" collapsed="false">
      <c r="A52" s="101" t="s">
        <v>1979</v>
      </c>
      <c r="D52" s="18"/>
      <c r="E52" s="103" t="n">
        <v>31798.1884260569</v>
      </c>
    </row>
    <row r="53" customFormat="false" ht="15" hidden="false" customHeight="false" outlineLevel="0" collapsed="false">
      <c r="A53" s="101" t="s">
        <v>1980</v>
      </c>
      <c r="D53" s="18"/>
      <c r="E53" s="103" t="n">
        <v>181982.521844904</v>
      </c>
    </row>
    <row r="54" customFormat="false" ht="15" hidden="false" customHeight="false" outlineLevel="0" collapsed="false">
      <c r="A54" s="101" t="s">
        <v>1981</v>
      </c>
      <c r="D54" s="18"/>
      <c r="E54" s="103" t="n">
        <v>-10317.8942507918</v>
      </c>
    </row>
    <row r="55" customFormat="false" ht="15" hidden="false" customHeight="false" outlineLevel="0" collapsed="false">
      <c r="A55" s="101" t="s">
        <v>1982</v>
      </c>
      <c r="D55" s="18"/>
      <c r="E55" s="45" t="n">
        <v>0.82509878873241</v>
      </c>
    </row>
    <row r="56" customFormat="false" ht="15" hidden="false" customHeight="false" outlineLevel="0" collapsed="false">
      <c r="A56" s="101" t="s">
        <v>1983</v>
      </c>
      <c r="D56" s="18"/>
      <c r="E56" s="45" t="n">
        <v>0.82509878873241</v>
      </c>
    </row>
    <row r="57" customFormat="false" ht="15" hidden="false" customHeight="false" outlineLevel="0" collapsed="false">
      <c r="A57" s="101" t="s">
        <v>1984</v>
      </c>
      <c r="D57" s="18"/>
      <c r="E57" s="45" t="n">
        <v>0.82509878873241</v>
      </c>
    </row>
    <row r="59" customFormat="false" ht="15" hidden="false" customHeight="false" outlineLevel="0" collapsed="false">
      <c r="A59" s="48" t="s">
        <v>1985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</row>
    <row r="60" customFormat="false" ht="15" hidden="false" customHeight="false" outlineLevel="0" collapsed="false">
      <c r="A60" s="101" t="s">
        <v>1986</v>
      </c>
      <c r="D60" s="18"/>
      <c r="E60" s="29" t="n">
        <f aca="false">MATCH(ValDate,Q_End,1)</f>
        <v>11</v>
      </c>
    </row>
    <row r="61" customFormat="false" ht="15" hidden="false" customHeight="false" outlineLevel="0" collapsed="false">
      <c r="A61" s="101" t="s">
        <v>1987</v>
      </c>
      <c r="D61" s="18"/>
      <c r="E61" s="34" t="str">
        <f aca="false">INDEX(Q_Lab,1,V_Q)</f>
        <v>Q3'26</v>
      </c>
    </row>
    <row r="62" customFormat="false" ht="15" hidden="false" customHeight="false" outlineLevel="0" collapsed="false">
      <c r="A62" s="101" t="s">
        <v>1988</v>
      </c>
      <c r="D62" s="18" t="s">
        <v>1989</v>
      </c>
      <c r="E62" s="103" t="n">
        <f aca="false">INDEX(CF_NetDebt,1,V_Q)</f>
        <v>2101.53806791523</v>
      </c>
    </row>
    <row r="63" customFormat="false" ht="15" hidden="false" customHeight="false" outlineLevel="0" collapsed="false">
      <c r="A63" s="101" t="s">
        <v>1990</v>
      </c>
      <c r="D63" s="18"/>
      <c r="E63" s="103" t="n">
        <f aca="false">(CH_Lo+SOTPPt*(CH_Hi-CH_Lo))*(1-SOTP_Disc)</f>
        <v>2145</v>
      </c>
    </row>
    <row r="64" customFormat="false" ht="15" hidden="false" customHeight="false" outlineLevel="0" collapsed="false">
      <c r="A64" s="101" t="s">
        <v>1991</v>
      </c>
      <c r="D64" s="18"/>
      <c r="E64" s="103" t="n">
        <f aca="false">(TO_Lo+SOTPPt*(TO_Hi-TO_Lo))*(1-SOTP_Disc)</f>
        <v>64.875</v>
      </c>
    </row>
    <row r="65" customFormat="false" ht="15" hidden="false" customHeight="false" outlineLevel="0" collapsed="false">
      <c r="A65" s="101" t="s">
        <v>1992</v>
      </c>
      <c r="D65" s="18"/>
      <c r="E65" s="103" t="n">
        <f aca="false">(AV_Lo+SOTPPt*(AV_Hi-AV_Lo))*(1-SOTP_Disc)</f>
        <v>65.625</v>
      </c>
    </row>
    <row r="66" customFormat="false" ht="15" hidden="false" customHeight="false" outlineLevel="0" collapsed="false">
      <c r="A66" s="101" t="s">
        <v>1993</v>
      </c>
      <c r="D66" s="18"/>
      <c r="E66" s="103" t="n">
        <f aca="false">Other_Val*(1-SOTP_Disc)</f>
        <v>0</v>
      </c>
    </row>
    <row r="67" customFormat="false" ht="15" hidden="false" customHeight="false" outlineLevel="0" collapsed="false">
      <c r="A67" s="3" t="s">
        <v>1994</v>
      </c>
      <c r="D67" s="18"/>
      <c r="E67" s="109" t="n">
        <f aca="false">V_CH+V_TO+V_AV+V_OT</f>
        <v>2275.5</v>
      </c>
    </row>
    <row r="68" customFormat="false" ht="15" hidden="false" customHeight="false" outlineLevel="0" collapsed="false">
      <c r="A68" s="101" t="s">
        <v>1995</v>
      </c>
      <c r="D68" s="18"/>
      <c r="E68" s="103" t="n">
        <f aca="false">OffBS_Energy+OffBS_Lease+OpLease</f>
        <v>18995</v>
      </c>
    </row>
    <row r="69" customFormat="false" ht="15" hidden="false" customHeight="false" outlineLevel="0" collapsed="false">
      <c r="A69" s="101" t="s">
        <v>1996</v>
      </c>
      <c r="D69" s="18"/>
      <c r="E69" s="21" t="n">
        <f aca="false">INDEX(Sh_Dil,1,V_Q)</f>
        <v>318.3265975</v>
      </c>
    </row>
    <row r="71" customFormat="false" ht="15" hidden="false" customHeight="false" outlineLevel="0" collapsed="false">
      <c r="A71" s="48" t="s">
        <v>1997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customFormat="false" ht="15" hidden="false" customHeight="false" outlineLevel="0" collapsed="false">
      <c r="A72" s="3" t="s">
        <v>1998</v>
      </c>
      <c r="E72" s="3" t="s">
        <v>1999</v>
      </c>
      <c r="F72" s="3" t="s">
        <v>1814</v>
      </c>
      <c r="G72" s="3" t="s">
        <v>2000</v>
      </c>
      <c r="H72" s="3" t="s">
        <v>2001</v>
      </c>
    </row>
    <row r="73" customFormat="false" ht="15" hidden="false" customHeight="false" outlineLevel="0" collapsed="false">
      <c r="A73" s="0" t="s">
        <v>1728</v>
      </c>
      <c r="E73" s="21" t="n">
        <f aca="false">INDEX(CVo_0,1,V_Q)</f>
        <v>87.5</v>
      </c>
      <c r="F73" s="21" t="n">
        <f aca="false">INDEX(CVb_0,1,V_Q)</f>
        <v>93.4377364799465</v>
      </c>
      <c r="G73" s="39" t="n">
        <f aca="false">INDEX(CV_Rate,1)</f>
        <v>19.4363</v>
      </c>
      <c r="H73" s="20" t="n">
        <f aca="false">INDEX(CV_Px,1)</f>
        <v>51.4501216795378</v>
      </c>
    </row>
    <row r="74" customFormat="false" ht="15" hidden="false" customHeight="false" outlineLevel="0" collapsed="false">
      <c r="A74" s="0" t="s">
        <v>1731</v>
      </c>
      <c r="E74" s="21" t="n">
        <f aca="false">INDEX(CVo_1,1,V_Q)</f>
        <v>87.5</v>
      </c>
      <c r="F74" s="21" t="n">
        <f aca="false">INDEX(CVb_1,1,V_Q)</f>
        <v>92.4447199652961</v>
      </c>
      <c r="G74" s="39" t="n">
        <f aca="false">INDEX(CV_Rate,2)</f>
        <v>19.4363</v>
      </c>
      <c r="H74" s="20" t="n">
        <f aca="false">INDEX(CV_Px,2)</f>
        <v>51.4501216795378</v>
      </c>
    </row>
    <row r="75" customFormat="false" ht="15" hidden="false" customHeight="false" outlineLevel="0" collapsed="false">
      <c r="A75" s="0" t="s">
        <v>1733</v>
      </c>
      <c r="E75" s="21" t="n">
        <f aca="false">INDEX(CVo_2,1,V_Q)</f>
        <v>1581.25</v>
      </c>
      <c r="F75" s="21" t="n">
        <f aca="false">INDEX(CVb_2,1,V_Q)</f>
        <v>1630.60993975904</v>
      </c>
      <c r="G75" s="39" t="n">
        <f aca="false">INDEX(CV_Rate,3)</f>
        <v>7.2072</v>
      </c>
      <c r="H75" s="20" t="n">
        <f aca="false">INDEX(CV_Px,3)</f>
        <v>138.750138750139</v>
      </c>
    </row>
    <row r="76" customFormat="false" ht="15" hidden="false" customHeight="false" outlineLevel="0" collapsed="false">
      <c r="A76" s="0" t="s">
        <v>1735</v>
      </c>
      <c r="E76" s="21" t="n">
        <f aca="false">INDEX(CVo_3,1,V_Q)</f>
        <v>1581.25</v>
      </c>
      <c r="F76" s="21" t="n">
        <f aca="false">INDEX(CVb_3,1,V_Q)</f>
        <v>1616.4988267501</v>
      </c>
      <c r="G76" s="39" t="n">
        <f aca="false">INDEX(CV_Rate,4)</f>
        <v>7.2072</v>
      </c>
      <c r="H76" s="20" t="n">
        <f aca="false">INDEX(CV_Px,4)</f>
        <v>138.750138750139</v>
      </c>
    </row>
    <row r="77" customFormat="false" ht="15" hidden="false" customHeight="false" outlineLevel="0" collapsed="false">
      <c r="A77" s="0" t="s">
        <v>1736</v>
      </c>
      <c r="E77" s="21" t="n">
        <f aca="false">INDEX(CVo_4,1,V_Q)</f>
        <v>2587.5</v>
      </c>
      <c r="F77" s="21" t="n">
        <f aca="false">INDEX(CVb_4,1,V_Q)</f>
        <v>2642.63179571664</v>
      </c>
      <c r="G77" s="39" t="n">
        <f aca="false">INDEX(CV_Rate,5)</f>
        <v>5.4579</v>
      </c>
      <c r="H77" s="20" t="n">
        <f aca="false">INDEX(CV_Px,5)</f>
        <v>183.220652631965</v>
      </c>
    </row>
    <row r="78" customFormat="false" ht="15" hidden="false" customHeight="false" outlineLevel="0" collapsed="false">
      <c r="A78" s="0" t="s">
        <v>1738</v>
      </c>
      <c r="E78" s="21" t="n">
        <f aca="false">INDEX(CVo_5,1,V_Q)</f>
        <v>1750</v>
      </c>
      <c r="F78" s="21" t="n">
        <f aca="false">INDEX(CVb_5,1,V_Q)</f>
        <v>1776.6065830721</v>
      </c>
      <c r="G78" s="39" t="n">
        <f aca="false">INDEX(CV_Rate,6)</f>
        <v>5.546</v>
      </c>
      <c r="H78" s="20" t="n">
        <f aca="false">INDEX(CV_Px,6)</f>
        <v>180.310133429499</v>
      </c>
    </row>
    <row r="79" customFormat="false" ht="15" hidden="false" customHeight="false" outlineLevel="0" collapsed="false">
      <c r="A79" s="0" t="s">
        <v>1740</v>
      </c>
      <c r="E79" s="21" t="n">
        <f aca="false">INDEX(CVo_6,1,V_Q)</f>
        <v>3450</v>
      </c>
      <c r="F79" s="21" t="n">
        <f aca="false">INDEX(CVb_6,1,V_Q)</f>
        <v>3460.04327301338</v>
      </c>
      <c r="G79" s="39" t="n">
        <f aca="false">INDEX(CV_Rate,7)</f>
        <v>3.1902</v>
      </c>
      <c r="H79" s="20" t="n">
        <f aca="false">INDEX(CV_Px,7)</f>
        <v>313.459971161683</v>
      </c>
    </row>
    <row r="80" customFormat="false" ht="15" hidden="false" customHeight="false" outlineLevel="0" collapsed="false">
      <c r="A80" s="0" t="s">
        <v>1742</v>
      </c>
      <c r="E80" s="21" t="n">
        <f aca="false">INDEX(CVo_7,1,V_Q)</f>
        <v>2300</v>
      </c>
      <c r="F80" s="21" t="n">
        <f aca="false">INDEX(CVb_7,1,V_Q)</f>
        <v>2307.78733528551</v>
      </c>
      <c r="G80" s="39" t="n">
        <f aca="false">INDEX(CV_Rate,8)</f>
        <v>3.0802</v>
      </c>
      <c r="H80" s="20" t="n">
        <f aca="false">INDEX(CV_Px,8)</f>
        <v>324.654243230959</v>
      </c>
    </row>
    <row r="81" customFormat="false" ht="15" hidden="false" customHeight="false" outlineLevel="0" collapsed="false">
      <c r="A81" s="101" t="s">
        <v>2002</v>
      </c>
      <c r="D81" s="18"/>
      <c r="E81" s="103" t="n">
        <f aca="false">INDEX(CF_Cash,1,V_Q)</f>
        <v>12107.6396856815</v>
      </c>
    </row>
    <row r="82" customFormat="false" ht="15" hidden="false" customHeight="false" outlineLevel="0" collapsed="false">
      <c r="A82" s="101" t="s">
        <v>2003</v>
      </c>
      <c r="D82" s="18"/>
      <c r="E82" s="103" t="n">
        <f aca="false">INDEX(Sec_Bal,1,V_Q)+INDEX(CF_PlugBal,1,V_Q)</f>
        <v>775</v>
      </c>
    </row>
    <row r="83" customFormat="false" ht="15" hidden="false" customHeight="false" outlineLevel="0" collapsed="false">
      <c r="A83" s="101" t="s">
        <v>2004</v>
      </c>
      <c r="D83" s="18" t="s">
        <v>2005</v>
      </c>
      <c r="E83" s="37" t="n">
        <f aca="false">INDEX(Sh_EconBasic,1,V_Q)</f>
        <v>308.691154</v>
      </c>
    </row>
    <row r="84" customFormat="false" ht="15" hidden="false" customHeight="false" outlineLevel="0" collapsed="false">
      <c r="A84" s="101" t="s">
        <v>2006</v>
      </c>
      <c r="D84" s="18"/>
      <c r="E84" s="37" t="n">
        <f aca="false">RSU+EigenIn*Eigen</f>
        <v>6.234091</v>
      </c>
    </row>
    <row r="85" customFormat="false" ht="15" hidden="false" customHeight="false" outlineLevel="0" collapsed="false">
      <c r="A85" s="3" t="s">
        <v>2007</v>
      </c>
      <c r="E85" s="3" t="s">
        <v>2008</v>
      </c>
      <c r="F85" s="3" t="s">
        <v>2009</v>
      </c>
      <c r="G85" s="3" t="s">
        <v>2010</v>
      </c>
    </row>
    <row r="86" customFormat="false" ht="15" hidden="false" customHeight="false" outlineLevel="0" collapsed="false">
      <c r="A86" s="0" t="s">
        <v>2011</v>
      </c>
      <c r="E86" s="31" t="n">
        <f aca="false">0</f>
        <v>0</v>
      </c>
      <c r="F86" s="31" t="n">
        <f aca="false">OffBSWt</f>
        <v>0.5</v>
      </c>
      <c r="G86" s="31" t="n">
        <f aca="false">1</f>
        <v>1</v>
      </c>
    </row>
    <row r="87" customFormat="false" ht="15" hidden="false" customHeight="false" outlineLevel="0" collapsed="false">
      <c r="A87" s="0" t="s">
        <v>2012</v>
      </c>
      <c r="E87" s="20" t="n">
        <f aca="false">SharePx</f>
        <v>242.81</v>
      </c>
      <c r="F87" s="20" t="n">
        <f aca="false">SharePx</f>
        <v>242.81</v>
      </c>
      <c r="G87" s="20" t="n">
        <f aca="false">SharePx</f>
        <v>242.81</v>
      </c>
    </row>
    <row r="88" customFormat="false" ht="15" hidden="false" customHeight="false" outlineLevel="0" collapsed="false">
      <c r="A88" s="0" t="s">
        <v>2013</v>
      </c>
      <c r="E88" s="20" t="n">
        <f aca="false">MAX(0.01,(V_EV-E$86*V_OFF-V_ODEBT-CHOOSE(DilMethod,0,SUMPRODUCT((E87&lt;=$H$73:$H$80)*$F$73:$F$80),SUM($F$73:$F$80))+V_CASH+V_SOTP)/(V_BASIC+V_RSU+Options*MAX(0,1-OptK/E87)+CHOOSE(DilMethod,SUMPRODUCT($E$73:$E$80,$G$73:$G$80)/1000,SUMPRODUCT((E87&gt;$H$73:$H$80)*$E$73:$E$80*$G$73:$G$80)/1000,SUMPRODUCT((($E$73:$E$80*$G$73:$G$80/1000*E87-$F$73:$F$80)&gt;0)*($E$73:$E$80*$G$73:$G$80/1000*E87-$F$73:$F$80))/E87)))</f>
        <v>107.355421406456</v>
      </c>
      <c r="F88" s="20" t="n">
        <f aca="false">MAX(0.01,(V_EV-F$86*V_OFF-V_ODEBT-CHOOSE(DilMethod,0,SUMPRODUCT((F87&lt;=$H$73:$H$80)*$F$73:$F$80),SUM($F$73:$F$80))+V_CASH+V_SOTP)/(V_BASIC+V_RSU+Options*MAX(0,1-OptK/F87)+CHOOSE(DilMethod,SUMPRODUCT($E$73:$E$80,$G$73:$G$80)/1000,SUMPRODUCT((F87&gt;$H$73:$H$80)*$E$73:$E$80*$G$73:$G$80)/1000,SUMPRODUCT((($E$73:$E$80*$G$73:$G$80/1000*F87-$F$73:$F$80)&gt;0)*($E$73:$E$80*$G$73:$G$80/1000*F87-$F$73:$F$80))/F87)))</f>
        <v>81.6327482723562</v>
      </c>
      <c r="G88" s="20" t="n">
        <f aca="false">MAX(0.01,(V_EV-G$86*V_OFF-V_ODEBT-CHOOSE(DilMethod,0,SUMPRODUCT((G87&lt;=$H$73:$H$80)*$F$73:$F$80),SUM($F$73:$F$80))+V_CASH+V_SOTP)/(V_BASIC+V_RSU+Options*MAX(0,1-OptK/G87)+CHOOSE(DilMethod,SUMPRODUCT($E$73:$E$80,$G$73:$G$80)/1000,SUMPRODUCT((G87&gt;$H$73:$H$80)*$E$73:$E$80*$G$73:$G$80)/1000,SUMPRODUCT((($E$73:$E$80*$G$73:$G$80/1000*G87-$F$73:$F$80)&gt;0)*($E$73:$E$80*$G$73:$G$80/1000*G87-$F$73:$F$80))/G87)))</f>
        <v>55.9100751382561</v>
      </c>
    </row>
    <row r="89" customFormat="false" ht="15" hidden="false" customHeight="false" outlineLevel="0" collapsed="false">
      <c r="A89" s="0" t="s">
        <v>2014</v>
      </c>
      <c r="E89" s="20" t="n">
        <f aca="false">MAX(0.01,(V_EV-E$86*V_OFF-V_ODEBT-CHOOSE(DilMethod,0,SUMPRODUCT((E88&lt;=$H$73:$H$80)*$F$73:$F$80),SUM($F$73:$F$80))+V_CASH+V_SOTP)/(V_BASIC+V_RSU+Options*MAX(0,1-OptK/E88)+CHOOSE(DilMethod,SUMPRODUCT($E$73:$E$80,$G$73:$G$80)/1000,SUMPRODUCT((E88&gt;$H$73:$H$80)*$E$73:$E$80*$G$73:$G$80)/1000,SUMPRODUCT((($E$73:$E$80*$G$73:$G$80/1000*E88-$F$73:$F$80)&gt;0)*($E$73:$E$80*$G$73:$G$80/1000*E88-$F$73:$F$80))/E88)))</f>
        <v>100.068993726359</v>
      </c>
      <c r="F89" s="20" t="n">
        <f aca="false">MAX(0.01,(V_EV-F$86*V_OFF-V_ODEBT-CHOOSE(DilMethod,0,SUMPRODUCT((F88&lt;=$H$73:$H$80)*$F$73:$F$80),SUM($F$73:$F$80))+V_CASH+V_SOTP)/(V_BASIC+V_RSU+Options*MAX(0,1-OptK/F88)+CHOOSE(DilMethod,SUMPRODUCT($E$73:$E$80,$G$73:$G$80)/1000,SUMPRODUCT((F88&gt;$H$73:$H$80)*$E$73:$E$80*$G$73:$G$80)/1000,SUMPRODUCT((($E$73:$E$80*$G$73:$G$80/1000*F88-$F$73:$F$80)&gt;0)*($E$73:$E$80*$G$73:$G$80/1000*F88-$F$73:$F$80))/F88)))</f>
        <v>70.6024898159561</v>
      </c>
      <c r="G89" s="20" t="n">
        <f aca="false">MAX(0.01,(V_EV-G$86*V_OFF-V_ODEBT-CHOOSE(DilMethod,0,SUMPRODUCT((G88&lt;=$H$73:$H$80)*$F$73:$F$80),SUM($F$73:$F$80))+V_CASH+V_SOTP)/(V_BASIC+V_RSU+Options*MAX(0,1-OptK/G88)+CHOOSE(DilMethod,SUMPRODUCT($E$73:$E$80,$G$73:$G$80)/1000,SUMPRODUCT((G88&gt;$H$73:$H$80)*$E$73:$E$80*$G$73:$G$80)/1000,SUMPRODUCT((($E$73:$E$80*$G$73:$G$80/1000*G88-$F$73:$F$80)&gt;0)*($E$73:$E$80*$G$73:$G$80/1000*G88-$F$73:$F$80))/G88)))</f>
        <v>40.7667799676767</v>
      </c>
    </row>
    <row r="90" customFormat="false" ht="15" hidden="false" customHeight="false" outlineLevel="0" collapsed="false">
      <c r="A90" s="0" t="s">
        <v>2015</v>
      </c>
      <c r="E90" s="20" t="n">
        <f aca="false">MAX(0.01,(V_EV-E$86*V_OFF-V_ODEBT-CHOOSE(DilMethod,0,SUMPRODUCT((E89&lt;=$H$73:$H$80)*$F$73:$F$80),SUM($F$73:$F$80))+V_CASH+V_SOTP)/(V_BASIC+V_RSU+Options*MAX(0,1-OptK/E89)+CHOOSE(DilMethod,SUMPRODUCT($E$73:$E$80,$G$73:$G$80)/1000,SUMPRODUCT((E89&gt;$H$73:$H$80)*$E$73:$E$80*$G$73:$G$80)/1000,SUMPRODUCT((($E$73:$E$80*$G$73:$G$80/1000*E89-$F$73:$F$80)&gt;0)*($E$73:$E$80*$G$73:$G$80/1000*E89-$F$73:$F$80))/E89)))</f>
        <v>100.196094126873</v>
      </c>
      <c r="F90" s="20" t="n">
        <f aca="false">MAX(0.01,(V_EV-F$86*V_OFF-V_ODEBT-CHOOSE(DilMethod,0,SUMPRODUCT((F89&lt;=$H$73:$H$80)*$F$73:$F$80),SUM($F$73:$F$80))+V_CASH+V_SOTP)/(V_BASIC+V_RSU+Options*MAX(0,1-OptK/F89)+CHOOSE(DilMethod,SUMPRODUCT($E$73:$E$80,$G$73:$G$80)/1000,SUMPRODUCT((F89&gt;$H$73:$H$80)*$E$73:$E$80*$G$73:$G$80)/1000,SUMPRODUCT((($E$73:$E$80*$G$73:$G$80/1000*F89-$F$73:$F$80)&gt;0)*($E$73:$E$80*$G$73:$G$80/1000*F89-$F$73:$F$80))/F89)))</f>
        <v>70.6024898159561</v>
      </c>
      <c r="G90" s="20" t="n">
        <f aca="false">MAX(0.01,(V_EV-G$86*V_OFF-V_ODEBT-CHOOSE(DilMethod,0,SUMPRODUCT((G89&lt;=$H$73:$H$80)*$F$73:$F$80),SUM($F$73:$F$80))+V_CASH+V_SOTP)/(V_BASIC+V_RSU+Options*MAX(0,1-OptK/G89)+CHOOSE(DilMethod,SUMPRODUCT($E$73:$E$80,$G$73:$G$80)/1000,SUMPRODUCT((G89&gt;$H$73:$H$80)*$E$73:$E$80*$G$73:$G$80)/1000,SUMPRODUCT((($E$73:$E$80*$G$73:$G$80/1000*G89-$F$73:$F$80)&gt;0)*($E$73:$E$80*$G$73:$G$80/1000*G89-$F$73:$F$80))/G89)))</f>
        <v>40.616838772949</v>
      </c>
    </row>
    <row r="91" customFormat="false" ht="15" hidden="false" customHeight="false" outlineLevel="0" collapsed="false">
      <c r="A91" s="0" t="s">
        <v>2016</v>
      </c>
      <c r="E91" s="20" t="n">
        <f aca="false">MAX(0.01,(V_EV-E$86*V_OFF-V_ODEBT-CHOOSE(DilMethod,0,SUMPRODUCT((E90&lt;=$H$73:$H$80)*$F$73:$F$80),SUM($F$73:$F$80))+V_CASH+V_SOTP)/(V_BASIC+V_RSU+Options*MAX(0,1-OptK/E90)+CHOOSE(DilMethod,SUMPRODUCT($E$73:$E$80,$G$73:$G$80)/1000,SUMPRODUCT((E90&gt;$H$73:$H$80)*$E$73:$E$80*$G$73:$G$80)/1000,SUMPRODUCT((($E$73:$E$80*$G$73:$G$80/1000*E90-$F$73:$F$80)&gt;0)*($E$73:$E$80*$G$73:$G$80/1000*E90-$F$73:$F$80))/E90)))</f>
        <v>100.193715680748</v>
      </c>
      <c r="F91" s="20" t="n">
        <f aca="false">MAX(0.01,(V_EV-F$86*V_OFF-V_ODEBT-CHOOSE(DilMethod,0,SUMPRODUCT((F90&lt;=$H$73:$H$80)*$F$73:$F$80),SUM($F$73:$F$80))+V_CASH+V_SOTP)/(V_BASIC+V_RSU+Options*MAX(0,1-OptK/F90)+CHOOSE(DilMethod,SUMPRODUCT($E$73:$E$80,$G$73:$G$80)/1000,SUMPRODUCT((F90&gt;$H$73:$H$80)*$E$73:$E$80*$G$73:$G$80)/1000,SUMPRODUCT((($E$73:$E$80*$G$73:$G$80/1000*F90-$F$73:$F$80)&gt;0)*($E$73:$E$80*$G$73:$G$80/1000*F90-$F$73:$F$80))/F90)))</f>
        <v>70.6024898159561</v>
      </c>
      <c r="G91" s="20" t="n">
        <f aca="false">MAX(0.01,(V_EV-G$86*V_OFF-V_ODEBT-CHOOSE(DilMethod,0,SUMPRODUCT((G90&lt;=$H$73:$H$80)*$F$73:$F$80),SUM($F$73:$F$80))+V_CASH+V_SOTP)/(V_BASIC+V_RSU+Options*MAX(0,1-OptK/G90)+CHOOSE(DilMethod,SUMPRODUCT($E$73:$E$80,$G$73:$G$80)/1000,SUMPRODUCT((G90&gt;$H$73:$H$80)*$E$73:$E$80*$G$73:$G$80)/1000,SUMPRODUCT((($E$73:$E$80*$G$73:$G$80/1000*G90-$F$73:$F$80)&gt;0)*($E$73:$E$80*$G$73:$G$80/1000*G90-$F$73:$F$80))/G90)))</f>
        <v>40.616838772949</v>
      </c>
    </row>
    <row r="92" customFormat="false" ht="15" hidden="false" customHeight="false" outlineLevel="0" collapsed="false">
      <c r="A92" s="0" t="s">
        <v>2017</v>
      </c>
      <c r="E92" s="20" t="n">
        <f aca="false">MAX(0.01,(V_EV-E$86*V_OFF-V_ODEBT-CHOOSE(DilMethod,0,SUMPRODUCT((E91&lt;=$H$73:$H$80)*$F$73:$F$80),SUM($F$73:$F$80))+V_CASH+V_SOTP)/(V_BASIC+V_RSU+Options*MAX(0,1-OptK/E91)+CHOOSE(DilMethod,SUMPRODUCT($E$73:$E$80,$G$73:$G$80)/1000,SUMPRODUCT((E91&gt;$H$73:$H$80)*$E$73:$E$80*$G$73:$G$80)/1000,SUMPRODUCT((($E$73:$E$80*$G$73:$G$80/1000*E91-$F$73:$F$80)&gt;0)*($E$73:$E$80*$G$73:$G$80/1000*E91-$F$73:$F$80))/E91)))</f>
        <v>100.193760132476</v>
      </c>
      <c r="F92" s="20" t="n">
        <f aca="false">MAX(0.01,(V_EV-F$86*V_OFF-V_ODEBT-CHOOSE(DilMethod,0,SUMPRODUCT((F91&lt;=$H$73:$H$80)*$F$73:$F$80),SUM($F$73:$F$80))+V_CASH+V_SOTP)/(V_BASIC+V_RSU+Options*MAX(0,1-OptK/F91)+CHOOSE(DilMethod,SUMPRODUCT($E$73:$E$80,$G$73:$G$80)/1000,SUMPRODUCT((F91&gt;$H$73:$H$80)*$E$73:$E$80*$G$73:$G$80)/1000,SUMPRODUCT((($E$73:$E$80*$G$73:$G$80/1000*F91-$F$73:$F$80)&gt;0)*($E$73:$E$80*$G$73:$G$80/1000*F91-$F$73:$F$80))/F91)))</f>
        <v>70.6024898159561</v>
      </c>
      <c r="G92" s="20" t="n">
        <f aca="false">MAX(0.01,(V_EV-G$86*V_OFF-V_ODEBT-CHOOSE(DilMethod,0,SUMPRODUCT((G91&lt;=$H$73:$H$80)*$F$73:$F$80),SUM($F$73:$F$80))+V_CASH+V_SOTP)/(V_BASIC+V_RSU+Options*MAX(0,1-OptK/G91)+CHOOSE(DilMethod,SUMPRODUCT($E$73:$E$80,$G$73:$G$80)/1000,SUMPRODUCT((G91&gt;$H$73:$H$80)*$E$73:$E$80*$G$73:$G$80)/1000,SUMPRODUCT((($E$73:$E$80*$G$73:$G$80/1000*G91-$F$73:$F$80)&gt;0)*($E$73:$E$80*$G$73:$G$80/1000*G91-$F$73:$F$80))/G91)))</f>
        <v>40.616838772949</v>
      </c>
    </row>
    <row r="93" customFormat="false" ht="15" hidden="false" customHeight="false" outlineLevel="0" collapsed="false">
      <c r="A93" s="0" t="s">
        <v>2018</v>
      </c>
      <c r="E93" s="20" t="n">
        <f aca="false">MAX(0.01,(V_EV-E$86*V_OFF-V_ODEBT-CHOOSE(DilMethod,0,SUMPRODUCT((E92&lt;=$H$73:$H$80)*$F$73:$F$80),SUM($F$73:$F$80))+V_CASH+V_SOTP)/(V_BASIC+V_RSU+Options*MAX(0,1-OptK/E92)+CHOOSE(DilMethod,SUMPRODUCT($E$73:$E$80,$G$73:$G$80)/1000,SUMPRODUCT((E92&gt;$H$73:$H$80)*$E$73:$E$80*$G$73:$G$80)/1000,SUMPRODUCT((($E$73:$E$80*$G$73:$G$80/1000*E92-$F$73:$F$80)&gt;0)*($E$73:$E$80*$G$73:$G$80/1000*E92-$F$73:$F$80))/E92)))</f>
        <v>100.193759301681</v>
      </c>
      <c r="F93" s="20" t="n">
        <f aca="false">MAX(0.01,(V_EV-F$86*V_OFF-V_ODEBT-CHOOSE(DilMethod,0,SUMPRODUCT((F92&lt;=$H$73:$H$80)*$F$73:$F$80),SUM($F$73:$F$80))+V_CASH+V_SOTP)/(V_BASIC+V_RSU+Options*MAX(0,1-OptK/F92)+CHOOSE(DilMethod,SUMPRODUCT($E$73:$E$80,$G$73:$G$80)/1000,SUMPRODUCT((F92&gt;$H$73:$H$80)*$E$73:$E$80*$G$73:$G$80)/1000,SUMPRODUCT((($E$73:$E$80*$G$73:$G$80/1000*F92-$F$73:$F$80)&gt;0)*($E$73:$E$80*$G$73:$G$80/1000*F92-$F$73:$F$80))/F92)))</f>
        <v>70.6024898159561</v>
      </c>
      <c r="G93" s="20" t="n">
        <f aca="false">MAX(0.01,(V_EV-G$86*V_OFF-V_ODEBT-CHOOSE(DilMethod,0,SUMPRODUCT((G92&lt;=$H$73:$H$80)*$F$73:$F$80),SUM($F$73:$F$80))+V_CASH+V_SOTP)/(V_BASIC+V_RSU+Options*MAX(0,1-OptK/G92)+CHOOSE(DilMethod,SUMPRODUCT($E$73:$E$80,$G$73:$G$80)/1000,SUMPRODUCT((G92&gt;$H$73:$H$80)*$E$73:$E$80*$G$73:$G$80)/1000,SUMPRODUCT((($E$73:$E$80*$G$73:$G$80/1000*G92-$F$73:$F$80)&gt;0)*($E$73:$E$80*$G$73:$G$80/1000*G92-$F$73:$F$80))/G92)))</f>
        <v>40.616838772949</v>
      </c>
    </row>
    <row r="94" customFormat="false" ht="15" hidden="false" customHeight="false" outlineLevel="0" collapsed="false">
      <c r="A94" s="0" t="s">
        <v>2019</v>
      </c>
      <c r="E94" s="20" t="n">
        <f aca="false">MAX(0.01,(V_EV-E$86*V_OFF-V_ODEBT-CHOOSE(DilMethod,0,SUMPRODUCT((E93&lt;=$H$73:$H$80)*$F$73:$F$80),SUM($F$73:$F$80))+V_CASH+V_SOTP)/(V_BASIC+V_RSU+Options*MAX(0,1-OptK/E93)+CHOOSE(DilMethod,SUMPRODUCT($E$73:$E$80,$G$73:$G$80)/1000,SUMPRODUCT((E93&gt;$H$73:$H$80)*$E$73:$E$80*$G$73:$G$80)/1000,SUMPRODUCT((($E$73:$E$80*$G$73:$G$80/1000*E93-$F$73:$F$80)&gt;0)*($E$73:$E$80*$G$73:$G$80/1000*E93-$F$73:$F$80))/E93)))</f>
        <v>100.193759317208</v>
      </c>
      <c r="F94" s="20" t="n">
        <f aca="false">MAX(0.01,(V_EV-F$86*V_OFF-V_ODEBT-CHOOSE(DilMethod,0,SUMPRODUCT((F93&lt;=$H$73:$H$80)*$F$73:$F$80),SUM($F$73:$F$80))+V_CASH+V_SOTP)/(V_BASIC+V_RSU+Options*MAX(0,1-OptK/F93)+CHOOSE(DilMethod,SUMPRODUCT($E$73:$E$80,$G$73:$G$80)/1000,SUMPRODUCT((F93&gt;$H$73:$H$80)*$E$73:$E$80*$G$73:$G$80)/1000,SUMPRODUCT((($E$73:$E$80*$G$73:$G$80/1000*F93-$F$73:$F$80)&gt;0)*($E$73:$E$80*$G$73:$G$80/1000*F93-$F$73:$F$80))/F93)))</f>
        <v>70.6024898159561</v>
      </c>
      <c r="G94" s="20" t="n">
        <f aca="false">MAX(0.01,(V_EV-G$86*V_OFF-V_ODEBT-CHOOSE(DilMethod,0,SUMPRODUCT((G93&lt;=$H$73:$H$80)*$F$73:$F$80),SUM($F$73:$F$80))+V_CASH+V_SOTP)/(V_BASIC+V_RSU+Options*MAX(0,1-OptK/G93)+CHOOSE(DilMethod,SUMPRODUCT($E$73:$E$80,$G$73:$G$80)/1000,SUMPRODUCT((G93&gt;$H$73:$H$80)*$E$73:$E$80*$G$73:$G$80)/1000,SUMPRODUCT((($E$73:$E$80*$G$73:$G$80/1000*G93-$F$73:$F$80)&gt;0)*($E$73:$E$80*$G$73:$G$80/1000*G93-$F$73:$F$80))/G93)))</f>
        <v>40.616838772949</v>
      </c>
    </row>
    <row r="95" customFormat="false" ht="15" hidden="false" customHeight="false" outlineLevel="0" collapsed="false">
      <c r="A95" s="0" t="s">
        <v>2020</v>
      </c>
      <c r="E95" s="20" t="n">
        <f aca="false">MAX(0.01,(V_EV-E$86*V_OFF-V_ODEBT-CHOOSE(DilMethod,0,SUMPRODUCT((E94&lt;=$H$73:$H$80)*$F$73:$F$80),SUM($F$73:$F$80))+V_CASH+V_SOTP)/(V_BASIC+V_RSU+Options*MAX(0,1-OptK/E94)+CHOOSE(DilMethod,SUMPRODUCT($E$73:$E$80,$G$73:$G$80)/1000,SUMPRODUCT((E94&gt;$H$73:$H$80)*$E$73:$E$80*$G$73:$G$80)/1000,SUMPRODUCT((($E$73:$E$80*$G$73:$G$80/1000*E94-$F$73:$F$80)&gt;0)*($E$73:$E$80*$G$73:$G$80/1000*E94-$F$73:$F$80))/E94)))</f>
        <v>100.193759316918</v>
      </c>
      <c r="F95" s="20" t="n">
        <f aca="false">MAX(0.01,(V_EV-F$86*V_OFF-V_ODEBT-CHOOSE(DilMethod,0,SUMPRODUCT((F94&lt;=$H$73:$H$80)*$F$73:$F$80),SUM($F$73:$F$80))+V_CASH+V_SOTP)/(V_BASIC+V_RSU+Options*MAX(0,1-OptK/F94)+CHOOSE(DilMethod,SUMPRODUCT($E$73:$E$80,$G$73:$G$80)/1000,SUMPRODUCT((F94&gt;$H$73:$H$80)*$E$73:$E$80*$G$73:$G$80)/1000,SUMPRODUCT((($E$73:$E$80*$G$73:$G$80/1000*F94-$F$73:$F$80)&gt;0)*($E$73:$E$80*$G$73:$G$80/1000*F94-$F$73:$F$80))/F94)))</f>
        <v>70.6024898159561</v>
      </c>
      <c r="G95" s="20" t="n">
        <f aca="false">MAX(0.01,(V_EV-G$86*V_OFF-V_ODEBT-CHOOSE(DilMethod,0,SUMPRODUCT((G94&lt;=$H$73:$H$80)*$F$73:$F$80),SUM($F$73:$F$80))+V_CASH+V_SOTP)/(V_BASIC+V_RSU+Options*MAX(0,1-OptK/G94)+CHOOSE(DilMethod,SUMPRODUCT($E$73:$E$80,$G$73:$G$80)/1000,SUMPRODUCT((G94&gt;$H$73:$H$80)*$E$73:$E$80*$G$73:$G$80)/1000,SUMPRODUCT((($E$73:$E$80*$G$73:$G$80/1000*G94-$F$73:$F$80)&gt;0)*($E$73:$E$80*$G$73:$G$80/1000*G94-$F$73:$F$80))/G94)))</f>
        <v>40.616838772949</v>
      </c>
    </row>
    <row r="96" customFormat="false" ht="15" hidden="false" customHeight="false" outlineLevel="0" collapsed="false">
      <c r="A96" s="0" t="s">
        <v>2021</v>
      </c>
      <c r="E96" s="20" t="n">
        <f aca="false">MAX(0.01,(V_EV-E$86*V_OFF-V_ODEBT-CHOOSE(DilMethod,0,SUMPRODUCT((E95&lt;=$H$73:$H$80)*$F$73:$F$80),SUM($F$73:$F$80))+V_CASH+V_SOTP)/(V_BASIC+V_RSU+Options*MAX(0,1-OptK/E95)+CHOOSE(DilMethod,SUMPRODUCT($E$73:$E$80,$G$73:$G$80)/1000,SUMPRODUCT((E95&gt;$H$73:$H$80)*$E$73:$E$80*$G$73:$G$80)/1000,SUMPRODUCT((($E$73:$E$80*$G$73:$G$80/1000*E95-$F$73:$F$80)&gt;0)*($E$73:$E$80*$G$73:$G$80/1000*E95-$F$73:$F$80))/E95)))</f>
        <v>100.193759316923</v>
      </c>
      <c r="F96" s="20" t="n">
        <f aca="false">MAX(0.01,(V_EV-F$86*V_OFF-V_ODEBT-CHOOSE(DilMethod,0,SUMPRODUCT((F95&lt;=$H$73:$H$80)*$F$73:$F$80),SUM($F$73:$F$80))+V_CASH+V_SOTP)/(V_BASIC+V_RSU+Options*MAX(0,1-OptK/F95)+CHOOSE(DilMethod,SUMPRODUCT($E$73:$E$80,$G$73:$G$80)/1000,SUMPRODUCT((F95&gt;$H$73:$H$80)*$E$73:$E$80*$G$73:$G$80)/1000,SUMPRODUCT((($E$73:$E$80*$G$73:$G$80/1000*F95-$F$73:$F$80)&gt;0)*($E$73:$E$80*$G$73:$G$80/1000*F95-$F$73:$F$80))/F95)))</f>
        <v>70.6024898159561</v>
      </c>
      <c r="G96" s="20" t="n">
        <f aca="false">MAX(0.01,(V_EV-G$86*V_OFF-V_ODEBT-CHOOSE(DilMethod,0,SUMPRODUCT((G95&lt;=$H$73:$H$80)*$F$73:$F$80),SUM($F$73:$F$80))+V_CASH+V_SOTP)/(V_BASIC+V_RSU+Options*MAX(0,1-OptK/G95)+CHOOSE(DilMethod,SUMPRODUCT($E$73:$E$80,$G$73:$G$80)/1000,SUMPRODUCT((G95&gt;$H$73:$H$80)*$E$73:$E$80*$G$73:$G$80)/1000,SUMPRODUCT((($E$73:$E$80*$G$73:$G$80/1000*G95-$F$73:$F$80)&gt;0)*($E$73:$E$80*$G$73:$G$80/1000*G95-$F$73:$F$80))/G95)))</f>
        <v>40.616838772949</v>
      </c>
    </row>
    <row r="97" customFormat="false" ht="15" hidden="false" customHeight="false" outlineLevel="0" collapsed="false">
      <c r="A97" s="0" t="s">
        <v>2022</v>
      </c>
      <c r="E97" s="20" t="n">
        <f aca="false">MAX(0.01,(V_EV-E$86*V_OFF-V_ODEBT-CHOOSE(DilMethod,0,SUMPRODUCT((E96&lt;=$H$73:$H$80)*$F$73:$F$80),SUM($F$73:$F$80))+V_CASH+V_SOTP)/(V_BASIC+V_RSU+Options*MAX(0,1-OptK/E96)+CHOOSE(DilMethod,SUMPRODUCT($E$73:$E$80,$G$73:$G$80)/1000,SUMPRODUCT((E96&gt;$H$73:$H$80)*$E$73:$E$80*$G$73:$G$80)/1000,SUMPRODUCT((($E$73:$E$80*$G$73:$G$80/1000*E96-$F$73:$F$80)&gt;0)*($E$73:$E$80*$G$73:$G$80/1000*E96-$F$73:$F$80))/E96)))</f>
        <v>100.193759316923</v>
      </c>
      <c r="F97" s="20" t="n">
        <f aca="false">MAX(0.01,(V_EV-F$86*V_OFF-V_ODEBT-CHOOSE(DilMethod,0,SUMPRODUCT((F96&lt;=$H$73:$H$80)*$F$73:$F$80),SUM($F$73:$F$80))+V_CASH+V_SOTP)/(V_BASIC+V_RSU+Options*MAX(0,1-OptK/F96)+CHOOSE(DilMethod,SUMPRODUCT($E$73:$E$80,$G$73:$G$80)/1000,SUMPRODUCT((F96&gt;$H$73:$H$80)*$E$73:$E$80*$G$73:$G$80)/1000,SUMPRODUCT((($E$73:$E$80*$G$73:$G$80/1000*F96-$F$73:$F$80)&gt;0)*($E$73:$E$80*$G$73:$G$80/1000*F96-$F$73:$F$80))/F96)))</f>
        <v>70.6024898159561</v>
      </c>
      <c r="G97" s="20" t="n">
        <f aca="false">MAX(0.01,(V_EV-G$86*V_OFF-V_ODEBT-CHOOSE(DilMethod,0,SUMPRODUCT((G96&lt;=$H$73:$H$80)*$F$73:$F$80),SUM($F$73:$F$80))+V_CASH+V_SOTP)/(V_BASIC+V_RSU+Options*MAX(0,1-OptK/G96)+CHOOSE(DilMethod,SUMPRODUCT($E$73:$E$80,$G$73:$G$80)/1000,SUMPRODUCT((G96&gt;$H$73:$H$80)*$E$73:$E$80*$G$73:$G$80)/1000,SUMPRODUCT((($E$73:$E$80*$G$73:$G$80/1000*G96-$F$73:$F$80)&gt;0)*($E$73:$E$80*$G$73:$G$80/1000*G96-$F$73:$F$80))/G96)))</f>
        <v>40.616838772949</v>
      </c>
    </row>
    <row r="98" customFormat="false" ht="15" hidden="false" customHeight="false" outlineLevel="0" collapsed="false">
      <c r="A98" s="0" t="s">
        <v>2023</v>
      </c>
      <c r="E98" s="20" t="n">
        <f aca="false">MAX(0.01,(V_EV-E$86*V_OFF-V_ODEBT-CHOOSE(DilMethod,0,SUMPRODUCT((E97&lt;=$H$73:$H$80)*$F$73:$F$80),SUM($F$73:$F$80))+V_CASH+V_SOTP)/(V_BASIC+V_RSU+Options*MAX(0,1-OptK/E97)+CHOOSE(DilMethod,SUMPRODUCT($E$73:$E$80,$G$73:$G$80)/1000,SUMPRODUCT((E97&gt;$H$73:$H$80)*$E$73:$E$80*$G$73:$G$80)/1000,SUMPRODUCT((($E$73:$E$80*$G$73:$G$80/1000*E97-$F$73:$F$80)&gt;0)*($E$73:$E$80*$G$73:$G$80/1000*E97-$F$73:$F$80))/E97)))</f>
        <v>100.193759316923</v>
      </c>
      <c r="F98" s="20" t="n">
        <f aca="false">MAX(0.01,(V_EV-F$86*V_OFF-V_ODEBT-CHOOSE(DilMethod,0,SUMPRODUCT((F97&lt;=$H$73:$H$80)*$F$73:$F$80),SUM($F$73:$F$80))+V_CASH+V_SOTP)/(V_BASIC+V_RSU+Options*MAX(0,1-OptK/F97)+CHOOSE(DilMethod,SUMPRODUCT($E$73:$E$80,$G$73:$G$80)/1000,SUMPRODUCT((F97&gt;$H$73:$H$80)*$E$73:$E$80*$G$73:$G$80)/1000,SUMPRODUCT((($E$73:$E$80*$G$73:$G$80/1000*F97-$F$73:$F$80)&gt;0)*($E$73:$E$80*$G$73:$G$80/1000*F97-$F$73:$F$80))/F97)))</f>
        <v>70.6024898159561</v>
      </c>
      <c r="G98" s="20" t="n">
        <f aca="false">MAX(0.01,(V_EV-G$86*V_OFF-V_ODEBT-CHOOSE(DilMethod,0,SUMPRODUCT((G97&lt;=$H$73:$H$80)*$F$73:$F$80),SUM($F$73:$F$80))+V_CASH+V_SOTP)/(V_BASIC+V_RSU+Options*MAX(0,1-OptK/G97)+CHOOSE(DilMethod,SUMPRODUCT($E$73:$E$80,$G$73:$G$80)/1000,SUMPRODUCT((G97&gt;$H$73:$H$80)*$E$73:$E$80*$G$73:$G$80)/1000,SUMPRODUCT((($E$73:$E$80*$G$73:$G$80/1000*G97-$F$73:$F$80)&gt;0)*($E$73:$E$80*$G$73:$G$80/1000*G97-$F$73:$F$80))/G97)))</f>
        <v>40.616838772949</v>
      </c>
    </row>
    <row r="99" customFormat="false" ht="15" hidden="false" customHeight="false" outlineLevel="0" collapsed="false">
      <c r="A99" s="0" t="s">
        <v>2024</v>
      </c>
      <c r="E99" s="20" t="n">
        <f aca="false">MAX(0.01,(V_EV-E$86*V_OFF-V_ODEBT-CHOOSE(DilMethod,0,SUMPRODUCT((E98&lt;=$H$73:$H$80)*$F$73:$F$80),SUM($F$73:$F$80))+V_CASH+V_SOTP)/(V_BASIC+V_RSU+Options*MAX(0,1-OptK/E98)+CHOOSE(DilMethod,SUMPRODUCT($E$73:$E$80,$G$73:$G$80)/1000,SUMPRODUCT((E98&gt;$H$73:$H$80)*$E$73:$E$80*$G$73:$G$80)/1000,SUMPRODUCT((($E$73:$E$80*$G$73:$G$80/1000*E98-$F$73:$F$80)&gt;0)*($E$73:$E$80*$G$73:$G$80/1000*E98-$F$73:$F$80))/E98)))</f>
        <v>100.193759316923</v>
      </c>
      <c r="F99" s="20" t="n">
        <f aca="false">MAX(0.01,(V_EV-F$86*V_OFF-V_ODEBT-CHOOSE(DilMethod,0,SUMPRODUCT((F98&lt;=$H$73:$H$80)*$F$73:$F$80),SUM($F$73:$F$80))+V_CASH+V_SOTP)/(V_BASIC+V_RSU+Options*MAX(0,1-OptK/F98)+CHOOSE(DilMethod,SUMPRODUCT($E$73:$E$80,$G$73:$G$80)/1000,SUMPRODUCT((F98&gt;$H$73:$H$80)*$E$73:$E$80*$G$73:$G$80)/1000,SUMPRODUCT((($E$73:$E$80*$G$73:$G$80/1000*F98-$F$73:$F$80)&gt;0)*($E$73:$E$80*$G$73:$G$80/1000*F98-$F$73:$F$80))/F98)))</f>
        <v>70.6024898159561</v>
      </c>
      <c r="G99" s="20" t="n">
        <f aca="false">MAX(0.01,(V_EV-G$86*V_OFF-V_ODEBT-CHOOSE(DilMethod,0,SUMPRODUCT((G98&lt;=$H$73:$H$80)*$F$73:$F$80),SUM($F$73:$F$80))+V_CASH+V_SOTP)/(V_BASIC+V_RSU+Options*MAX(0,1-OptK/G98)+CHOOSE(DilMethod,SUMPRODUCT($E$73:$E$80,$G$73:$G$80)/1000,SUMPRODUCT((G98&gt;$H$73:$H$80)*$E$73:$E$80*$G$73:$G$80)/1000,SUMPRODUCT((($E$73:$E$80*$G$73:$G$80/1000*G98-$F$73:$F$80)&gt;0)*($E$73:$E$80*$G$73:$G$80/1000*G98-$F$73:$F$80))/G98)))</f>
        <v>40.616838772949</v>
      </c>
    </row>
    <row r="100" customFormat="false" ht="15" hidden="false" customHeight="false" outlineLevel="0" collapsed="false">
      <c r="A100" s="0" t="s">
        <v>2025</v>
      </c>
      <c r="E100" s="20" t="n">
        <f aca="false">MAX(0.01,(V_EV-E$86*V_OFF-V_ODEBT-CHOOSE(DilMethod,0,SUMPRODUCT((E99&lt;=$H$73:$H$80)*$F$73:$F$80),SUM($F$73:$F$80))+V_CASH+V_SOTP)/(V_BASIC+V_RSU+Options*MAX(0,1-OptK/E99)+CHOOSE(DilMethod,SUMPRODUCT($E$73:$E$80,$G$73:$G$80)/1000,SUMPRODUCT((E99&gt;$H$73:$H$80)*$E$73:$E$80*$G$73:$G$80)/1000,SUMPRODUCT((($E$73:$E$80*$G$73:$G$80/1000*E99-$F$73:$F$80)&gt;0)*($E$73:$E$80*$G$73:$G$80/1000*E99-$F$73:$F$80))/E99)))</f>
        <v>100.193759316923</v>
      </c>
      <c r="F100" s="20" t="n">
        <f aca="false">MAX(0.01,(V_EV-F$86*V_OFF-V_ODEBT-CHOOSE(DilMethod,0,SUMPRODUCT((F99&lt;=$H$73:$H$80)*$F$73:$F$80),SUM($F$73:$F$80))+V_CASH+V_SOTP)/(V_BASIC+V_RSU+Options*MAX(0,1-OptK/F99)+CHOOSE(DilMethod,SUMPRODUCT($E$73:$E$80,$G$73:$G$80)/1000,SUMPRODUCT((F99&gt;$H$73:$H$80)*$E$73:$E$80*$G$73:$G$80)/1000,SUMPRODUCT((($E$73:$E$80*$G$73:$G$80/1000*F99-$F$73:$F$80)&gt;0)*($E$73:$E$80*$G$73:$G$80/1000*F99-$F$73:$F$80))/F99)))</f>
        <v>70.6024898159561</v>
      </c>
      <c r="G100" s="20" t="n">
        <f aca="false">MAX(0.01,(V_EV-G$86*V_OFF-V_ODEBT-CHOOSE(DilMethod,0,SUMPRODUCT((G99&lt;=$H$73:$H$80)*$F$73:$F$80),SUM($F$73:$F$80))+V_CASH+V_SOTP)/(V_BASIC+V_RSU+Options*MAX(0,1-OptK/G99)+CHOOSE(DilMethod,SUMPRODUCT($E$73:$E$80,$G$73:$G$80)/1000,SUMPRODUCT((G99&gt;$H$73:$H$80)*$E$73:$E$80*$G$73:$G$80)/1000,SUMPRODUCT((($E$73:$E$80*$G$73:$G$80/1000*G99-$F$73:$F$80)&gt;0)*($E$73:$E$80*$G$73:$G$80/1000*G99-$F$73:$F$80))/G99)))</f>
        <v>40.616838772949</v>
      </c>
    </row>
    <row r="101" customFormat="false" ht="15" hidden="false" customHeight="false" outlineLevel="0" collapsed="false">
      <c r="A101" s="0" t="s">
        <v>2026</v>
      </c>
      <c r="E101" s="20" t="n">
        <f aca="false">MAX(0.01,(V_EV-E$86*V_OFF-V_ODEBT-CHOOSE(DilMethod,0,SUMPRODUCT((E100&lt;=$H$73:$H$80)*$F$73:$F$80),SUM($F$73:$F$80))+V_CASH+V_SOTP)/(V_BASIC+V_RSU+Options*MAX(0,1-OptK/E100)+CHOOSE(DilMethod,SUMPRODUCT($E$73:$E$80,$G$73:$G$80)/1000,SUMPRODUCT((E100&gt;$H$73:$H$80)*$E$73:$E$80*$G$73:$G$80)/1000,SUMPRODUCT((($E$73:$E$80*$G$73:$G$80/1000*E100-$F$73:$F$80)&gt;0)*($E$73:$E$80*$G$73:$G$80/1000*E100-$F$73:$F$80))/E100)))</f>
        <v>100.193759316923</v>
      </c>
      <c r="F101" s="20" t="n">
        <f aca="false">MAX(0.01,(V_EV-F$86*V_OFF-V_ODEBT-CHOOSE(DilMethod,0,SUMPRODUCT((F100&lt;=$H$73:$H$80)*$F$73:$F$80),SUM($F$73:$F$80))+V_CASH+V_SOTP)/(V_BASIC+V_RSU+Options*MAX(0,1-OptK/F100)+CHOOSE(DilMethod,SUMPRODUCT($E$73:$E$80,$G$73:$G$80)/1000,SUMPRODUCT((F100&gt;$H$73:$H$80)*$E$73:$E$80*$G$73:$G$80)/1000,SUMPRODUCT((($E$73:$E$80*$G$73:$G$80/1000*F100-$F$73:$F$80)&gt;0)*($E$73:$E$80*$G$73:$G$80/1000*F100-$F$73:$F$80))/F100)))</f>
        <v>70.6024898159561</v>
      </c>
      <c r="G101" s="20" t="n">
        <f aca="false">MAX(0.01,(V_EV-G$86*V_OFF-V_ODEBT-CHOOSE(DilMethod,0,SUMPRODUCT((G100&lt;=$H$73:$H$80)*$F$73:$F$80),SUM($F$73:$F$80))+V_CASH+V_SOTP)/(V_BASIC+V_RSU+Options*MAX(0,1-OptK/G100)+CHOOSE(DilMethod,SUMPRODUCT($E$73:$E$80,$G$73:$G$80)/1000,SUMPRODUCT((G100&gt;$H$73:$H$80)*$E$73:$E$80*$G$73:$G$80)/1000,SUMPRODUCT((($E$73:$E$80*$G$73:$G$80/1000*G100-$F$73:$F$80)&gt;0)*($E$73:$E$80*$G$73:$G$80/1000*G100-$F$73:$F$80))/G100)))</f>
        <v>40.616838772949</v>
      </c>
    </row>
    <row r="102" customFormat="false" ht="15" hidden="false" customHeight="false" outlineLevel="0" collapsed="false">
      <c r="A102" s="0" t="s">
        <v>2027</v>
      </c>
      <c r="E102" s="20" t="n">
        <f aca="false">MAX(0.01,(V_EV-E$86*V_OFF-V_ODEBT-CHOOSE(DilMethod,0,SUMPRODUCT((E101&lt;=$H$73:$H$80)*$F$73:$F$80),SUM($F$73:$F$80))+V_CASH+V_SOTP)/(V_BASIC+V_RSU+Options*MAX(0,1-OptK/E101)+CHOOSE(DilMethod,SUMPRODUCT($E$73:$E$80,$G$73:$G$80)/1000,SUMPRODUCT((E101&gt;$H$73:$H$80)*$E$73:$E$80*$G$73:$G$80)/1000,SUMPRODUCT((($E$73:$E$80*$G$73:$G$80/1000*E101-$F$73:$F$80)&gt;0)*($E$73:$E$80*$G$73:$G$80/1000*E101-$F$73:$F$80))/E101)))</f>
        <v>100.193759316923</v>
      </c>
      <c r="F102" s="20" t="n">
        <f aca="false">MAX(0.01,(V_EV-F$86*V_OFF-V_ODEBT-CHOOSE(DilMethod,0,SUMPRODUCT((F101&lt;=$H$73:$H$80)*$F$73:$F$80),SUM($F$73:$F$80))+V_CASH+V_SOTP)/(V_BASIC+V_RSU+Options*MAX(0,1-OptK/F101)+CHOOSE(DilMethod,SUMPRODUCT($E$73:$E$80,$G$73:$G$80)/1000,SUMPRODUCT((F101&gt;$H$73:$H$80)*$E$73:$E$80*$G$73:$G$80)/1000,SUMPRODUCT((($E$73:$E$80*$G$73:$G$80/1000*F101-$F$73:$F$80)&gt;0)*($E$73:$E$80*$G$73:$G$80/1000*F101-$F$73:$F$80))/F101)))</f>
        <v>70.6024898159561</v>
      </c>
      <c r="G102" s="20" t="n">
        <f aca="false">MAX(0.01,(V_EV-G$86*V_OFF-V_ODEBT-CHOOSE(DilMethod,0,SUMPRODUCT((G101&lt;=$H$73:$H$80)*$F$73:$F$80),SUM($F$73:$F$80))+V_CASH+V_SOTP)/(V_BASIC+V_RSU+Options*MAX(0,1-OptK/G101)+CHOOSE(DilMethod,SUMPRODUCT($E$73:$E$80,$G$73:$G$80)/1000,SUMPRODUCT((G101&gt;$H$73:$H$80)*$E$73:$E$80*$G$73:$G$80)/1000,SUMPRODUCT((($E$73:$E$80*$G$73:$G$80/1000*G101-$F$73:$F$80)&gt;0)*($E$73:$E$80*$G$73:$G$80/1000*G101-$F$73:$F$80))/G101)))</f>
        <v>40.616838772949</v>
      </c>
    </row>
    <row r="103" customFormat="false" ht="15" hidden="false" customHeight="false" outlineLevel="0" collapsed="false">
      <c r="A103" s="101" t="s">
        <v>2028</v>
      </c>
      <c r="D103" s="18"/>
      <c r="E103" s="39" t="n">
        <f aca="false">MAX(ABS(E102-E101),ABS(F102-F101),ABS(G102-G101))</f>
        <v>0</v>
      </c>
    </row>
    <row r="104" customFormat="false" ht="15" hidden="false" customHeight="false" outlineLevel="0" collapsed="false">
      <c r="A104" s="3" t="s">
        <v>2029</v>
      </c>
      <c r="E104" s="6" t="n">
        <f aca="false">E102</f>
        <v>100.193759316923</v>
      </c>
      <c r="F104" s="6" t="n">
        <f aca="false">F102</f>
        <v>70.6024898159561</v>
      </c>
      <c r="G104" s="6" t="n">
        <f aca="false">G102</f>
        <v>40.616838772949</v>
      </c>
    </row>
    <row r="105" customFormat="false" ht="15" hidden="false" customHeight="false" outlineLevel="0" collapsed="false">
      <c r="A105" s="101" t="s">
        <v>2030</v>
      </c>
      <c r="E105" s="37" t="n">
        <f aca="false">CHOOSE(DilMethod,SUMPRODUCT($E$73:$E$80,$G$73:$G$80)/1000,SUMPRODUCT((E102&gt;$H$73:$H$80)*$E$73:$E$80*$G$73:$G$80)/1000,SUMPRODUCT((($E$73:$E$80*$G$73:$G$80/1000*E102-$F$73:$F$80)&gt;0)*($E$73:$E$80*$G$73:$G$80/1000*E102-$F$73:$F$80))/E102)</f>
        <v>3.4013525</v>
      </c>
      <c r="F105" s="37" t="n">
        <f aca="false">CHOOSE(DilMethod,SUMPRODUCT($E$73:$E$80,$G$73:$G$80)/1000,SUMPRODUCT((F102&gt;$H$73:$H$80)*$E$73:$E$80*$G$73:$G$80)/1000,SUMPRODUCT((($E$73:$E$80*$G$73:$G$80/1000*F102-$F$73:$F$80)&gt;0)*($E$73:$E$80*$G$73:$G$80/1000*F102-$F$73:$F$80))/F102)</f>
        <v>3.4013525</v>
      </c>
      <c r="G105" s="37" t="n">
        <f aca="false">CHOOSE(DilMethod,SUMPRODUCT($E$73:$E$80,$G$73:$G$80)/1000,SUMPRODUCT((G102&gt;$H$73:$H$80)*$E$73:$E$80*$G$73:$G$80)/1000,SUMPRODUCT((($E$73:$E$80*$G$73:$G$80/1000*G102-$F$73:$F$80)&gt;0)*($E$73:$E$80*$G$73:$G$80/1000*G102-$F$73:$F$80))/G102)</f>
        <v>0</v>
      </c>
    </row>
    <row r="106" customFormat="false" ht="15" hidden="false" customHeight="false" outlineLevel="0" collapsed="false">
      <c r="A106" s="101" t="s">
        <v>2031</v>
      </c>
      <c r="E106" s="103" t="n">
        <f aca="false">CHOOSE(DilMethod,0,SUMPRODUCT((E102&lt;=$H$73:$H$80)*$F$73:$F$80),SUM($F$73:$F$80))</f>
        <v>13434.1777535968</v>
      </c>
      <c r="F106" s="103" t="n">
        <f aca="false">CHOOSE(DilMethod,0,SUMPRODUCT((F102&lt;=$H$73:$H$80)*$F$73:$F$80),SUM($F$73:$F$80))</f>
        <v>13434.1777535968</v>
      </c>
      <c r="G106" s="103" t="n">
        <f aca="false">CHOOSE(DilMethod,0,SUMPRODUCT((G102&lt;=$H$73:$H$80)*$F$73:$F$80),SUM($F$73:$F$80))</f>
        <v>13620.060210042</v>
      </c>
    </row>
    <row r="107" customFormat="false" ht="15" hidden="false" customHeight="false" outlineLevel="0" collapsed="false">
      <c r="A107" s="101" t="s">
        <v>2032</v>
      </c>
      <c r="E107" s="37" t="n">
        <f aca="false">Options*MAX(0,1-OptK/E102)</f>
        <v>0.776613878769883</v>
      </c>
      <c r="F107" s="37" t="n">
        <f aca="false">Options*MAX(0,1-OptK/F102)</f>
        <v>0</v>
      </c>
      <c r="G107" s="37" t="n">
        <f aca="false">Options*MAX(0,1-OptK/G102)</f>
        <v>0</v>
      </c>
    </row>
    <row r="108" customFormat="false" ht="15" hidden="false" customHeight="false" outlineLevel="0" collapsed="false">
      <c r="A108" s="101" t="s">
        <v>2033</v>
      </c>
      <c r="E108" s="37" t="n">
        <f aca="false">V_BASIC+V_RSU+Options*MAX(0,1-OptK/E102)+CHOOSE(DilMethod,SUMPRODUCT($E$73:$E$80,$G$73:$G$80)/1000,SUMPRODUCT((E102&gt;$H$73:$H$80)*$E$73:$E$80*$G$73:$G$80)/1000,SUMPRODUCT((($E$73:$E$80*$G$73:$G$80/1000*E102-$F$73:$F$80)&gt;0)*($E$73:$E$80*$G$73:$G$80/1000*E102-$F$73:$F$80))/E102)</f>
        <v>319.10321137877</v>
      </c>
      <c r="F108" s="37" t="n">
        <f aca="false">V_BASIC+V_RSU+Options*MAX(0,1-OptK/F102)+CHOOSE(DilMethod,SUMPRODUCT($E$73:$E$80,$G$73:$G$80)/1000,SUMPRODUCT((F102&gt;$H$73:$H$80)*$E$73:$E$80*$G$73:$G$80)/1000,SUMPRODUCT((($E$73:$E$80*$G$73:$G$80/1000*F102-$F$73:$F$80)&gt;0)*($E$73:$E$80*$G$73:$G$80/1000*F102-$F$73:$F$80))/F102)</f>
        <v>318.3265975</v>
      </c>
      <c r="G108" s="37" t="n">
        <f aca="false">V_BASIC+V_RSU+Options*MAX(0,1-OptK/G102)+CHOOSE(DilMethod,SUMPRODUCT($E$73:$E$80,$G$73:$G$80)/1000,SUMPRODUCT((G102&gt;$H$73:$H$80)*$E$73:$E$80*$G$73:$G$80)/1000,SUMPRODUCT((($E$73:$E$80*$G$73:$G$80/1000*G102-$F$73:$F$80)&gt;0)*($E$73:$E$80*$G$73:$G$80/1000*G102-$F$73:$F$80))/G102)</f>
        <v>314.925245</v>
      </c>
    </row>
    <row r="109" customFormat="false" ht="15" hidden="false" customHeight="false" outlineLevel="0" collapsed="false">
      <c r="A109" s="3" t="s">
        <v>2034</v>
      </c>
      <c r="E109" s="109" t="n">
        <f aca="false">V_EV-E$86*V_OFF-V_ODEBT-CHOOSE(DilMethod,0,SUMPRODUCT((E102&lt;=$H$73:$H$80)*$F$73:$F$80),SUM($F$73:$F$80))+V_CASH+V_SOTP</f>
        <v>31972.1503581417</v>
      </c>
      <c r="F109" s="109" t="n">
        <f aca="false">V_EV-F$86*V_OFF-V_ODEBT-CHOOSE(DilMethod,0,SUMPRODUCT((F102&lt;=$H$73:$H$80)*$F$73:$F$80),SUM($F$73:$F$80))+V_CASH+V_SOTP</f>
        <v>22474.6503581417</v>
      </c>
      <c r="G109" s="109" t="n">
        <f aca="false">V_EV-G$86*V_OFF-V_ODEBT-CHOOSE(DilMethod,0,SUMPRODUCT((G102&lt;=$H$73:$H$80)*$F$73:$F$80),SUM($F$73:$F$80))+V_CASH+V_SOTP</f>
        <v>12791.2679016964</v>
      </c>
    </row>
    <row r="110" customFormat="false" ht="15" hidden="false" customHeight="false" outlineLevel="0" collapsed="false">
      <c r="A110" s="101" t="s">
        <v>2035</v>
      </c>
      <c r="E110" s="20" t="n">
        <f aca="false">(V_EV-E$86*V_OFF-V_ODEBT-SUM($F$73:$F$80)+V_CASH+V_SOTP)/V_BASIC</f>
        <v>102.971100693402</v>
      </c>
      <c r="F110" s="20" t="n">
        <f aca="false">(V_EV-F$86*V_OFF-V_ODEBT-SUM($F$73:$F$80)+V_CASH+V_SOTP)/V_BASIC</f>
        <v>72.2041030748048</v>
      </c>
      <c r="G110" s="20" t="n">
        <f aca="false">(V_EV-G$86*V_OFF-V_ODEBT-SUM($F$73:$F$80)+V_CASH+V_SOTP)/V_BASIC</f>
        <v>41.4371054562077</v>
      </c>
    </row>
    <row r="111" customFormat="false" ht="15" hidden="false" customHeight="false" outlineLevel="0" collapsed="false">
      <c r="A111" s="3" t="s">
        <v>2036</v>
      </c>
      <c r="E111" s="6" t="n">
        <f aca="false">E102*(1+Ke)</f>
        <v>113.218948028123</v>
      </c>
      <c r="F111" s="6" t="n">
        <f aca="false">F102*(1+Ke)</f>
        <v>79.7808134920304</v>
      </c>
      <c r="G111" s="6" t="n">
        <f aca="false">G102*(1+Ke)</f>
        <v>45.8970278134323</v>
      </c>
    </row>
    <row r="112" customFormat="false" ht="15" hidden="false" customHeight="false" outlineLevel="0" collapsed="false">
      <c r="A112" s="101" t="s">
        <v>2037</v>
      </c>
      <c r="E112" s="20" t="n">
        <f aca="false">E102*(1+Ke)^0.5</f>
        <v>106.507427106493</v>
      </c>
      <c r="F112" s="20" t="n">
        <f aca="false">F102*(1+Ke)^0.5</f>
        <v>75.0514761485726</v>
      </c>
      <c r="G112" s="20" t="n">
        <f aca="false">G102*(1+Ke)^0.5</f>
        <v>43.1762918608782</v>
      </c>
    </row>
    <row r="113" customFormat="false" ht="15" hidden="false" customHeight="false" outlineLevel="0" collapsed="false">
      <c r="A113" s="101" t="s">
        <v>2038</v>
      </c>
      <c r="E113" s="20" t="n">
        <f aca="false">E102*(1+Ke)^3</f>
        <v>144.56927473711</v>
      </c>
      <c r="F113" s="20" t="n">
        <f aca="false">F102*(1+Ke)^3</f>
        <v>101.872120747974</v>
      </c>
      <c r="G113" s="20" t="n">
        <f aca="false">G102*(1+Ke)^3</f>
        <v>58.6059148149717</v>
      </c>
    </row>
    <row r="114" customFormat="false" ht="15" hidden="false" customHeight="false" outlineLevel="0" collapsed="false">
      <c r="A114" s="101" t="s">
        <v>2039</v>
      </c>
      <c r="E114" s="31" t="n">
        <f aca="false">E102*(1+Ke)/SharePx-1</f>
        <v>-0.533713817272258</v>
      </c>
      <c r="F114" s="31" t="n">
        <f aca="false">F102*(1+Ke)/SharePx-1</f>
        <v>-0.671426986153658</v>
      </c>
      <c r="G114" s="31" t="n">
        <f aca="false">G102*(1+Ke)/SharePx-1</f>
        <v>-0.810975545432922</v>
      </c>
    </row>
    <row r="115" customFormat="false" ht="15" hidden="false" customHeight="false" outlineLevel="0" collapsed="false">
      <c r="A115" s="101" t="s">
        <v>2040</v>
      </c>
      <c r="D115" s="18"/>
      <c r="E115" s="103" t="n">
        <f aca="false">V_ODEBT+F106-V_CASH</f>
        <v>2101.53806791523</v>
      </c>
    </row>
    <row r="116" customFormat="false" ht="15" hidden="false" customHeight="false" outlineLevel="0" collapsed="false">
      <c r="A116" s="0" t="s">
        <v>2041</v>
      </c>
      <c r="E116" s="6" t="n">
        <f aca="false">IF(DilPxMode=1,SharePx,V_PSolve)</f>
        <v>70.6024898159561</v>
      </c>
    </row>
    <row r="118" customFormat="false" ht="15" hidden="false" customHeight="false" outlineLevel="0" collapsed="false">
      <c r="A118" s="48" t="s">
        <v>2042</v>
      </c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</row>
    <row r="119" customFormat="false" ht="15" hidden="false" customHeight="false" outlineLevel="0" collapsed="false">
      <c r="A119" s="101" t="s">
        <v>2043</v>
      </c>
      <c r="D119" s="18"/>
      <c r="E119" s="103" t="n">
        <f aca="false">SUMPRODUCT(PL_EBITDA*(Q_Idx&gt;V_Q)*(Q_Idx&lt;=V_Q+4))</f>
        <v>2730.26009649229</v>
      </c>
    </row>
    <row r="120" customFormat="false" ht="15" hidden="false" customHeight="false" outlineLevel="0" collapsed="false">
      <c r="A120" s="101" t="s">
        <v>2044</v>
      </c>
      <c r="D120" s="18"/>
      <c r="E120" s="33" t="n">
        <f aca="false">IF(V_NTM&gt;0,V_EV/V_NTM,0)</f>
        <v>11.6465784585541</v>
      </c>
    </row>
    <row r="121" customFormat="false" ht="15" hidden="false" customHeight="false" outlineLevel="0" collapsed="false">
      <c r="A121" s="101" t="s">
        <v>2045</v>
      </c>
      <c r="D121" s="18"/>
      <c r="E121" s="33" t="n">
        <f aca="false">V_EV/SUMIF(Q_Yr,2027,PL_EBITDA)</f>
        <v>8.22729791061717</v>
      </c>
    </row>
    <row r="123" customFormat="false" ht="15" hidden="false" customHeight="false" outlineLevel="0" collapsed="false">
      <c r="A123" s="48" t="s">
        <v>2046</v>
      </c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</row>
    <row r="124" customFormat="false" ht="15" hidden="false" customHeight="false" outlineLevel="0" collapsed="false">
      <c r="A124" s="101" t="s">
        <v>2047</v>
      </c>
      <c r="D124" s="18" t="s">
        <v>2048</v>
      </c>
      <c r="E124" s="37" t="n">
        <f aca="false">V_BASIC+V_RSU+Options*MAX(0,1-OptK/SharePx)+CHOOSE(DilMethod,SUMPRODUCT($E$73:$E$80,$G$73:$G$80)/1000,SUMPRODUCT((SharePx&gt;$H$73:$H$80)*$E$73:$E$80*$G$73:$G$80)/1000,SUMPRODUCT((($E$73:$E$80*$G$73:$G$80/1000*SharePx-$F$73:$F$80)&gt;0)*($E$73:$E$80*$G$73:$G$80/1000*SharePx-$F$73:$F$80))/SharePx)</f>
        <v>369.226788774505</v>
      </c>
    </row>
    <row r="125" customFormat="false" ht="15" hidden="false" customHeight="false" outlineLevel="0" collapsed="false">
      <c r="A125" s="101" t="s">
        <v>2049</v>
      </c>
      <c r="D125" s="18"/>
      <c r="E125" s="37" t="n">
        <f aca="false">CHOOSE(DilMethod,SUMPRODUCT($E$73:$E$80,$G$73:$G$80)/1000,SUMPRODUCT((SharePx&gt;$H$73:$H$80)*$E$73:$E$80*$G$73:$G$80)/1000,SUMPRODUCT((($E$73:$E$80*$G$73:$G$80/1000*SharePx-$F$73:$F$80)&gt;0)*($E$73:$E$80*$G$73:$G$80/1000*SharePx-$F$73:$F$80))/SharePx)</f>
        <v>50.02193875</v>
      </c>
    </row>
    <row r="126" customFormat="false" ht="15" hidden="false" customHeight="false" outlineLevel="0" collapsed="false">
      <c r="A126" s="101" t="s">
        <v>2050</v>
      </c>
      <c r="D126" s="18"/>
      <c r="E126" s="103" t="n">
        <f aca="false">SUMPRODUCT((SharePx&gt;$H$73:$H$80)*$E$73:$E$80)</f>
        <v>7675</v>
      </c>
    </row>
    <row r="127" customFormat="false" ht="15" hidden="false" customHeight="false" outlineLevel="0" collapsed="false">
      <c r="A127" s="101" t="s">
        <v>2051</v>
      </c>
      <c r="D127" s="18"/>
      <c r="E127" s="103" t="n">
        <f aca="false">CHOOSE(DilMethod,0,SUMPRODUCT((SharePx&lt;=$H$73:$H$80)*$F$73:$F$80),SUM($F$73:$F$80))</f>
        <v>5767.83060829888</v>
      </c>
    </row>
    <row r="129" customFormat="false" ht="15" hidden="false" customHeight="false" outlineLevel="0" collapsed="false">
      <c r="A129" s="48" t="s">
        <v>2052</v>
      </c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</row>
    <row r="130" customFormat="false" ht="15" hidden="false" customHeight="false" outlineLevel="0" collapsed="false">
      <c r="A130" s="101" t="s">
        <v>2053</v>
      </c>
      <c r="D130" s="18" t="s">
        <v>2054</v>
      </c>
      <c r="E130" s="103" t="n">
        <f aca="false">SharePx*308.69</f>
        <v>74953.0189</v>
      </c>
    </row>
    <row r="131" customFormat="false" ht="15" hidden="false" customHeight="false" outlineLevel="0" collapsed="false">
      <c r="A131" s="101" t="s">
        <v>2055</v>
      </c>
      <c r="D131" s="18"/>
      <c r="E131" s="103" t="n">
        <f aca="false">CS_ConvCarry</f>
        <v>7697.1</v>
      </c>
    </row>
    <row r="132" customFormat="false" ht="15" hidden="false" customHeight="false" outlineLevel="0" collapsed="false">
      <c r="A132" s="101" t="s">
        <v>2056</v>
      </c>
      <c r="D132" s="18"/>
      <c r="E132" s="103" t="n">
        <f aca="false">AugGross</f>
        <v>5750</v>
      </c>
    </row>
    <row r="133" customFormat="false" ht="15" hidden="false" customHeight="false" outlineLevel="0" collapsed="false">
      <c r="A133" s="101" t="s">
        <v>2057</v>
      </c>
      <c r="D133" s="18"/>
      <c r="E133" s="103" t="n">
        <f aca="false">CS_CurDebt</f>
        <v>46.7</v>
      </c>
    </row>
    <row r="134" customFormat="false" ht="15" hidden="false" customHeight="false" outlineLevel="0" collapsed="false">
      <c r="A134" s="101" t="s">
        <v>2058</v>
      </c>
      <c r="D134" s="18"/>
      <c r="E134" s="103" t="n">
        <f aca="false">SecAmt*LoanOn</f>
        <v>775</v>
      </c>
    </row>
    <row r="135" customFormat="false" ht="15" hidden="false" customHeight="false" outlineLevel="0" collapsed="false">
      <c r="A135" s="101" t="s">
        <v>2059</v>
      </c>
      <c r="D135" s="18"/>
      <c r="E135" s="103" t="n">
        <f aca="false">-CS_Cash</f>
        <v>-8042.1</v>
      </c>
    </row>
    <row r="136" customFormat="false" ht="15" hidden="false" customHeight="false" outlineLevel="0" collapsed="false">
      <c r="A136" s="101" t="s">
        <v>2060</v>
      </c>
      <c r="D136" s="18"/>
      <c r="E136" s="103" t="n">
        <f aca="false">-AugGross</f>
        <v>-5750</v>
      </c>
    </row>
    <row r="137" customFormat="false" ht="15" hidden="false" customHeight="false" outlineLevel="0" collapsed="false">
      <c r="A137" s="101" t="s">
        <v>2061</v>
      </c>
      <c r="D137" s="18"/>
      <c r="E137" s="103" t="n">
        <f aca="false">-SecAmt*LoanOn</f>
        <v>-775</v>
      </c>
    </row>
    <row r="138" customFormat="false" ht="15" hidden="false" customHeight="false" outlineLevel="0" collapsed="false">
      <c r="A138" s="3" t="s">
        <v>2062</v>
      </c>
      <c r="D138" s="18" t="s">
        <v>2063</v>
      </c>
      <c r="E138" s="109" t="n">
        <f aca="false">V_MKTEQ+CS_ConvCarry+AugGross+CS_CurDebt-CS_Cash-AugGross</f>
        <v>74654.7189</v>
      </c>
    </row>
    <row r="139" customFormat="false" ht="15" hidden="false" customHeight="false" outlineLevel="0" collapsed="false">
      <c r="A139" s="101" t="s">
        <v>2064</v>
      </c>
      <c r="D139" s="18" t="s">
        <v>2065</v>
      </c>
      <c r="E139" s="103" t="n">
        <f aca="false">SharePx*V_FDmkt+AugGross+CS_CurDebt-CS_Cash-AugGross</f>
        <v>81656.5565823375</v>
      </c>
    </row>
    <row r="140" customFormat="false" ht="15" hidden="false" customHeight="false" outlineLevel="0" collapsed="false">
      <c r="A140" s="101" t="s">
        <v>2066</v>
      </c>
      <c r="D140" s="18"/>
      <c r="E140" s="33" t="n">
        <f aca="false">IF(V_NTM&gt;0,V_MKTEV/V_NTM,0)</f>
        <v>27.3434457749695</v>
      </c>
    </row>
    <row r="141" customFormat="false" ht="15" hidden="false" customHeight="false" outlineLevel="0" collapsed="false">
      <c r="A141" s="101" t="s">
        <v>2067</v>
      </c>
      <c r="D141" s="18"/>
      <c r="E141" s="25" t="n">
        <f aca="false">INDEX(MW_En,1,V_Q)</f>
        <v>207.5</v>
      </c>
    </row>
    <row r="142" customFormat="false" ht="15" hidden="false" customHeight="false" outlineLevel="0" collapsed="false">
      <c r="A142" s="101" t="s">
        <v>2068</v>
      </c>
      <c r="D142" s="18"/>
      <c r="E142" s="25" t="n">
        <f aca="false">INDEX(MW_Contr,1,V_Q)</f>
        <v>3400</v>
      </c>
    </row>
    <row r="144" customFormat="false" ht="15" hidden="false" customHeight="false" outlineLevel="0" collapsed="false">
      <c r="A144" s="48" t="s">
        <v>2069</v>
      </c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</row>
    <row r="145" customFormat="false" ht="15" hidden="false" customHeight="false" outlineLevel="0" collapsed="false">
      <c r="E145" s="3" t="s">
        <v>2070</v>
      </c>
      <c r="F145" s="3" t="s">
        <v>2071</v>
      </c>
      <c r="G145" s="3" t="s">
        <v>2072</v>
      </c>
      <c r="H145" s="3" t="s">
        <v>2073</v>
      </c>
    </row>
    <row r="146" customFormat="false" ht="15" hidden="false" customHeight="false" outlineLevel="0" collapsed="false">
      <c r="A146" s="0" t="s">
        <v>2074</v>
      </c>
      <c r="D146" s="18"/>
      <c r="E146" s="35" t="n">
        <f aca="false">IFERROR((V_MKTEV)/V_ENMW,0)</f>
        <v>359.781777831325</v>
      </c>
      <c r="F146" s="35" t="n">
        <f aca="false">IFERROR((V_EV)/V_ENMW,0)</f>
        <v>153.244281571359</v>
      </c>
      <c r="G146" s="35" t="n">
        <f aca="false">IFERROR((CRWV_EV)/CRWV_MW,0)</f>
        <v>53</v>
      </c>
      <c r="H146" s="117" t="n">
        <f aca="false">IFERROR(E146/G146,0)</f>
        <v>6.78833543077972</v>
      </c>
    </row>
    <row r="147" customFormat="false" ht="15" hidden="false" customHeight="false" outlineLevel="0" collapsed="false">
      <c r="A147" s="0" t="s">
        <v>2075</v>
      </c>
      <c r="D147" s="18" t="s">
        <v>2076</v>
      </c>
      <c r="E147" s="35" t="n">
        <f aca="false">IFERROR((V_MKTEV+OpLease)/V_ENMW,0)</f>
        <v>367.61310313253</v>
      </c>
      <c r="F147" s="35" t="n">
        <f aca="false">IFERROR((V_EV+OpLease)/V_ENMW,0)</f>
        <v>161.075606872563</v>
      </c>
      <c r="G147" s="35" t="n">
        <f aca="false">IFERROR((CRWV_EV+CRWV_Lease)/CRWV_MW,0)</f>
        <v>53</v>
      </c>
      <c r="H147" s="117" t="n">
        <f aca="false">IFERROR(E147/G147,0)</f>
        <v>6.93609628551944</v>
      </c>
    </row>
    <row r="148" customFormat="false" ht="15" hidden="false" customHeight="false" outlineLevel="0" collapsed="false">
      <c r="A148" s="0" t="s">
        <v>2077</v>
      </c>
      <c r="D148" s="18" t="s">
        <v>2078</v>
      </c>
      <c r="E148" s="35" t="n">
        <f aca="false">IFERROR((V_MKTEV+OpLease+OffBS_Lease+OffBS_Energy)/V_ENMW,0)</f>
        <v>451.323946506024</v>
      </c>
      <c r="F148" s="35" t="n">
        <f aca="false">IFERROR((V_EV+OpLease+OffBS_Lease+OffBS_Energy)/V_ENMW,0)</f>
        <v>244.786450246057</v>
      </c>
      <c r="G148" s="35" t="n">
        <f aca="false">IFERROR((CRWV_EV+CRWV_Lease+CRWV_Commit)/CRWV_MW,0)</f>
        <v>53</v>
      </c>
      <c r="H148" s="117" t="n">
        <f aca="false">IFERROR(E148/G148,0)</f>
        <v>8.51554616049102</v>
      </c>
    </row>
    <row r="149" customFormat="false" ht="15" hidden="false" customHeight="false" outlineLevel="0" collapsed="false">
      <c r="A149" s="0" t="s">
        <v>2079</v>
      </c>
      <c r="D149" s="18" t="s">
        <v>2080</v>
      </c>
      <c r="E149" s="35" t="n">
        <f aca="false">IFERROR((V_MKTEV)/V_CTMW,0)</f>
        <v>21.9572702647059</v>
      </c>
      <c r="F149" s="35" t="n">
        <f aca="false">IFERROR((V_EV)/V_CTMW,0)</f>
        <v>9.35240836060498</v>
      </c>
      <c r="G149" s="35" t="n">
        <f aca="false">IFERROR((CRWV_EV)/CRWV_Contr,0)</f>
        <v>21.4864864864865</v>
      </c>
      <c r="H149" s="117" t="n">
        <f aca="false">IFERROR(E149/G149,0)</f>
        <v>1.02191069156493</v>
      </c>
    </row>
    <row r="150" customFormat="false" ht="15" hidden="false" customHeight="false" outlineLevel="0" collapsed="false">
      <c r="A150" s="101" t="s">
        <v>2081</v>
      </c>
      <c r="D150" s="18"/>
      <c r="E150" s="103" t="n">
        <f aca="false">CRWV_EV/CRWV_MW*V_ENMW</f>
        <v>10997.5</v>
      </c>
    </row>
    <row r="151" customFormat="false" ht="15" hidden="false" customHeight="false" outlineLevel="0" collapsed="false">
      <c r="A151" s="101" t="s">
        <v>2082</v>
      </c>
      <c r="D151" s="18"/>
      <c r="E151" s="117" t="n">
        <f aca="false">IFERROR(V_EV/V_MKTEV,0)</f>
        <v>0.425936751146978</v>
      </c>
    </row>
    <row r="152" customFormat="false" ht="15" hidden="false" customHeight="false" outlineLevel="0" collapsed="false">
      <c r="A152" s="101" t="s">
        <v>2083</v>
      </c>
      <c r="D152" s="18"/>
      <c r="E152" s="33" t="n">
        <f aca="false">IFERROR(V_MKTEV/SUMIF(Q_Yr,2027,PL_EBITDA),0)</f>
        <v>19.3157737350966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2084</v>
      </c>
    </row>
    <row r="2" customFormat="false" ht="15" hidden="false" customHeight="false" outlineLevel="0" collapsed="false">
      <c r="A2" s="18" t="s">
        <v>2085</v>
      </c>
    </row>
    <row r="3" customFormat="false" ht="15" hidden="false" customHeight="false" outlineLevel="0" collapsed="false">
      <c r="A3" s="28" t="s">
        <v>1043</v>
      </c>
      <c r="B3" s="28" t="s">
        <v>327</v>
      </c>
      <c r="C3" s="28" t="s">
        <v>330</v>
      </c>
      <c r="D3" s="28" t="s">
        <v>1044</v>
      </c>
      <c r="E3" s="28" t="s">
        <v>1045</v>
      </c>
      <c r="F3" s="28" t="str">
        <f aca="false">Timeline!F3</f>
        <v>Q1'24</v>
      </c>
      <c r="G3" s="28" t="str">
        <f aca="false">Timeline!G3</f>
        <v>Q2'24</v>
      </c>
      <c r="H3" s="28" t="str">
        <f aca="false">Timeline!H3</f>
        <v>Q3'24</v>
      </c>
      <c r="I3" s="28" t="str">
        <f aca="false">Timeline!I3</f>
        <v>Q4'24</v>
      </c>
      <c r="J3" s="28" t="str">
        <f aca="false">Timeline!J3</f>
        <v>Q1'25</v>
      </c>
      <c r="K3" s="28" t="str">
        <f aca="false">Timeline!K3</f>
        <v>Q2'25</v>
      </c>
      <c r="L3" s="28" t="str">
        <f aca="false">Timeline!L3</f>
        <v>Q3'25</v>
      </c>
      <c r="M3" s="28" t="str">
        <f aca="false">Timeline!M3</f>
        <v>Q4'25</v>
      </c>
      <c r="N3" s="28" t="str">
        <f aca="false">Timeline!N3</f>
        <v>Q1'26</v>
      </c>
      <c r="O3" s="28" t="str">
        <f aca="false">Timeline!O3</f>
        <v>Q2'26</v>
      </c>
      <c r="P3" s="28" t="str">
        <f aca="false">Timeline!P3</f>
        <v>Q3'26</v>
      </c>
      <c r="Q3" s="28" t="str">
        <f aca="false">Timeline!Q3</f>
        <v>Q4'26</v>
      </c>
      <c r="R3" s="28" t="str">
        <f aca="false">Timeline!R3</f>
        <v>Q1'27</v>
      </c>
      <c r="S3" s="28" t="str">
        <f aca="false">Timeline!S3</f>
        <v>Q2'27</v>
      </c>
      <c r="T3" s="28" t="str">
        <f aca="false">Timeline!T3</f>
        <v>Q3'27</v>
      </c>
      <c r="U3" s="28" t="str">
        <f aca="false">Timeline!U3</f>
        <v>Q4'27</v>
      </c>
      <c r="V3" s="28" t="str">
        <f aca="false">Timeline!V3</f>
        <v>Q1'28</v>
      </c>
      <c r="W3" s="28" t="str">
        <f aca="false">Timeline!W3</f>
        <v>Q2'28</v>
      </c>
      <c r="X3" s="28" t="str">
        <f aca="false">Timeline!X3</f>
        <v>Q3'28</v>
      </c>
      <c r="Y3" s="28" t="str">
        <f aca="false">Timeline!Y3</f>
        <v>Q4'28</v>
      </c>
      <c r="Z3" s="28" t="str">
        <f aca="false">Timeline!Z3</f>
        <v>Q1'29</v>
      </c>
      <c r="AA3" s="28" t="str">
        <f aca="false">Timeline!AA3</f>
        <v>Q2'29</v>
      </c>
      <c r="AB3" s="28" t="str">
        <f aca="false">Timeline!AB3</f>
        <v>Q3'29</v>
      </c>
      <c r="AC3" s="28" t="str">
        <f aca="false">Timeline!AC3</f>
        <v>Q4'29</v>
      </c>
      <c r="AD3" s="28" t="str">
        <f aca="false">Timeline!AD3</f>
        <v>Q1'30</v>
      </c>
      <c r="AE3" s="28" t="str">
        <f aca="false">Timeline!AE3</f>
        <v>Q2'30</v>
      </c>
      <c r="AF3" s="28" t="str">
        <f aca="false">Timeline!AF3</f>
        <v>Q3'30</v>
      </c>
      <c r="AG3" s="28" t="str">
        <f aca="false">Timeline!AG3</f>
        <v>Q4'30</v>
      </c>
      <c r="AI3" s="28" t="s">
        <v>1046</v>
      </c>
      <c r="AJ3" s="28" t="s">
        <v>1047</v>
      </c>
      <c r="AK3" s="28" t="s">
        <v>159</v>
      </c>
      <c r="AL3" s="28" t="s">
        <v>160</v>
      </c>
      <c r="AM3" s="28" t="s">
        <v>161</v>
      </c>
      <c r="AN3" s="28" t="s">
        <v>1048</v>
      </c>
      <c r="AO3" s="28" t="s">
        <v>1049</v>
      </c>
    </row>
    <row r="4" customFormat="false" ht="15" hidden="false" customHeight="false" outlineLevel="0" collapsed="false">
      <c r="A4" s="18" t="s">
        <v>928</v>
      </c>
      <c r="F4" s="99" t="n">
        <f aca="false">Timeline!F4</f>
        <v>45382</v>
      </c>
      <c r="G4" s="99" t="n">
        <f aca="false">Timeline!G4</f>
        <v>45473</v>
      </c>
      <c r="H4" s="99" t="n">
        <f aca="false">Timeline!H4</f>
        <v>45565</v>
      </c>
      <c r="I4" s="99" t="n">
        <f aca="false">Timeline!I4</f>
        <v>45657</v>
      </c>
      <c r="J4" s="99" t="n">
        <f aca="false">Timeline!J4</f>
        <v>45747</v>
      </c>
      <c r="K4" s="99" t="n">
        <f aca="false">Timeline!K4</f>
        <v>45838</v>
      </c>
      <c r="L4" s="99" t="n">
        <f aca="false">Timeline!L4</f>
        <v>45930</v>
      </c>
      <c r="M4" s="99" t="n">
        <f aca="false">Timeline!M4</f>
        <v>46022</v>
      </c>
      <c r="N4" s="99" t="n">
        <f aca="false">Timeline!N4</f>
        <v>46112</v>
      </c>
      <c r="O4" s="99" t="n">
        <f aca="false">Timeline!O4</f>
        <v>46203</v>
      </c>
      <c r="P4" s="99" t="n">
        <f aca="false">Timeline!P4</f>
        <v>46295</v>
      </c>
      <c r="Q4" s="99" t="n">
        <f aca="false">Timeline!Q4</f>
        <v>46387</v>
      </c>
      <c r="R4" s="99" t="n">
        <f aca="false">Timeline!R4</f>
        <v>46477</v>
      </c>
      <c r="S4" s="99" t="n">
        <f aca="false">Timeline!S4</f>
        <v>46568</v>
      </c>
      <c r="T4" s="99" t="n">
        <f aca="false">Timeline!T4</f>
        <v>46660</v>
      </c>
      <c r="U4" s="99" t="n">
        <f aca="false">Timeline!U4</f>
        <v>46752</v>
      </c>
      <c r="V4" s="99" t="n">
        <f aca="false">Timeline!V4</f>
        <v>46843</v>
      </c>
      <c r="W4" s="99" t="n">
        <f aca="false">Timeline!W4</f>
        <v>46934</v>
      </c>
      <c r="X4" s="99" t="n">
        <f aca="false">Timeline!X4</f>
        <v>47026</v>
      </c>
      <c r="Y4" s="99" t="n">
        <f aca="false">Timeline!Y4</f>
        <v>47118</v>
      </c>
      <c r="Z4" s="99" t="n">
        <f aca="false">Timeline!Z4</f>
        <v>47208</v>
      </c>
      <c r="AA4" s="99" t="n">
        <f aca="false">Timeline!AA4</f>
        <v>47299</v>
      </c>
      <c r="AB4" s="99" t="n">
        <f aca="false">Timeline!AB4</f>
        <v>47391</v>
      </c>
      <c r="AC4" s="99" t="n">
        <f aca="false">Timeline!AC4</f>
        <v>47483</v>
      </c>
      <c r="AD4" s="99" t="n">
        <f aca="false">Timeline!AD4</f>
        <v>47573</v>
      </c>
      <c r="AE4" s="99" t="n">
        <f aca="false">Timeline!AE4</f>
        <v>47664</v>
      </c>
      <c r="AF4" s="99" t="n">
        <f aca="false">Timeline!AF4</f>
        <v>47756</v>
      </c>
      <c r="AG4" s="99" t="n">
        <f aca="false">Timeline!AG4</f>
        <v>47848</v>
      </c>
    </row>
    <row r="5" customFormat="false" ht="15" hidden="false" customHeight="false" outlineLevel="0" collapsed="false">
      <c r="A5" s="18" t="s">
        <v>929</v>
      </c>
      <c r="E5" s="0" t="n">
        <v>0</v>
      </c>
      <c r="F5" s="18" t="n">
        <f aca="false">Timeline!F5</f>
        <v>1</v>
      </c>
      <c r="G5" s="18" t="n">
        <f aca="false">Timeline!G5</f>
        <v>2</v>
      </c>
      <c r="H5" s="18" t="n">
        <f aca="false">Timeline!H5</f>
        <v>3</v>
      </c>
      <c r="I5" s="18" t="n">
        <f aca="false">Timeline!I5</f>
        <v>4</v>
      </c>
      <c r="J5" s="18" t="n">
        <f aca="false">Timeline!J5</f>
        <v>5</v>
      </c>
      <c r="K5" s="18" t="n">
        <f aca="false">Timeline!K5</f>
        <v>6</v>
      </c>
      <c r="L5" s="18" t="n">
        <f aca="false">Timeline!L5</f>
        <v>7</v>
      </c>
      <c r="M5" s="18" t="n">
        <f aca="false">Timeline!M5</f>
        <v>8</v>
      </c>
      <c r="N5" s="18" t="n">
        <f aca="false">Timeline!N5</f>
        <v>9</v>
      </c>
      <c r="O5" s="18" t="n">
        <f aca="false">Timeline!O5</f>
        <v>10</v>
      </c>
      <c r="P5" s="18" t="n">
        <f aca="false">Timeline!P5</f>
        <v>11</v>
      </c>
      <c r="Q5" s="18" t="n">
        <f aca="false">Timeline!Q5</f>
        <v>12</v>
      </c>
      <c r="R5" s="18" t="n">
        <f aca="false">Timeline!R5</f>
        <v>13</v>
      </c>
      <c r="S5" s="18" t="n">
        <f aca="false">Timeline!S5</f>
        <v>14</v>
      </c>
      <c r="T5" s="18" t="n">
        <f aca="false">Timeline!T5</f>
        <v>15</v>
      </c>
      <c r="U5" s="18" t="n">
        <f aca="false">Timeline!U5</f>
        <v>16</v>
      </c>
      <c r="V5" s="18" t="n">
        <f aca="false">Timeline!V5</f>
        <v>17</v>
      </c>
      <c r="W5" s="18" t="n">
        <f aca="false">Timeline!W5</f>
        <v>18</v>
      </c>
      <c r="X5" s="18" t="n">
        <f aca="false">Timeline!X5</f>
        <v>19</v>
      </c>
      <c r="Y5" s="18" t="n">
        <f aca="false">Timeline!Y5</f>
        <v>20</v>
      </c>
      <c r="Z5" s="18" t="n">
        <f aca="false">Timeline!Z5</f>
        <v>21</v>
      </c>
      <c r="AA5" s="18" t="n">
        <f aca="false">Timeline!AA5</f>
        <v>22</v>
      </c>
      <c r="AB5" s="18" t="n">
        <f aca="false">Timeline!AB5</f>
        <v>23</v>
      </c>
      <c r="AC5" s="18" t="n">
        <f aca="false">Timeline!AC5</f>
        <v>24</v>
      </c>
      <c r="AD5" s="18" t="n">
        <f aca="false">Timeline!AD5</f>
        <v>25</v>
      </c>
      <c r="AE5" s="18" t="n">
        <f aca="false">Timeline!AE5</f>
        <v>26</v>
      </c>
      <c r="AF5" s="18" t="n">
        <f aca="false">Timeline!AF5</f>
        <v>27</v>
      </c>
      <c r="AG5" s="18" t="n">
        <f aca="false">Timeline!AG5</f>
        <v>28</v>
      </c>
    </row>
    <row r="6" customFormat="false" ht="15" hidden="false" customHeight="false" outlineLevel="0" collapsed="false">
      <c r="A6" s="18" t="s">
        <v>1050</v>
      </c>
      <c r="F6" s="18" t="str">
        <f aca="false">Timeline!F6</f>
        <v>A</v>
      </c>
      <c r="G6" s="18" t="str">
        <f aca="false">Timeline!G6</f>
        <v>A</v>
      </c>
      <c r="H6" s="18" t="str">
        <f aca="false">Timeline!H6</f>
        <v>A</v>
      </c>
      <c r="I6" s="18" t="str">
        <f aca="false">Timeline!I6</f>
        <v>A</v>
      </c>
      <c r="J6" s="18" t="str">
        <f aca="false">Timeline!J6</f>
        <v>A</v>
      </c>
      <c r="K6" s="18" t="str">
        <f aca="false">Timeline!K6</f>
        <v>A</v>
      </c>
      <c r="L6" s="18" t="str">
        <f aca="false">Timeline!L6</f>
        <v>A</v>
      </c>
      <c r="M6" s="18" t="str">
        <f aca="false">Timeline!M6</f>
        <v>A</v>
      </c>
      <c r="N6" s="18" t="str">
        <f aca="false">Timeline!N6</f>
        <v>A</v>
      </c>
      <c r="O6" s="18" t="str">
        <f aca="false">Timeline!O6</f>
        <v>A</v>
      </c>
      <c r="P6" s="18" t="str">
        <f aca="false">Timeline!P6</f>
        <v>F</v>
      </c>
      <c r="Q6" s="18" t="str">
        <f aca="false">Timeline!Q6</f>
        <v>F</v>
      </c>
      <c r="R6" s="18" t="str">
        <f aca="false">Timeline!R6</f>
        <v>F</v>
      </c>
      <c r="S6" s="18" t="str">
        <f aca="false">Timeline!S6</f>
        <v>F</v>
      </c>
      <c r="T6" s="18" t="str">
        <f aca="false">Timeline!T6</f>
        <v>F</v>
      </c>
      <c r="U6" s="18" t="str">
        <f aca="false">Timeline!U6</f>
        <v>F</v>
      </c>
      <c r="V6" s="18" t="str">
        <f aca="false">Timeline!V6</f>
        <v>F</v>
      </c>
      <c r="W6" s="18" t="str">
        <f aca="false">Timeline!W6</f>
        <v>F</v>
      </c>
      <c r="X6" s="18" t="str">
        <f aca="false">Timeline!X6</f>
        <v>F</v>
      </c>
      <c r="Y6" s="18" t="str">
        <f aca="false">Timeline!Y6</f>
        <v>F</v>
      </c>
      <c r="Z6" s="18" t="str">
        <f aca="false">Timeline!Z6</f>
        <v>F</v>
      </c>
      <c r="AA6" s="18" t="str">
        <f aca="false">Timeline!AA6</f>
        <v>F</v>
      </c>
      <c r="AB6" s="18" t="str">
        <f aca="false">Timeline!AB6</f>
        <v>F</v>
      </c>
      <c r="AC6" s="18" t="str">
        <f aca="false">Timeline!AC6</f>
        <v>F</v>
      </c>
      <c r="AD6" s="18" t="str">
        <f aca="false">Timeline!AD6</f>
        <v>F</v>
      </c>
      <c r="AE6" s="18" t="str">
        <f aca="false">Timeline!AE6</f>
        <v>F</v>
      </c>
      <c r="AF6" s="18" t="str">
        <f aca="false">Timeline!AF6</f>
        <v>F</v>
      </c>
      <c r="AG6" s="18" t="str">
        <f aca="false">Timeline!AG6</f>
        <v>F</v>
      </c>
    </row>
    <row r="7" customFormat="false" ht="15" hidden="false" customHeight="false" outlineLevel="0" collapsed="false">
      <c r="A7" s="18" t="s">
        <v>931</v>
      </c>
      <c r="F7" s="18" t="n">
        <f aca="false">Timeline!F7</f>
        <v>2024</v>
      </c>
      <c r="G7" s="18" t="n">
        <f aca="false">Timeline!G7</f>
        <v>2024</v>
      </c>
      <c r="H7" s="18" t="n">
        <f aca="false">Timeline!H7</f>
        <v>2024</v>
      </c>
      <c r="I7" s="18" t="n">
        <f aca="false">Timeline!I7</f>
        <v>2024</v>
      </c>
      <c r="J7" s="18" t="n">
        <f aca="false">Timeline!J7</f>
        <v>2025</v>
      </c>
      <c r="K7" s="18" t="n">
        <f aca="false">Timeline!K7</f>
        <v>2025</v>
      </c>
      <c r="L7" s="18" t="n">
        <f aca="false">Timeline!L7</f>
        <v>2025</v>
      </c>
      <c r="M7" s="18" t="n">
        <f aca="false">Timeline!M7</f>
        <v>2025</v>
      </c>
      <c r="N7" s="18" t="n">
        <f aca="false">Timeline!N7</f>
        <v>2026</v>
      </c>
      <c r="O7" s="18" t="n">
        <f aca="false">Timeline!O7</f>
        <v>2026</v>
      </c>
      <c r="P7" s="18" t="n">
        <f aca="false">Timeline!P7</f>
        <v>2026</v>
      </c>
      <c r="Q7" s="18" t="n">
        <f aca="false">Timeline!Q7</f>
        <v>2026</v>
      </c>
      <c r="R7" s="18" t="n">
        <f aca="false">Timeline!R7</f>
        <v>2027</v>
      </c>
      <c r="S7" s="18" t="n">
        <f aca="false">Timeline!S7</f>
        <v>2027</v>
      </c>
      <c r="T7" s="18" t="n">
        <f aca="false">Timeline!T7</f>
        <v>2027</v>
      </c>
      <c r="U7" s="18" t="n">
        <f aca="false">Timeline!U7</f>
        <v>2027</v>
      </c>
      <c r="V7" s="18" t="n">
        <f aca="false">Timeline!V7</f>
        <v>2028</v>
      </c>
      <c r="W7" s="18" t="n">
        <f aca="false">Timeline!W7</f>
        <v>2028</v>
      </c>
      <c r="X7" s="18" t="n">
        <f aca="false">Timeline!X7</f>
        <v>2028</v>
      </c>
      <c r="Y7" s="18" t="n">
        <f aca="false">Timeline!Y7</f>
        <v>2028</v>
      </c>
      <c r="Z7" s="18" t="n">
        <f aca="false">Timeline!Z7</f>
        <v>2029</v>
      </c>
      <c r="AA7" s="18" t="n">
        <f aca="false">Timeline!AA7</f>
        <v>2029</v>
      </c>
      <c r="AB7" s="18" t="n">
        <f aca="false">Timeline!AB7</f>
        <v>2029</v>
      </c>
      <c r="AC7" s="18" t="n">
        <f aca="false">Timeline!AC7</f>
        <v>2029</v>
      </c>
      <c r="AD7" s="18" t="n">
        <f aca="false">Timeline!AD7</f>
        <v>2030</v>
      </c>
      <c r="AE7" s="18" t="n">
        <f aca="false">Timeline!AE7</f>
        <v>2030</v>
      </c>
      <c r="AF7" s="18" t="n">
        <f aca="false">Timeline!AF7</f>
        <v>2030</v>
      </c>
      <c r="AG7" s="18" t="n">
        <f aca="false">Timeline!AG7</f>
        <v>2030</v>
      </c>
      <c r="AI7" s="18" t="n">
        <v>2024</v>
      </c>
      <c r="AJ7" s="18" t="n">
        <v>2025</v>
      </c>
      <c r="AK7" s="18" t="n">
        <v>2026</v>
      </c>
      <c r="AL7" s="18" t="n">
        <v>2027</v>
      </c>
      <c r="AM7" s="18" t="n">
        <v>2028</v>
      </c>
      <c r="AN7" s="18" t="n">
        <v>2029</v>
      </c>
      <c r="AO7" s="18" t="n">
        <v>2030</v>
      </c>
    </row>
    <row r="10" customFormat="false" ht="15" hidden="false" customHeight="false" outlineLevel="0" collapsed="false">
      <c r="A10" s="48" t="s">
        <v>2086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customFormat="false" ht="15" hidden="false" customHeight="false" outlineLevel="0" collapsed="false">
      <c r="A11" s="101" t="s">
        <v>2087</v>
      </c>
      <c r="B11" s="18" t="s">
        <v>415</v>
      </c>
      <c r="C11" s="18" t="s">
        <v>336</v>
      </c>
      <c r="D11" s="18"/>
      <c r="F11" s="105" t="n">
        <f aca="false">MAX(0,INDEX(MW_Act,1,1)-(INDEX(A_MW,1,1)-INDEX(A_BillMW,1,1)))</f>
        <v>25</v>
      </c>
      <c r="G11" s="105" t="n">
        <f aca="false">MAX(0,INDEX(MW_Act,1,2)-(INDEX(A_MW,1,2)-INDEX(A_BillMW,1,2)))</f>
        <v>25</v>
      </c>
      <c r="H11" s="105" t="n">
        <f aca="false">MAX(0,INDEX(MW_Act,1,3)-(INDEX(A_MW,1,3)-INDEX(A_BillMW,1,3)))</f>
        <v>25</v>
      </c>
      <c r="I11" s="105" t="n">
        <f aca="false">MAX(0,INDEX(MW_Act,1,4)-(INDEX(A_MW,1,4)-INDEX(A_BillMW,1,4)))</f>
        <v>30</v>
      </c>
      <c r="J11" s="105" t="n">
        <f aca="false">MAX(0,INDEX(MW_Act,1,5)-(INDEX(A_MW,1,5)-INDEX(A_BillMW,1,5)))</f>
        <v>40</v>
      </c>
      <c r="K11" s="105" t="n">
        <f aca="false">MAX(0,INDEX(MW_Act,1,6)-(INDEX(A_MW,1,6)-INDEX(A_BillMW,1,6)))</f>
        <v>45</v>
      </c>
      <c r="L11" s="105" t="n">
        <f aca="false">MAX(0,INDEX(MW_Act,1,7)-(INDEX(A_MW,1,7)-INDEX(A_BillMW,1,7)))</f>
        <v>62.5</v>
      </c>
      <c r="M11" s="105" t="n">
        <f aca="false">MAX(0,INDEX(MW_Act,1,8)-(INDEX(A_MW,1,8)-INDEX(A_BillMW,1,8)))</f>
        <v>147.7</v>
      </c>
      <c r="N11" s="105" t="n">
        <f aca="false">MAX(0,INDEX(MW_Act,1,9)-(INDEX(A_MW,1,9)-INDEX(A_BillMW,1,9)))</f>
        <v>171.5</v>
      </c>
      <c r="O11" s="105" t="n">
        <f aca="false">MAX(0,INDEX(MW_Act,1,10)-(INDEX(A_MW,1,10)-INDEX(A_BillMW,1,10)))</f>
        <v>173</v>
      </c>
      <c r="P11" s="25" t="n">
        <f aca="false">MAX(0,INDEX(MW_Act,1,11)-(INDEX(A_MW,1,11)-INDEX(A_BillMW,1,11)))</f>
        <v>168.75</v>
      </c>
      <c r="Q11" s="25" t="n">
        <f aca="false">MAX(0,INDEX(MW_Act,1,12)-(INDEX(A_MW,1,12)-INDEX(A_BillMW,1,12)))</f>
        <v>203.25</v>
      </c>
      <c r="R11" s="25" t="n">
        <f aca="false">MAX(0,INDEX(MW_Act,1,13)-(INDEX(A_MW,1,13)-INDEX(A_BillMW,1,13)))</f>
        <v>288.15</v>
      </c>
      <c r="S11" s="25" t="n">
        <f aca="false">MAX(0,INDEX(MW_Act,1,14)-(INDEX(A_MW,1,14)-INDEX(A_BillMW,1,14)))</f>
        <v>416.4</v>
      </c>
      <c r="T11" s="25" t="n">
        <f aca="false">MAX(0,INDEX(MW_Act,1,15)-(INDEX(A_MW,1,15)-INDEX(A_BillMW,1,15)))</f>
        <v>545.1</v>
      </c>
      <c r="U11" s="25" t="n">
        <f aca="false">MAX(0,INDEX(MW_Act,1,16)-(INDEX(A_MW,1,16)-INDEX(A_BillMW,1,16)))</f>
        <v>684.5</v>
      </c>
      <c r="V11" s="25" t="n">
        <f aca="false">MAX(0,INDEX(MW_Act,1,17)-(INDEX(A_MW,1,17)-INDEX(A_BillMW,1,17)))</f>
        <v>950</v>
      </c>
      <c r="W11" s="25" t="n">
        <f aca="false">MAX(0,INDEX(MW_Act,1,18)-(INDEX(A_MW,1,18)-INDEX(A_BillMW,1,18)))</f>
        <v>1042.5</v>
      </c>
      <c r="X11" s="25" t="n">
        <f aca="false">MAX(0,INDEX(MW_Act,1,19)-(INDEX(A_MW,1,19)-INDEX(A_BillMW,1,19)))</f>
        <v>1198.5</v>
      </c>
      <c r="Y11" s="25" t="n">
        <f aca="false">MAX(0,INDEX(MW_Act,1,20)-(INDEX(A_MW,1,20)-INDEX(A_BillMW,1,20)))</f>
        <v>1211</v>
      </c>
      <c r="Z11" s="25" t="n">
        <f aca="false">MAX(0,INDEX(MW_Act,1,21)-(INDEX(A_MW,1,21)-INDEX(A_BillMW,1,21)))</f>
        <v>1539</v>
      </c>
      <c r="AA11" s="25" t="n">
        <f aca="false">MAX(0,INDEX(MW_Act,1,22)-(INDEX(A_MW,1,22)-INDEX(A_BillMW,1,22)))</f>
        <v>1539</v>
      </c>
      <c r="AB11" s="25" t="n">
        <f aca="false">MAX(0,INDEX(MW_Act,1,23)-(INDEX(A_MW,1,23)-INDEX(A_BillMW,1,23)))</f>
        <v>1875</v>
      </c>
      <c r="AC11" s="25" t="n">
        <f aca="false">MAX(0,INDEX(MW_Act,1,24)-(INDEX(A_MW,1,24)-INDEX(A_BillMW,1,24)))</f>
        <v>1875</v>
      </c>
      <c r="AD11" s="25" t="n">
        <f aca="false">MAX(0,INDEX(MW_Act,1,25)-(INDEX(A_MW,1,25)-INDEX(A_BillMW,1,25)))</f>
        <v>2343</v>
      </c>
      <c r="AE11" s="25" t="n">
        <f aca="false">MAX(0,INDEX(MW_Act,1,26)-(INDEX(A_MW,1,26)-INDEX(A_BillMW,1,26)))</f>
        <v>2343</v>
      </c>
      <c r="AF11" s="25" t="n">
        <f aca="false">MAX(0,INDEX(MW_Act,1,27)-(INDEX(A_MW,1,27)-INDEX(A_BillMW,1,27)))</f>
        <v>2343</v>
      </c>
      <c r="AG11" s="25" t="n">
        <f aca="false">MAX(0,INDEX(MW_Act,1,28)-(INDEX(A_MW,1,28)-INDEX(A_BillMW,1,28)))</f>
        <v>2343</v>
      </c>
      <c r="AI11" s="25" t="n">
        <f aca="false">INDEX($F11:$AG11,1,MATCH(AI$7,$F$7:$AG$7,1))</f>
        <v>30</v>
      </c>
      <c r="AJ11" s="25" t="n">
        <f aca="false">INDEX($F11:$AG11,1,MATCH(AJ$7,$F$7:$AG$7,1))</f>
        <v>147.7</v>
      </c>
      <c r="AK11" s="25" t="n">
        <f aca="false">INDEX($F11:$AG11,1,MATCH(AK$7,$F$7:$AG$7,1))</f>
        <v>203.25</v>
      </c>
      <c r="AL11" s="25" t="n">
        <f aca="false">INDEX($F11:$AG11,1,MATCH(AL$7,$F$7:$AG$7,1))</f>
        <v>684.5</v>
      </c>
      <c r="AM11" s="25" t="n">
        <f aca="false">INDEX($F11:$AG11,1,MATCH(AM$7,$F$7:$AG$7,1))</f>
        <v>1211</v>
      </c>
      <c r="AN11" s="25" t="n">
        <f aca="false">INDEX($F11:$AG11,1,MATCH(AN$7,$F$7:$AG$7,1))</f>
        <v>1875</v>
      </c>
      <c r="AO11" s="25" t="n">
        <f aca="false">INDEX($F11:$AG11,1,MATCH(AO$7,$F$7:$AG$7,1))</f>
        <v>2343</v>
      </c>
    </row>
    <row r="12" customFormat="false" ht="15" hidden="false" customHeight="false" outlineLevel="0" collapsed="false">
      <c r="A12" s="101" t="s">
        <v>2088</v>
      </c>
      <c r="B12" s="18" t="s">
        <v>415</v>
      </c>
      <c r="C12" s="18" t="s">
        <v>1041</v>
      </c>
      <c r="D12" s="18"/>
      <c r="F12" s="105" t="n">
        <f aca="false">INDEX(MW_Contr,1,1)</f>
        <v>0</v>
      </c>
      <c r="G12" s="105" t="n">
        <f aca="false">INDEX(MW_Contr,1,2)</f>
        <v>0</v>
      </c>
      <c r="H12" s="105" t="n">
        <f aca="false">INDEX(MW_Contr,1,3)</f>
        <v>5</v>
      </c>
      <c r="I12" s="105" t="n">
        <f aca="false">INDEX(MW_Contr,1,4)</f>
        <v>130</v>
      </c>
      <c r="J12" s="105" t="n">
        <f aca="false">INDEX(MW_Contr,1,5)</f>
        <v>430</v>
      </c>
      <c r="K12" s="105" t="n">
        <f aca="false">INDEX(MW_Contr,1,6)</f>
        <v>454</v>
      </c>
      <c r="L12" s="105" t="n">
        <f aca="false">INDEX(MW_Contr,1,7)</f>
        <v>694</v>
      </c>
      <c r="M12" s="105" t="n">
        <f aca="false">INDEX(MW_Contr,1,8)</f>
        <v>1654</v>
      </c>
      <c r="N12" s="105" t="n">
        <f aca="false">INDEX(MW_Contr,1,9)</f>
        <v>2200</v>
      </c>
      <c r="O12" s="105" t="n">
        <f aca="false">INDEX(MW_Contr,1,10)</f>
        <v>3239</v>
      </c>
      <c r="P12" s="25" t="n">
        <f aca="false">INDEX(MW_Contr,1,11)</f>
        <v>3400</v>
      </c>
      <c r="Q12" s="25" t="n">
        <f aca="false">INDEX(MW_Contr,1,12)</f>
        <v>4000</v>
      </c>
      <c r="R12" s="25" t="n">
        <f aca="false">INDEX(MW_Contr,1,13)</f>
        <v>4000</v>
      </c>
      <c r="S12" s="25" t="n">
        <f aca="false">INDEX(MW_Contr,1,14)</f>
        <v>4000</v>
      </c>
      <c r="T12" s="25" t="n">
        <f aca="false">INDEX(MW_Contr,1,15)</f>
        <v>4000</v>
      </c>
      <c r="U12" s="25" t="n">
        <f aca="false">INDEX(MW_Contr,1,16)</f>
        <v>4000</v>
      </c>
      <c r="V12" s="25" t="n">
        <f aca="false">INDEX(MW_Contr,1,17)</f>
        <v>4000</v>
      </c>
      <c r="W12" s="25" t="n">
        <f aca="false">INDEX(MW_Contr,1,18)</f>
        <v>4000</v>
      </c>
      <c r="X12" s="25" t="n">
        <f aca="false">INDEX(MW_Contr,1,19)</f>
        <v>4000</v>
      </c>
      <c r="Y12" s="25" t="n">
        <f aca="false">INDEX(MW_Contr,1,20)</f>
        <v>4000</v>
      </c>
      <c r="Z12" s="25" t="n">
        <f aca="false">INDEX(MW_Contr,1,21)</f>
        <v>4000</v>
      </c>
      <c r="AA12" s="25" t="n">
        <f aca="false">INDEX(MW_Contr,1,22)</f>
        <v>4000</v>
      </c>
      <c r="AB12" s="25" t="n">
        <f aca="false">INDEX(MW_Contr,1,23)</f>
        <v>4000</v>
      </c>
      <c r="AC12" s="25" t="n">
        <f aca="false">INDEX(MW_Contr,1,24)</f>
        <v>4000</v>
      </c>
      <c r="AD12" s="25" t="n">
        <f aca="false">INDEX(MW_Contr,1,25)</f>
        <v>4000</v>
      </c>
      <c r="AE12" s="25" t="n">
        <f aca="false">INDEX(MW_Contr,1,26)</f>
        <v>4000</v>
      </c>
      <c r="AF12" s="25" t="n">
        <f aca="false">INDEX(MW_Contr,1,27)</f>
        <v>4000</v>
      </c>
      <c r="AG12" s="25" t="n">
        <f aca="false">INDEX(MW_Contr,1,28)</f>
        <v>4000</v>
      </c>
      <c r="AI12" s="25" t="n">
        <f aca="false">INDEX($F12:$AG12,1,MATCH(AI$7,$F$7:$AG$7,1))</f>
        <v>130</v>
      </c>
      <c r="AJ12" s="25" t="n">
        <f aca="false">INDEX($F12:$AG12,1,MATCH(AJ$7,$F$7:$AG$7,1))</f>
        <v>1654</v>
      </c>
      <c r="AK12" s="25" t="n">
        <f aca="false">INDEX($F12:$AG12,1,MATCH(AK$7,$F$7:$AG$7,1))</f>
        <v>4000</v>
      </c>
      <c r="AL12" s="25" t="n">
        <f aca="false">INDEX($F12:$AG12,1,MATCH(AL$7,$F$7:$AG$7,1))</f>
        <v>4000</v>
      </c>
      <c r="AM12" s="25" t="n">
        <f aca="false">INDEX($F12:$AG12,1,MATCH(AM$7,$F$7:$AG$7,1))</f>
        <v>4000</v>
      </c>
      <c r="AN12" s="25" t="n">
        <f aca="false">INDEX($F12:$AG12,1,MATCH(AN$7,$F$7:$AG$7,1))</f>
        <v>4000</v>
      </c>
      <c r="AO12" s="25" t="n">
        <f aca="false">INDEX($F12:$AG12,1,MATCH(AO$7,$F$7:$AG$7,1))</f>
        <v>4000</v>
      </c>
    </row>
    <row r="13" customFormat="false" ht="15" hidden="false" customHeight="false" outlineLevel="0" collapsed="false">
      <c r="A13" s="101" t="s">
        <v>2089</v>
      </c>
      <c r="B13" s="18" t="s">
        <v>415</v>
      </c>
      <c r="C13" s="18" t="s">
        <v>1041</v>
      </c>
      <c r="D13" s="18"/>
      <c r="F13" s="105" t="n">
        <f aca="false">INDEX(MW_En,1,1)</f>
        <v>25</v>
      </c>
      <c r="G13" s="105" t="n">
        <f aca="false">INDEX(MW_En,1,2)</f>
        <v>25</v>
      </c>
      <c r="H13" s="105" t="n">
        <f aca="false">INDEX(MW_En,1,3)</f>
        <v>25</v>
      </c>
      <c r="I13" s="105" t="n">
        <f aca="false">INDEX(MW_En,1,4)</f>
        <v>30</v>
      </c>
      <c r="J13" s="105" t="n">
        <f aca="false">INDEX(MW_En,1,5)</f>
        <v>40</v>
      </c>
      <c r="K13" s="105" t="n">
        <f aca="false">INDEX(MW_En,1,6)</f>
        <v>45</v>
      </c>
      <c r="L13" s="105" t="n">
        <f aca="false">INDEX(MW_En,1,7)</f>
        <v>62.5</v>
      </c>
      <c r="M13" s="105" t="n">
        <f aca="false">INDEX(MW_En,1,8)</f>
        <v>147.7</v>
      </c>
      <c r="N13" s="105" t="n">
        <f aca="false">INDEX(MW_En,1,9)</f>
        <v>171.5</v>
      </c>
      <c r="O13" s="105" t="n">
        <f aca="false">INDEX(MW_En,1,10)</f>
        <v>173</v>
      </c>
      <c r="P13" s="25" t="n">
        <f aca="false">INDEX(MW_En,1,11)</f>
        <v>207.5</v>
      </c>
      <c r="Q13" s="25" t="n">
        <f aca="false">INDEX(MW_En,1,12)</f>
        <v>292.4</v>
      </c>
      <c r="R13" s="25" t="n">
        <f aca="false">INDEX(MW_En,1,13)</f>
        <v>416.4</v>
      </c>
      <c r="S13" s="25" t="n">
        <f aca="false">INDEX(MW_En,1,14)</f>
        <v>545.1</v>
      </c>
      <c r="T13" s="25" t="n">
        <f aca="false">INDEX(MW_En,1,15)</f>
        <v>684.5</v>
      </c>
      <c r="U13" s="25" t="n">
        <f aca="false">INDEX(MW_En,1,16)</f>
        <v>950</v>
      </c>
      <c r="V13" s="25" t="n">
        <f aca="false">INDEX(MW_En,1,17)</f>
        <v>1042.5</v>
      </c>
      <c r="W13" s="25" t="n">
        <f aca="false">INDEX(MW_En,1,18)</f>
        <v>1198.5</v>
      </c>
      <c r="X13" s="25" t="n">
        <f aca="false">INDEX(MW_En,1,19)</f>
        <v>1211</v>
      </c>
      <c r="Y13" s="25" t="n">
        <f aca="false">INDEX(MW_En,1,20)</f>
        <v>1539</v>
      </c>
      <c r="Z13" s="25" t="n">
        <f aca="false">INDEX(MW_En,1,21)</f>
        <v>1539</v>
      </c>
      <c r="AA13" s="25" t="n">
        <f aca="false">INDEX(MW_En,1,22)</f>
        <v>1875</v>
      </c>
      <c r="AB13" s="25" t="n">
        <f aca="false">INDEX(MW_En,1,23)</f>
        <v>1875</v>
      </c>
      <c r="AC13" s="25" t="n">
        <f aca="false">INDEX(MW_En,1,24)</f>
        <v>2343</v>
      </c>
      <c r="AD13" s="25" t="n">
        <f aca="false">INDEX(MW_En,1,25)</f>
        <v>2343</v>
      </c>
      <c r="AE13" s="25" t="n">
        <f aca="false">INDEX(MW_En,1,26)</f>
        <v>2343</v>
      </c>
      <c r="AF13" s="25" t="n">
        <f aca="false">INDEX(MW_En,1,27)</f>
        <v>2343</v>
      </c>
      <c r="AG13" s="25" t="n">
        <f aca="false">INDEX(MW_En,1,28)</f>
        <v>2803</v>
      </c>
      <c r="AI13" s="25" t="n">
        <f aca="false">INDEX($F13:$AG13,1,MATCH(AI$7,$F$7:$AG$7,1))</f>
        <v>30</v>
      </c>
      <c r="AJ13" s="25" t="n">
        <f aca="false">INDEX($F13:$AG13,1,MATCH(AJ$7,$F$7:$AG$7,1))</f>
        <v>147.7</v>
      </c>
      <c r="AK13" s="25" t="n">
        <f aca="false">INDEX($F13:$AG13,1,MATCH(AK$7,$F$7:$AG$7,1))</f>
        <v>292.4</v>
      </c>
      <c r="AL13" s="25" t="n">
        <f aca="false">INDEX($F13:$AG13,1,MATCH(AL$7,$F$7:$AG$7,1))</f>
        <v>950</v>
      </c>
      <c r="AM13" s="25" t="n">
        <f aca="false">INDEX($F13:$AG13,1,MATCH(AM$7,$F$7:$AG$7,1))</f>
        <v>1539</v>
      </c>
      <c r="AN13" s="25" t="n">
        <f aca="false">INDEX($F13:$AG13,1,MATCH(AN$7,$F$7:$AG$7,1))</f>
        <v>2343</v>
      </c>
      <c r="AO13" s="25" t="n">
        <f aca="false">INDEX($F13:$AG13,1,MATCH(AO$7,$F$7:$AG$7,1))</f>
        <v>2803</v>
      </c>
    </row>
    <row r="14" customFormat="false" ht="15" hidden="false" customHeight="false" outlineLevel="0" collapsed="false">
      <c r="A14" s="101" t="s">
        <v>2090</v>
      </c>
      <c r="B14" s="18" t="s">
        <v>415</v>
      </c>
      <c r="C14" s="18" t="s">
        <v>1041</v>
      </c>
      <c r="D14" s="18"/>
      <c r="F14" s="105" t="n">
        <f aca="false">INDEX(MW_Act,1,1)*INDEX(MW_OwnSh,1,1)</f>
        <v>25</v>
      </c>
      <c r="G14" s="105" t="n">
        <f aca="false">INDEX(MW_Act,1,2)*INDEX(MW_OwnSh,1,2)</f>
        <v>25</v>
      </c>
      <c r="H14" s="105" t="n">
        <f aca="false">INDEX(MW_Act,1,3)*INDEX(MW_OwnSh,1,3)</f>
        <v>25</v>
      </c>
      <c r="I14" s="105" t="n">
        <f aca="false">INDEX(MW_Act,1,4)*INDEX(MW_OwnSh,1,4)</f>
        <v>25</v>
      </c>
      <c r="J14" s="105" t="n">
        <f aca="false">INDEX(MW_Act,1,5)*INDEX(MW_OwnSh,1,5)</f>
        <v>25</v>
      </c>
      <c r="K14" s="105" t="n">
        <f aca="false">INDEX(MW_Act,1,6)*INDEX(MW_OwnSh,1,6)</f>
        <v>25</v>
      </c>
      <c r="L14" s="105" t="n">
        <f aca="false">INDEX(MW_Act,1,7)*INDEX(MW_OwnSh,1,7)</f>
        <v>37.5</v>
      </c>
      <c r="M14" s="105" t="n">
        <f aca="false">INDEX(MW_Act,1,8)*INDEX(MW_OwnSh,1,8)</f>
        <v>62.5</v>
      </c>
      <c r="N14" s="105" t="n">
        <f aca="false">INDEX(MW_Act,1,9)*INDEX(MW_OwnSh,1,9)</f>
        <v>75</v>
      </c>
      <c r="O14" s="105" t="n">
        <f aca="false">INDEX(MW_Act,1,10)*INDEX(MW_OwnSh,1,10)</f>
        <v>75</v>
      </c>
      <c r="P14" s="25" t="n">
        <f aca="false">INDEX(MW_Act,1,11)*INDEX(MW_OwnSh,1,11)</f>
        <v>62.5301204819277</v>
      </c>
      <c r="Q14" s="25" t="n">
        <f aca="false">INDEX(MW_Act,1,12)*INDEX(MW_OwnSh,1,12)</f>
        <v>53.2233242134063</v>
      </c>
      <c r="R14" s="25" t="n">
        <f aca="false">INDEX(MW_Act,1,13)*INDEX(MW_OwnSh,1,13)</f>
        <v>59.687800192123</v>
      </c>
      <c r="S14" s="25" t="n">
        <f aca="false">INDEX(MW_Act,1,14)*INDEX(MW_OwnSh,1,14)</f>
        <v>83.2647220693451</v>
      </c>
      <c r="T14" s="25" t="n">
        <f aca="false">INDEX(MW_Act,1,15)*INDEX(MW_OwnSh,1,15)</f>
        <v>145.731628926224</v>
      </c>
      <c r="U14" s="25" t="n">
        <f aca="false">INDEX(MW_Act,1,16)*INDEX(MW_OwnSh,1,16)</f>
        <v>247.140526315789</v>
      </c>
      <c r="V14" s="25" t="n">
        <f aca="false">INDEX(MW_Act,1,17)*INDEX(MW_OwnSh,1,17)</f>
        <v>385.467625899281</v>
      </c>
      <c r="W14" s="25" t="n">
        <f aca="false">INDEX(MW_Act,1,18)*INDEX(MW_OwnSh,1,18)</f>
        <v>503.635794743429</v>
      </c>
      <c r="X14" s="25" t="n">
        <f aca="false">INDEX(MW_Act,1,19)*INDEX(MW_OwnSh,1,19)</f>
        <v>573.023534269199</v>
      </c>
      <c r="Y14" s="25" t="n">
        <f aca="false">INDEX(MW_Act,1,20)*INDEX(MW_OwnSh,1,20)</f>
        <v>675.925276153346</v>
      </c>
      <c r="Z14" s="25" t="n">
        <f aca="false">INDEX(MW_Act,1,21)*INDEX(MW_OwnSh,1,21)</f>
        <v>859</v>
      </c>
      <c r="AA14" s="25" t="n">
        <f aca="false">INDEX(MW_Act,1,22)*INDEX(MW_OwnSh,1,22)</f>
        <v>980.856</v>
      </c>
      <c r="AB14" s="25" t="n">
        <f aca="false">INDEX(MW_Act,1,23)*INDEX(MW_OwnSh,1,23)</f>
        <v>1195</v>
      </c>
      <c r="AC14" s="25" t="n">
        <f aca="false">INDEX(MW_Act,1,24)*INDEX(MW_OwnSh,1,24)</f>
        <v>1330.82586427657</v>
      </c>
      <c r="AD14" s="25" t="n">
        <f aca="false">INDEX(MW_Act,1,25)*INDEX(MW_OwnSh,1,25)</f>
        <v>1663</v>
      </c>
      <c r="AE14" s="25" t="n">
        <f aca="false">INDEX(MW_Act,1,26)*INDEX(MW_OwnSh,1,26)</f>
        <v>1663</v>
      </c>
      <c r="AF14" s="25" t="n">
        <f aca="false">INDEX(MW_Act,1,27)*INDEX(MW_OwnSh,1,27)</f>
        <v>1663</v>
      </c>
      <c r="AG14" s="25" t="n">
        <f aca="false">INDEX(MW_Act,1,28)*INDEX(MW_OwnSh,1,28)</f>
        <v>1774.59471994292</v>
      </c>
      <c r="AI14" s="25" t="n">
        <f aca="false">INDEX($F14:$AG14,1,MATCH(AI$7,$F$7:$AG$7,1))</f>
        <v>25</v>
      </c>
      <c r="AJ14" s="25" t="n">
        <f aca="false">INDEX($F14:$AG14,1,MATCH(AJ$7,$F$7:$AG$7,1))</f>
        <v>62.5</v>
      </c>
      <c r="AK14" s="25" t="n">
        <f aca="false">INDEX($F14:$AG14,1,MATCH(AK$7,$F$7:$AG$7,1))</f>
        <v>53.2233242134063</v>
      </c>
      <c r="AL14" s="25" t="n">
        <f aca="false">INDEX($F14:$AG14,1,MATCH(AL$7,$F$7:$AG$7,1))</f>
        <v>247.140526315789</v>
      </c>
      <c r="AM14" s="25" t="n">
        <f aca="false">INDEX($F14:$AG14,1,MATCH(AM$7,$F$7:$AG$7,1))</f>
        <v>675.925276153346</v>
      </c>
      <c r="AN14" s="25" t="n">
        <f aca="false">INDEX($F14:$AG14,1,MATCH(AN$7,$F$7:$AG$7,1))</f>
        <v>1330.82586427657</v>
      </c>
      <c r="AO14" s="25" t="n">
        <f aca="false">INDEX($F14:$AG14,1,MATCH(AO$7,$F$7:$AG$7,1))</f>
        <v>1774.59471994292</v>
      </c>
    </row>
    <row r="15" customFormat="false" ht="15" hidden="false" customHeight="false" outlineLevel="0" collapsed="false">
      <c r="A15" s="101" t="s">
        <v>2091</v>
      </c>
      <c r="B15" s="18" t="s">
        <v>415</v>
      </c>
      <c r="C15" s="18" t="s">
        <v>1041</v>
      </c>
      <c r="D15" s="18"/>
      <c r="F15" s="105" t="n">
        <f aca="false">INDEX(MW_Act,1,1)*(1-INDEX(MW_OwnSh,1,1))</f>
        <v>0</v>
      </c>
      <c r="G15" s="105" t="n">
        <f aca="false">INDEX(MW_Act,1,2)*(1-INDEX(MW_OwnSh,1,2))</f>
        <v>0</v>
      </c>
      <c r="H15" s="105" t="n">
        <f aca="false">INDEX(MW_Act,1,3)*(1-INDEX(MW_OwnSh,1,3))</f>
        <v>0</v>
      </c>
      <c r="I15" s="105" t="n">
        <f aca="false">INDEX(MW_Act,1,4)*(1-INDEX(MW_OwnSh,1,4))</f>
        <v>5</v>
      </c>
      <c r="J15" s="105" t="n">
        <f aca="false">INDEX(MW_Act,1,5)*(1-INDEX(MW_OwnSh,1,5))</f>
        <v>15</v>
      </c>
      <c r="K15" s="105" t="n">
        <f aca="false">INDEX(MW_Act,1,6)*(1-INDEX(MW_OwnSh,1,6))</f>
        <v>20</v>
      </c>
      <c r="L15" s="105" t="n">
        <f aca="false">INDEX(MW_Act,1,7)*(1-INDEX(MW_OwnSh,1,7))</f>
        <v>25</v>
      </c>
      <c r="M15" s="105" t="n">
        <f aca="false">INDEX(MW_Act,1,8)*(1-INDEX(MW_OwnSh,1,8))</f>
        <v>85.2</v>
      </c>
      <c r="N15" s="105" t="n">
        <f aca="false">INDEX(MW_Act,1,9)*(1-INDEX(MW_OwnSh,1,9))</f>
        <v>96.5</v>
      </c>
      <c r="O15" s="105" t="n">
        <f aca="false">INDEX(MW_Act,1,10)*(1-INDEX(MW_OwnSh,1,10))</f>
        <v>98</v>
      </c>
      <c r="P15" s="25" t="n">
        <f aca="false">INDEX(MW_Act,1,11)*(1-INDEX(MW_OwnSh,1,11))</f>
        <v>110.469879518072</v>
      </c>
      <c r="Q15" s="25" t="n">
        <f aca="false">INDEX(MW_Act,1,12)*(1-INDEX(MW_OwnSh,1,12))</f>
        <v>154.276675786594</v>
      </c>
      <c r="R15" s="25" t="n">
        <f aca="false">INDEX(MW_Act,1,13)*(1-INDEX(MW_OwnSh,1,13))</f>
        <v>232.712199807877</v>
      </c>
      <c r="S15" s="25" t="n">
        <f aca="false">INDEX(MW_Act,1,14)*(1-INDEX(MW_OwnSh,1,14))</f>
        <v>333.135277930655</v>
      </c>
      <c r="T15" s="25" t="n">
        <f aca="false">INDEX(MW_Act,1,15)*(1-INDEX(MW_OwnSh,1,15))</f>
        <v>399.368371073777</v>
      </c>
      <c r="U15" s="25" t="n">
        <f aca="false">INDEX(MW_Act,1,16)*(1-INDEX(MW_OwnSh,1,16))</f>
        <v>437.359473684211</v>
      </c>
      <c r="V15" s="25" t="n">
        <f aca="false">INDEX(MW_Act,1,17)*(1-INDEX(MW_OwnSh,1,17))</f>
        <v>564.53237410072</v>
      </c>
      <c r="W15" s="25" t="n">
        <f aca="false">INDEX(MW_Act,1,18)*(1-INDEX(MW_OwnSh,1,18))</f>
        <v>538.864205256571</v>
      </c>
      <c r="X15" s="25" t="n">
        <f aca="false">INDEX(MW_Act,1,19)*(1-INDEX(MW_OwnSh,1,19))</f>
        <v>625.476465730801</v>
      </c>
      <c r="Y15" s="25" t="n">
        <f aca="false">INDEX(MW_Act,1,20)*(1-INDEX(MW_OwnSh,1,20))</f>
        <v>535.074723846654</v>
      </c>
      <c r="Z15" s="25" t="n">
        <f aca="false">INDEX(MW_Act,1,21)*(1-INDEX(MW_OwnSh,1,21))</f>
        <v>680</v>
      </c>
      <c r="AA15" s="25" t="n">
        <f aca="false">INDEX(MW_Act,1,22)*(1-INDEX(MW_OwnSh,1,22))</f>
        <v>558.144</v>
      </c>
      <c r="AB15" s="25" t="n">
        <f aca="false">INDEX(MW_Act,1,23)*(1-INDEX(MW_OwnSh,1,23))</f>
        <v>680</v>
      </c>
      <c r="AC15" s="25" t="n">
        <f aca="false">INDEX(MW_Act,1,24)*(1-INDEX(MW_OwnSh,1,24))</f>
        <v>544.174135723432</v>
      </c>
      <c r="AD15" s="25" t="n">
        <f aca="false">INDEX(MW_Act,1,25)*(1-INDEX(MW_OwnSh,1,25))</f>
        <v>680</v>
      </c>
      <c r="AE15" s="25" t="n">
        <f aca="false">INDEX(MW_Act,1,26)*(1-INDEX(MW_OwnSh,1,26))</f>
        <v>680</v>
      </c>
      <c r="AF15" s="25" t="n">
        <f aca="false">INDEX(MW_Act,1,27)*(1-INDEX(MW_OwnSh,1,27))</f>
        <v>680</v>
      </c>
      <c r="AG15" s="25" t="n">
        <f aca="false">INDEX(MW_Act,1,28)*(1-INDEX(MW_OwnSh,1,28))</f>
        <v>568.405280057082</v>
      </c>
      <c r="AI15" s="25" t="n">
        <f aca="false">INDEX($F15:$AG15,1,MATCH(AI$7,$F$7:$AG$7,1))</f>
        <v>5</v>
      </c>
      <c r="AJ15" s="25" t="n">
        <f aca="false">INDEX($F15:$AG15,1,MATCH(AJ$7,$F$7:$AG$7,1))</f>
        <v>85.2</v>
      </c>
      <c r="AK15" s="25" t="n">
        <f aca="false">INDEX($F15:$AG15,1,MATCH(AK$7,$F$7:$AG$7,1))</f>
        <v>154.276675786594</v>
      </c>
      <c r="AL15" s="25" t="n">
        <f aca="false">INDEX($F15:$AG15,1,MATCH(AL$7,$F$7:$AG$7,1))</f>
        <v>437.359473684211</v>
      </c>
      <c r="AM15" s="25" t="n">
        <f aca="false">INDEX($F15:$AG15,1,MATCH(AM$7,$F$7:$AG$7,1))</f>
        <v>535.074723846654</v>
      </c>
      <c r="AN15" s="25" t="n">
        <f aca="false">INDEX($F15:$AG15,1,MATCH(AN$7,$F$7:$AG$7,1))</f>
        <v>544.174135723432</v>
      </c>
      <c r="AO15" s="25" t="n">
        <f aca="false">INDEX($F15:$AG15,1,MATCH(AO$7,$F$7:$AG$7,1))</f>
        <v>568.405280057082</v>
      </c>
    </row>
    <row r="17" customFormat="false" ht="15" hidden="false" customHeight="false" outlineLevel="0" collapsed="false">
      <c r="A17" s="48" t="s">
        <v>2092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</row>
    <row r="18" customFormat="false" ht="15" hidden="false" customHeight="false" outlineLevel="0" collapsed="false">
      <c r="A18" s="3" t="s">
        <v>2093</v>
      </c>
      <c r="B18" s="18" t="s">
        <v>396</v>
      </c>
      <c r="C18" s="18" t="s">
        <v>336</v>
      </c>
      <c r="D18" s="18"/>
      <c r="F18" s="137" t="n">
        <f aca="false">IFERROR(INDEX(AIRev,1,1)*4/F11,0)</f>
        <v>1.648</v>
      </c>
      <c r="G18" s="137" t="n">
        <f aca="false">IFERROR(INDEX(AIRev,1,2)*4/G11,0)</f>
        <v>2.096</v>
      </c>
      <c r="H18" s="137" t="n">
        <f aca="false">IFERROR(INDEX(AIRev,1,3)*4/H11,0)</f>
        <v>4.624</v>
      </c>
      <c r="I18" s="137" t="n">
        <f aca="false">IFERROR(INDEX(AIRev,1,4)*4/I11,0)</f>
        <v>4.22666666666667</v>
      </c>
      <c r="J18" s="137" t="n">
        <f aca="false">IFERROR(INDEX(AIRev,1,5)*4/J11,0)</f>
        <v>4.14</v>
      </c>
      <c r="K18" s="137" t="n">
        <f aca="false">IFERROR(INDEX(AIRev,1,6)*4/K11,0)</f>
        <v>8.32</v>
      </c>
      <c r="L18" s="137" t="n">
        <f aca="false">IFERROR(INDEX(AIRev,1,7)*4/L11,0)</f>
        <v>8.8832</v>
      </c>
      <c r="M18" s="137" t="n">
        <f aca="false">IFERROR(INDEX(AIRev,1,8)*4/M11,0)</f>
        <v>5.80094786729858</v>
      </c>
      <c r="N18" s="137" t="n">
        <f aca="false">IFERROR(INDEX(AIRev,1,9)*4/N11,0)</f>
        <v>9.08921282798834</v>
      </c>
      <c r="O18" s="137" t="n">
        <f aca="false">IFERROR(INDEX(AIRev,1,10)*4/O11,0)</f>
        <v>13.2924855491329</v>
      </c>
      <c r="P18" s="138" t="n">
        <f aca="false">IFERROR(INDEX(AIRev,1,11)*4/P11,0)</f>
        <v>15.3158014402891</v>
      </c>
      <c r="Q18" s="138" t="n">
        <f aca="false">IFERROR(INDEX(AIRev,1,12)*4/Q11,0)</f>
        <v>15.3648413943711</v>
      </c>
      <c r="R18" s="138" t="n">
        <f aca="false">IFERROR(INDEX(AIRev,1,13)*4/R11,0)</f>
        <v>14.2145036750174</v>
      </c>
      <c r="S18" s="138" t="n">
        <f aca="false">IFERROR(INDEX(AIRev,1,14)*4/S11,0)</f>
        <v>14.4175432139159</v>
      </c>
      <c r="T18" s="138" t="n">
        <f aca="false">IFERROR(INDEX(AIRev,1,15)*4/T11,0)</f>
        <v>15.1898040194894</v>
      </c>
      <c r="U18" s="138" t="n">
        <f aca="false">IFERROR(INDEX(AIRev,1,16)*4/U11,0)</f>
        <v>15.7375735566392</v>
      </c>
      <c r="V18" s="138" t="n">
        <f aca="false">IFERROR(INDEX(AIRev,1,17)*4/V11,0)</f>
        <v>15.4853210757803</v>
      </c>
      <c r="W18" s="138" t="n">
        <f aca="false">IFERROR(INDEX(AIRev,1,18)*4/W11,0)</f>
        <v>17.4905461431909</v>
      </c>
      <c r="X18" s="138" t="n">
        <f aca="false">IFERROR(INDEX(AIRev,1,19)*4/X11,0)</f>
        <v>17.2591820212639</v>
      </c>
      <c r="Y18" s="138" t="n">
        <f aca="false">IFERROR(INDEX(AIRev,1,20)*4/Y11,0)</f>
        <v>18.4387440324675</v>
      </c>
      <c r="Z18" s="138" t="n">
        <f aca="false">IFERROR(INDEX(AIRev,1,21)*4/Z11,0)</f>
        <v>16.5677265061779</v>
      </c>
      <c r="AA18" s="138" t="n">
        <f aca="false">IFERROR(INDEX(AIRev,1,22)*4/AA11,0)</f>
        <v>18.6151879468034</v>
      </c>
      <c r="AB18" s="138" t="n">
        <f aca="false">IFERROR(INDEX(AIRev,1,23)*4/AB11,0)</f>
        <v>16.8983430653605</v>
      </c>
      <c r="AC18" s="138" t="n">
        <f aca="false">IFERROR(INDEX(AIRev,1,24)*4/AC11,0)</f>
        <v>18.5661753977151</v>
      </c>
      <c r="AD18" s="138" t="n">
        <f aca="false">IFERROR(INDEX(AIRev,1,25)*4/AD11,0)</f>
        <v>16.5999987343118</v>
      </c>
      <c r="AE18" s="138" t="n">
        <f aca="false">IFERROR(INDEX(AIRev,1,26)*4/AE11,0)</f>
        <v>18.4129082540115</v>
      </c>
      <c r="AF18" s="138" t="n">
        <f aca="false">IFERROR(INDEX(AIRev,1,27)*4/AF11,0)</f>
        <v>18.3051863487803</v>
      </c>
      <c r="AG18" s="138" t="n">
        <f aca="false">IFERROR(INDEX(AIRev,1,28)*4/AG11,0)</f>
        <v>18.50117606556</v>
      </c>
    </row>
    <row r="19" customFormat="false" ht="15" hidden="false" customHeight="false" outlineLevel="0" collapsed="false">
      <c r="A19" s="101" t="s">
        <v>2094</v>
      </c>
      <c r="B19" s="18" t="s">
        <v>396</v>
      </c>
      <c r="C19" s="18" t="s">
        <v>336</v>
      </c>
      <c r="D19" s="18"/>
      <c r="F19" s="139" t="n">
        <f aca="false">IFERROR(INDEX(AIRev,1,1)*4/F12,0)</f>
        <v>0</v>
      </c>
      <c r="G19" s="139" t="n">
        <f aca="false">IFERROR(INDEX(AIRev,1,2)*4/G12,0)</f>
        <v>0</v>
      </c>
      <c r="H19" s="139" t="n">
        <f aca="false">IFERROR(INDEX(AIRev,1,3)*4/H12,0)</f>
        <v>23.12</v>
      </c>
      <c r="I19" s="139" t="n">
        <f aca="false">IFERROR(INDEX(AIRev,1,4)*4/I12,0)</f>
        <v>0.975384615384615</v>
      </c>
      <c r="J19" s="139" t="n">
        <f aca="false">IFERROR(INDEX(AIRev,1,5)*4/J12,0)</f>
        <v>0.385116279069767</v>
      </c>
      <c r="K19" s="139" t="n">
        <f aca="false">IFERROR(INDEX(AIRev,1,6)*4/K12,0)</f>
        <v>0.824669603524229</v>
      </c>
      <c r="L19" s="139" t="n">
        <f aca="false">IFERROR(INDEX(AIRev,1,7)*4/L12,0)</f>
        <v>0.8</v>
      </c>
      <c r="M19" s="139" t="n">
        <f aca="false">IFERROR(INDEX(AIRev,1,8)*4/M12,0)</f>
        <v>0.518016928657799</v>
      </c>
      <c r="N19" s="139" t="n">
        <f aca="false">IFERROR(INDEX(AIRev,1,9)*4/N12,0)</f>
        <v>0.708545454545455</v>
      </c>
      <c r="O19" s="139" t="n">
        <f aca="false">IFERROR(INDEX(AIRev,1,10)*4/O12,0)</f>
        <v>0.709972213646187</v>
      </c>
      <c r="P19" s="140" t="n">
        <f aca="false">IFERROR(INDEX(AIRev,1,11)*4/P12,0)</f>
        <v>0.76015926266141</v>
      </c>
      <c r="Q19" s="140" t="n">
        <f aca="false">IFERROR(INDEX(AIRev,1,12)*4/Q12,0)</f>
        <v>0.780726003351483</v>
      </c>
      <c r="R19" s="140" t="n">
        <f aca="false">IFERROR(INDEX(AIRev,1,13)*4/R12,0)</f>
        <v>1.02397730848907</v>
      </c>
      <c r="S19" s="140" t="n">
        <f aca="false">IFERROR(INDEX(AIRev,1,14)*4/S12,0)</f>
        <v>1.50086624856864</v>
      </c>
      <c r="T19" s="140" t="n">
        <f aca="false">IFERROR(INDEX(AIRev,1,15)*4/T12,0)</f>
        <v>2.06999054275592</v>
      </c>
      <c r="U19" s="140" t="n">
        <f aca="false">IFERROR(INDEX(AIRev,1,16)*4/U12,0)</f>
        <v>2.69309227487989</v>
      </c>
      <c r="V19" s="140" t="n">
        <f aca="false">IFERROR(INDEX(AIRev,1,17)*4/V12,0)</f>
        <v>3.67776375549782</v>
      </c>
      <c r="W19" s="140" t="n">
        <f aca="false">IFERROR(INDEX(AIRev,1,18)*4/W12,0)</f>
        <v>4.55847358856912</v>
      </c>
      <c r="X19" s="140" t="n">
        <f aca="false">IFERROR(INDEX(AIRev,1,19)*4/X12,0)</f>
        <v>5.17128241312121</v>
      </c>
      <c r="Y19" s="140" t="n">
        <f aca="false">IFERROR(INDEX(AIRev,1,20)*4/Y12,0)</f>
        <v>5.58232975582955</v>
      </c>
      <c r="Z19" s="140" t="n">
        <f aca="false">IFERROR(INDEX(AIRev,1,21)*4/Z12,0)</f>
        <v>6.37443277325193</v>
      </c>
      <c r="AA19" s="140" t="n">
        <f aca="false">IFERROR(INDEX(AIRev,1,22)*4/AA12,0)</f>
        <v>7.16219356253261</v>
      </c>
      <c r="AB19" s="140" t="n">
        <f aca="false">IFERROR(INDEX(AIRev,1,23)*4/AB12,0)</f>
        <v>7.92109831188775</v>
      </c>
      <c r="AC19" s="140" t="n">
        <f aca="false">IFERROR(INDEX(AIRev,1,24)*4/AC12,0)</f>
        <v>8.70289471767898</v>
      </c>
      <c r="AD19" s="140" t="n">
        <f aca="false">IFERROR(INDEX(AIRev,1,25)*4/AD12,0)</f>
        <v>9.72344925862315</v>
      </c>
      <c r="AE19" s="140" t="n">
        <f aca="false">IFERROR(INDEX(AIRev,1,26)*4/AE12,0)</f>
        <v>10.7853610097873</v>
      </c>
      <c r="AF19" s="140" t="n">
        <f aca="false">IFERROR(INDEX(AIRev,1,27)*4/AF12,0)</f>
        <v>10.7222629037981</v>
      </c>
      <c r="AG19" s="140" t="n">
        <f aca="false">IFERROR(INDEX(AIRev,1,28)*4/AG12,0)</f>
        <v>10.8370638804018</v>
      </c>
    </row>
    <row r="20" customFormat="false" ht="15" hidden="false" customHeight="false" outlineLevel="0" collapsed="false">
      <c r="A20" s="101" t="s">
        <v>2095</v>
      </c>
      <c r="B20" s="18" t="s">
        <v>396</v>
      </c>
      <c r="C20" s="18" t="s">
        <v>336</v>
      </c>
      <c r="D20" s="18"/>
      <c r="F20" s="139" t="n">
        <f aca="false">IFERROR(INDEX(AIRev,1,1)*4/F13,0)</f>
        <v>1.648</v>
      </c>
      <c r="G20" s="139" t="n">
        <f aca="false">IFERROR(INDEX(AIRev,1,2)*4/G13,0)</f>
        <v>2.096</v>
      </c>
      <c r="H20" s="139" t="n">
        <f aca="false">IFERROR(INDEX(AIRev,1,3)*4/H13,0)</f>
        <v>4.624</v>
      </c>
      <c r="I20" s="139" t="n">
        <f aca="false">IFERROR(INDEX(AIRev,1,4)*4/I13,0)</f>
        <v>4.22666666666667</v>
      </c>
      <c r="J20" s="139" t="n">
        <f aca="false">IFERROR(INDEX(AIRev,1,5)*4/J13,0)</f>
        <v>4.14</v>
      </c>
      <c r="K20" s="139" t="n">
        <f aca="false">IFERROR(INDEX(AIRev,1,6)*4/K13,0)</f>
        <v>8.32</v>
      </c>
      <c r="L20" s="139" t="n">
        <f aca="false">IFERROR(INDEX(AIRev,1,7)*4/L13,0)</f>
        <v>8.8832</v>
      </c>
      <c r="M20" s="139" t="n">
        <f aca="false">IFERROR(INDEX(AIRev,1,8)*4/M13,0)</f>
        <v>5.80094786729858</v>
      </c>
      <c r="N20" s="139" t="n">
        <f aca="false">IFERROR(INDEX(AIRev,1,9)*4/N13,0)</f>
        <v>9.08921282798834</v>
      </c>
      <c r="O20" s="139" t="n">
        <f aca="false">IFERROR(INDEX(AIRev,1,10)*4/O13,0)</f>
        <v>13.2924855491329</v>
      </c>
      <c r="P20" s="140" t="n">
        <f aca="false">IFERROR(INDEX(AIRev,1,11)*4/P13,0)</f>
        <v>12.4556216532472</v>
      </c>
      <c r="Q20" s="140" t="n">
        <f aca="false">IFERROR(INDEX(AIRev,1,12)*4/Q13,0)</f>
        <v>10.680246283878</v>
      </c>
      <c r="R20" s="140" t="n">
        <f aca="false">IFERROR(INDEX(AIRev,1,13)*4/R13,0)</f>
        <v>9.83647750709958</v>
      </c>
      <c r="S20" s="140" t="n">
        <f aca="false">IFERROR(INDEX(AIRev,1,14)*4/S13,0)</f>
        <v>11.0135112718301</v>
      </c>
      <c r="T20" s="140" t="n">
        <f aca="false">IFERROR(INDEX(AIRev,1,15)*4/T13,0)</f>
        <v>12.0963654799469</v>
      </c>
      <c r="U20" s="140" t="n">
        <f aca="false">IFERROR(INDEX(AIRev,1,16)*4/U13,0)</f>
        <v>11.3393358942311</v>
      </c>
      <c r="V20" s="140" t="n">
        <f aca="false">IFERROR(INDEX(AIRev,1,17)*4/V13,0)</f>
        <v>14.111323762102</v>
      </c>
      <c r="W20" s="140" t="n">
        <f aca="false">IFERROR(INDEX(AIRev,1,18)*4/W13,0)</f>
        <v>15.2139293736141</v>
      </c>
      <c r="X20" s="140" t="n">
        <f aca="false">IFERROR(INDEX(AIRev,1,19)*4/X13,0)</f>
        <v>17.081031917824</v>
      </c>
      <c r="Y20" s="140" t="n">
        <f aca="false">IFERROR(INDEX(AIRev,1,20)*4/Y13,0)</f>
        <v>14.508979222429</v>
      </c>
      <c r="Z20" s="140" t="n">
        <f aca="false">IFERROR(INDEX(AIRev,1,21)*4/Z13,0)</f>
        <v>16.5677265061779</v>
      </c>
      <c r="AA20" s="140" t="n">
        <f aca="false">IFERROR(INDEX(AIRev,1,22)*4/AA13,0)</f>
        <v>15.2793462667362</v>
      </c>
      <c r="AB20" s="140" t="n">
        <f aca="false">IFERROR(INDEX(AIRev,1,23)*4/AB13,0)</f>
        <v>16.8983430653605</v>
      </c>
      <c r="AC20" s="140" t="n">
        <f aca="false">IFERROR(INDEX(AIRev,1,24)*4/AC13,0)</f>
        <v>14.8576947805019</v>
      </c>
      <c r="AD20" s="140" t="n">
        <f aca="false">IFERROR(INDEX(AIRev,1,25)*4/AD13,0)</f>
        <v>16.5999987343118</v>
      </c>
      <c r="AE20" s="140" t="n">
        <f aca="false">IFERROR(INDEX(AIRev,1,26)*4/AE13,0)</f>
        <v>18.4129082540115</v>
      </c>
      <c r="AF20" s="140" t="n">
        <f aca="false">IFERROR(INDEX(AIRev,1,27)*4/AF13,0)</f>
        <v>18.3051863487803</v>
      </c>
      <c r="AG20" s="140" t="n">
        <f aca="false">IFERROR(INDEX(AIRev,1,28)*4/AG13,0)</f>
        <v>15.4649502396029</v>
      </c>
    </row>
    <row r="21" customFormat="false" ht="15" hidden="false" customHeight="false" outlineLevel="0" collapsed="false">
      <c r="A21" s="101" t="s">
        <v>2096</v>
      </c>
      <c r="B21" s="18" t="s">
        <v>396</v>
      </c>
      <c r="C21" s="18" t="s">
        <v>336</v>
      </c>
      <c r="D21" s="18"/>
      <c r="F21" s="139" t="n">
        <f aca="false">IFERROR(INDEX(MS_Rev,1,1)*4/INDEX(MS_BillMW,1,1),0)</f>
        <v>0</v>
      </c>
      <c r="G21" s="139" t="n">
        <f aca="false">IFERROR(INDEX(MS_Rev,1,2)*4/INDEX(MS_BillMW,1,2),0)</f>
        <v>0</v>
      </c>
      <c r="H21" s="139" t="n">
        <f aca="false">IFERROR(INDEX(MS_Rev,1,3)*4/INDEX(MS_BillMW,1,3),0)</f>
        <v>0</v>
      </c>
      <c r="I21" s="139" t="n">
        <f aca="false">IFERROR(INDEX(MS_Rev,1,4)*4/INDEX(MS_BillMW,1,4),0)</f>
        <v>0</v>
      </c>
      <c r="J21" s="139" t="n">
        <f aca="false">IFERROR(INDEX(MS_Rev,1,5)*4/INDEX(MS_BillMW,1,5),0)</f>
        <v>0</v>
      </c>
      <c r="K21" s="139" t="n">
        <f aca="false">IFERROR(INDEX(MS_Rev,1,6)*4/INDEX(MS_BillMW,1,6),0)</f>
        <v>0</v>
      </c>
      <c r="L21" s="139" t="n">
        <f aca="false">IFERROR(INDEX(MS_Rev,1,7)*4/INDEX(MS_BillMW,1,7),0)</f>
        <v>0</v>
      </c>
      <c r="M21" s="139" t="n">
        <f aca="false">IFERROR(INDEX(MS_Rev,1,8)*4/INDEX(MS_BillMW,1,8),0)</f>
        <v>1.81176041666667</v>
      </c>
      <c r="N21" s="139" t="n">
        <f aca="false">IFERROR(INDEX(MS_Rev,1,9)*4/INDEX(MS_BillMW,1,9),0)</f>
        <v>4.52940104166667</v>
      </c>
      <c r="O21" s="139" t="n">
        <f aca="false">IFERROR(INDEX(MS_Rev,1,10)*4/INDEX(MS_BillMW,1,10),0)</f>
        <v>9.05880208333333</v>
      </c>
      <c r="P21" s="140" t="n">
        <f aca="false">IFERROR(INDEX(MS_Rev,1,11)*4/INDEX(MS_BillMW,1,11),0)</f>
        <v>7.24704166666667</v>
      </c>
      <c r="Q21" s="140" t="n">
        <f aca="false">IFERROR(INDEX(MS_Rev,1,12)*4/INDEX(MS_BillMW,1,12),0)</f>
        <v>10.8705625</v>
      </c>
      <c r="R21" s="140" t="n">
        <f aca="false">IFERROR(INDEX(MS_Rev,1,13)*4/INDEX(MS_BillMW,1,13),0)</f>
        <v>12.6823229166667</v>
      </c>
      <c r="S21" s="140" t="n">
        <f aca="false">IFERROR(INDEX(MS_Rev,1,14)*4/INDEX(MS_BillMW,1,14),0)</f>
        <v>10.2666423611111</v>
      </c>
      <c r="T21" s="140" t="n">
        <f aca="false">IFERROR(INDEX(MS_Rev,1,15)*4/INDEX(MS_BillMW,1,15),0)</f>
        <v>8.65618865740741</v>
      </c>
      <c r="U21" s="140" t="n">
        <f aca="false">IFERROR(INDEX(MS_Rev,1,16)*4/INDEX(MS_BillMW,1,16),0)</f>
        <v>11.2731759259259</v>
      </c>
      <c r="V21" s="140" t="n">
        <f aca="false">IFERROR(INDEX(MS_Rev,1,17)*4/INDEX(MS_BillMW,1,17),0)</f>
        <v>13.2862430555556</v>
      </c>
      <c r="W21" s="140" t="n">
        <f aca="false">IFERROR(INDEX(MS_Rev,1,18)*4/INDEX(MS_BillMW,1,18),0)</f>
        <v>14.4940833333333</v>
      </c>
      <c r="X21" s="140" t="n">
        <f aca="false">IFERROR(INDEX(MS_Rev,1,19)*4/INDEX(MS_BillMW,1,19),0)</f>
        <v>14.4940833333333</v>
      </c>
      <c r="Y21" s="140" t="n">
        <f aca="false">IFERROR(INDEX(MS_Rev,1,20)*4/INDEX(MS_BillMW,1,20),0)</f>
        <v>14.4940833333333</v>
      </c>
      <c r="Z21" s="140" t="n">
        <f aca="false">IFERROR(INDEX(MS_Rev,1,21)*4/INDEX(MS_BillMW,1,21),0)</f>
        <v>14.4940833333333</v>
      </c>
      <c r="AA21" s="140" t="n">
        <f aca="false">IFERROR(INDEX(MS_Rev,1,22)*4/INDEX(MS_BillMW,1,22),0)</f>
        <v>14.4940833333333</v>
      </c>
      <c r="AB21" s="140" t="n">
        <f aca="false">IFERROR(INDEX(MS_Rev,1,23)*4/INDEX(MS_BillMW,1,23),0)</f>
        <v>14.4940833333333</v>
      </c>
      <c r="AC21" s="140" t="n">
        <f aca="false">IFERROR(INDEX(MS_Rev,1,24)*4/INDEX(MS_BillMW,1,24),0)</f>
        <v>14.4940833333333</v>
      </c>
      <c r="AD21" s="140" t="n">
        <f aca="false">IFERROR(INDEX(MS_Rev,1,25)*4/INDEX(MS_BillMW,1,25),0)</f>
        <v>14.4940833333333</v>
      </c>
      <c r="AE21" s="140" t="n">
        <f aca="false">IFERROR(INDEX(MS_Rev,1,26)*4/INDEX(MS_BillMW,1,26),0)</f>
        <v>14.4940833333333</v>
      </c>
      <c r="AF21" s="140" t="n">
        <f aca="false">IFERROR(INDEX(MS_Rev,1,27)*4/INDEX(MS_BillMW,1,27),0)</f>
        <v>14.4940833333333</v>
      </c>
      <c r="AG21" s="140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48" t="s">
        <v>2097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 customFormat="false" ht="15" hidden="false" customHeight="false" outlineLevel="0" collapsed="false">
      <c r="A24" s="101" t="s">
        <v>2098</v>
      </c>
      <c r="B24" s="18" t="s">
        <v>2099</v>
      </c>
      <c r="C24" s="18" t="s">
        <v>336</v>
      </c>
      <c r="D24" s="18"/>
      <c r="F24" s="105" t="n">
        <f aca="false">IFERROR(INDEX(AIRev,1,1)*4000/INDEX(GPU_Avg,1,1),0)</f>
        <v>3.00444833369795</v>
      </c>
      <c r="G24" s="105" t="n">
        <f aca="false">IFERROR(INDEX(AIRev,1,2)*4000/INDEX(GPU_Avg,1,2),0)</f>
        <v>3.82119157004303</v>
      </c>
      <c r="H24" s="105" t="n">
        <f aca="false">IFERROR(INDEX(AIRev,1,3)*4000/INDEX(GPU_Avg,1,3),0)</f>
        <v>8.42995697513309</v>
      </c>
      <c r="I24" s="105" t="n">
        <f aca="false">IFERROR(INDEX(AIRev,1,4)*4000/INDEX(GPU_Avg,1,4),0)</f>
        <v>8.40597964798303</v>
      </c>
      <c r="J24" s="105" t="n">
        <f aca="false">IFERROR(INDEX(AIRev,1,5)*4000/INDEX(GPU_Avg,1,5),0)</f>
        <v>7.12932667470295</v>
      </c>
      <c r="K24" s="105" t="n">
        <f aca="false">IFERROR(INDEX(AIRev,1,6)*4000/INDEX(GPU_Avg,1,6),0)</f>
        <v>11.9343990564685</v>
      </c>
      <c r="L24" s="105" t="n">
        <f aca="false">IFERROR(INDEX(AIRev,1,7)*4000/INDEX(GPU_Avg,1,7),0)</f>
        <v>15.3036191736266</v>
      </c>
      <c r="M24" s="105" t="n">
        <f aca="false">IFERROR(INDEX(AIRev,1,8)*4000/INDEX(GPU_Avg,1,8),0)</f>
        <v>14.6605638020276</v>
      </c>
      <c r="N24" s="105" t="n">
        <f aca="false">IFERROR(INDEX(AIRev,1,9)*4000/INDEX(GPU_Avg,1,9),0)</f>
        <v>18.9165574486675</v>
      </c>
      <c r="O24" s="105" t="n">
        <f aca="false">IFERROR(INDEX(AIRev,1,10)*4000/INDEX(GPU_Avg,1,10),0)</f>
        <v>26.1002309704732</v>
      </c>
      <c r="P24" s="25" t="n">
        <f aca="false">IFERROR(INDEX(AIRev,1,11)*4000/INDEX(GPU_Avg,1,11),0)</f>
        <v>29.2121106871861</v>
      </c>
      <c r="Q24" s="25" t="n">
        <f aca="false">IFERROR(INDEX(AIRev,1,12)*4000/INDEX(GPU_Avg,1,12),0)</f>
        <v>32.343935593984</v>
      </c>
      <c r="R24" s="25" t="n">
        <f aca="false">IFERROR(INDEX(AIRev,1,13)*4000/INDEX(GPU_Avg,1,13),0)</f>
        <v>32.7634733087463</v>
      </c>
      <c r="S24" s="25" t="n">
        <f aca="false">IFERROR(INDEX(AIRev,1,14)*4000/INDEX(GPU_Avg,1,14),0)</f>
        <v>34.4030222474819</v>
      </c>
      <c r="T24" s="25" t="n">
        <f aca="false">IFERROR(INDEX(AIRev,1,15)*4000/INDEX(GPU_Avg,1,15),0)</f>
        <v>35.4439814347331</v>
      </c>
      <c r="U24" s="25" t="n">
        <f aca="false">IFERROR(INDEX(AIRev,1,16)*4000/INDEX(GPU_Avg,1,16),0)</f>
        <v>37.0746995855209</v>
      </c>
      <c r="V24" s="25" t="n">
        <f aca="false">IFERROR(INDEX(AIRev,1,17)*4000/INDEX(GPU_Avg,1,17),0)</f>
        <v>39.8625505108226</v>
      </c>
      <c r="W24" s="25" t="n">
        <f aca="false">IFERROR(INDEX(AIRev,1,18)*4000/INDEX(GPU_Avg,1,18),0)</f>
        <v>41.8279578512786</v>
      </c>
      <c r="X24" s="25" t="n">
        <f aca="false">IFERROR(INDEX(AIRev,1,19)*4000/INDEX(GPU_Avg,1,19),0)</f>
        <v>43.3370688370713</v>
      </c>
      <c r="Y24" s="25" t="n">
        <f aca="false">IFERROR(INDEX(AIRev,1,20)*4000/INDEX(GPU_Avg,1,20),0)</f>
        <v>44.1867238360672</v>
      </c>
      <c r="Z24" s="25" t="n">
        <f aca="false">IFERROR(INDEX(AIRev,1,21)*4000/INDEX(GPU_Avg,1,21),0)</f>
        <v>45.0216318933505</v>
      </c>
      <c r="AA24" s="25" t="n">
        <f aca="false">IFERROR(INDEX(AIRev,1,22)*4000/INDEX(GPU_Avg,1,22),0)</f>
        <v>45.8125303832913</v>
      </c>
      <c r="AB24" s="25" t="n">
        <f aca="false">IFERROR(INDEX(AIRev,1,23)*4000/INDEX(GPU_Avg,1,23),0)</f>
        <v>46.497734500044</v>
      </c>
      <c r="AC24" s="25" t="n">
        <f aca="false">IFERROR(INDEX(AIRev,1,24)*4000/INDEX(GPU_Avg,1,24),0)</f>
        <v>47.2029088889798</v>
      </c>
      <c r="AD24" s="25" t="n">
        <f aca="false">IFERROR(INDEX(AIRev,1,25)*4000/INDEX(GPU_Avg,1,25),0)</f>
        <v>47.6881909186622</v>
      </c>
      <c r="AE24" s="25" t="n">
        <f aca="false">IFERROR(INDEX(AIRev,1,26)*4000/INDEX(GPU_Avg,1,26),0)</f>
        <v>48.2737660212279</v>
      </c>
      <c r="AF24" s="25" t="n">
        <f aca="false">IFERROR(INDEX(AIRev,1,27)*4000/INDEX(GPU_Avg,1,27),0)</f>
        <v>47.9913477320172</v>
      </c>
      <c r="AG24" s="25" t="n">
        <f aca="false">IFERROR(INDEX(AIRev,1,28)*4000/INDEX(GPU_Avg,1,28),0)</f>
        <v>48.5051808321374</v>
      </c>
    </row>
    <row r="25" customFormat="false" ht="15" hidden="false" customHeight="false" outlineLevel="0" collapsed="false">
      <c r="A25" s="101" t="s">
        <v>2100</v>
      </c>
      <c r="B25" s="18" t="s">
        <v>392</v>
      </c>
      <c r="C25" s="18" t="s">
        <v>336</v>
      </c>
      <c r="D25" s="18" t="s">
        <v>2101</v>
      </c>
      <c r="F25" s="116" t="n">
        <f aca="false">IFERROR(INDEX(AIRev,1,1)*1000000/(INDEX(GPU_Avg,1,1)*Timeline!F$9),0)</f>
        <v>0.343915789113776</v>
      </c>
      <c r="G25" s="116" t="n">
        <f aca="false">IFERROR(INDEX(AIRev,1,2)*1000000/(INDEX(GPU_Avg,1,2)*Timeline!G$9),0)</f>
        <v>0.437407459940822</v>
      </c>
      <c r="H25" s="116" t="n">
        <f aca="false">IFERROR(INDEX(AIRev,1,3)*1000000/(INDEX(GPU_Avg,1,3)*Timeline!H$9),0)</f>
        <v>0.954478824177206</v>
      </c>
      <c r="I25" s="116" t="n">
        <f aca="false">IFERROR(INDEX(AIRev,1,4)*1000000/(INDEX(GPU_Avg,1,4)*Timeline!I$9),0)</f>
        <v>0.951763999998079</v>
      </c>
      <c r="J25" s="116" t="n">
        <f aca="false">IFERROR(INDEX(AIRev,1,5)*1000000/(INDEX(GPU_Avg,1,5)*Timeline!J$9),0)</f>
        <v>0.825153550312841</v>
      </c>
      <c r="K25" s="116" t="n">
        <f aca="false">IFERROR(INDEX(AIRev,1,6)*1000000/(INDEX(GPU_Avg,1,6)*Timeline!K$9),0)</f>
        <v>1.36611710811223</v>
      </c>
      <c r="L25" s="116" t="n">
        <f aca="false">IFERROR(INDEX(AIRev,1,7)*1000000/(INDEX(GPU_Avg,1,7)*Timeline!L$9),0)</f>
        <v>1.73274673614432</v>
      </c>
      <c r="M25" s="116" t="n">
        <f aca="false">IFERROR(INDEX(AIRev,1,8)*1000000/(INDEX(GPU_Avg,1,8)*Timeline!M$9),0)</f>
        <v>1.6599370246861</v>
      </c>
      <c r="N25" s="116" t="n">
        <f aca="false">IFERROR(INDEX(AIRev,1,9)*1000000/(INDEX(GPU_Avg,1,9)*Timeline!N$9),0)</f>
        <v>2.18941637137356</v>
      </c>
      <c r="O25" s="116" t="n">
        <f aca="false">IFERROR(INDEX(AIRev,1,10)*1000000/(INDEX(GPU_Avg,1,10)*Timeline!O$9),0)</f>
        <v>2.98766380156516</v>
      </c>
      <c r="P25" s="20" t="n">
        <f aca="false">IFERROR(INDEX(AIRev,1,11)*1000000/(INDEX(GPU_Avg,1,11)*Timeline!P$9),0)</f>
        <v>3.30753064845857</v>
      </c>
      <c r="Q25" s="20" t="n">
        <f aca="false">IFERROR(INDEX(AIRev,1,12)*1000000/(INDEX(GPU_Avg,1,12)*Timeline!Q$9),0)</f>
        <v>3.66213038881159</v>
      </c>
      <c r="R25" s="20" t="n">
        <f aca="false">IFERROR(INDEX(AIRev,1,13)*1000000/(INDEX(GPU_Avg,1,13)*Timeline!R$9),0)</f>
        <v>3.79206866999379</v>
      </c>
      <c r="S25" s="20" t="n">
        <f aca="false">IFERROR(INDEX(AIRev,1,14)*1000000/(INDEX(GPU_Avg,1,14)*Timeline!S$9),0)</f>
        <v>3.93807489096633</v>
      </c>
      <c r="T25" s="20" t="n">
        <f aca="false">IFERROR(INDEX(AIRev,1,15)*1000000/(INDEX(GPU_Avg,1,15)*Timeline!T$9),0)</f>
        <v>4.01313195592539</v>
      </c>
      <c r="U25" s="20" t="n">
        <f aca="false">IFERROR(INDEX(AIRev,1,16)*1000000/(INDEX(GPU_Avg,1,16)*Timeline!U$9),0)</f>
        <v>4.19776942770843</v>
      </c>
      <c r="V25" s="20" t="n">
        <f aca="false">IFERROR(INDEX(AIRev,1,17)*1000000/(INDEX(GPU_Avg,1,17)*Timeline!V$9),0)</f>
        <v>4.56302089180662</v>
      </c>
      <c r="W25" s="20" t="n">
        <f aca="false">IFERROR(INDEX(AIRev,1,18)*1000000/(INDEX(GPU_Avg,1,18)*Timeline!W$9),0)</f>
        <v>4.78799883828739</v>
      </c>
      <c r="X25" s="20" t="n">
        <f aca="false">IFERROR(INDEX(AIRev,1,19)*1000000/(INDEX(GPU_Avg,1,19)*Timeline!X$9),0)</f>
        <v>4.90682391724086</v>
      </c>
      <c r="Y25" s="20" t="n">
        <f aca="false">IFERROR(INDEX(AIRev,1,20)*1000000/(INDEX(GPU_Avg,1,20)*Timeline!Y$9),0)</f>
        <v>5.00302579665616</v>
      </c>
      <c r="Z25" s="20" t="n">
        <f aca="false">IFERROR(INDEX(AIRev,1,21)*1000000/(INDEX(GPU_Avg,1,21)*Timeline!Z$9),0)</f>
        <v>5.21083702469335</v>
      </c>
      <c r="AA25" s="20" t="n">
        <f aca="false">IFERROR(INDEX(AIRev,1,22)*1000000/(INDEX(GPU_Avg,1,22)*Timeline!AA$9),0)</f>
        <v>5.24410833142071</v>
      </c>
      <c r="AB25" s="20" t="n">
        <f aca="false">IFERROR(INDEX(AIRev,1,23)*1000000/(INDEX(GPU_Avg,1,23)*Timeline!AB$9),0)</f>
        <v>5.26468914176223</v>
      </c>
      <c r="AC25" s="20" t="n">
        <f aca="false">IFERROR(INDEX(AIRev,1,24)*1000000/(INDEX(GPU_Avg,1,24)*Timeline!AC$9),0)</f>
        <v>5.34453225645151</v>
      </c>
      <c r="AD25" s="20" t="n">
        <f aca="false">IFERROR(INDEX(AIRev,1,25)*1000000/(INDEX(GPU_Avg,1,25)*Timeline!AD$9),0)</f>
        <v>5.51946654151183</v>
      </c>
      <c r="AE25" s="20" t="n">
        <f aca="false">IFERROR(INDEX(AIRev,1,26)*1000000/(INDEX(GPU_Avg,1,26)*Timeline!AE$9),0)</f>
        <v>5.52584318008562</v>
      </c>
      <c r="AF25" s="20" t="n">
        <f aca="false">IFERROR(INDEX(AIRev,1,27)*1000000/(INDEX(GPU_Avg,1,27)*Timeline!AF$9),0)</f>
        <v>5.43380295878817</v>
      </c>
      <c r="AG25" s="20" t="n">
        <f aca="false">IFERROR(INDEX(AIRev,1,28)*1000000/(INDEX(GPU_Avg,1,28)*Timeline!AG$9),0)</f>
        <v>5.49198152537788</v>
      </c>
    </row>
    <row r="26" customFormat="false" ht="15" hidden="false" customHeight="false" outlineLevel="0" collapsed="false">
      <c r="A26" s="101" t="s">
        <v>2102</v>
      </c>
      <c r="B26" s="18" t="s">
        <v>392</v>
      </c>
      <c r="C26" s="18" t="s">
        <v>1255</v>
      </c>
      <c r="D26" s="18"/>
      <c r="F26" s="116" t="n">
        <f aca="false">IFERROR((INDEX(GPU_End_H,1,1)*INDEX(P_OD_H,1,1)+INDEX(GPU_End_B,1,1)*INDEX(P_OD_B,1,1)+INDEX(GPU_End_N,1,1)*INDEX(P_OD_N,1,1))/INDEX(GPU_End,1,1),0)</f>
        <v>3.875</v>
      </c>
      <c r="G26" s="116" t="n">
        <f aca="false">IFERROR((INDEX(GPU_End_H,1,2)*INDEX(P_OD_H,1,2)+INDEX(GPU_End_B,1,2)*INDEX(P_OD_B,1,2)+INDEX(GPU_End_N,1,2)*INDEX(P_OD_N,1,2))/INDEX(GPU_End,1,2),0)</f>
        <v>3.875</v>
      </c>
      <c r="H26" s="116" t="n">
        <f aca="false">IFERROR((INDEX(GPU_End_H,1,3)*INDEX(P_OD_H,1,3)+INDEX(GPU_End_B,1,3)*INDEX(P_OD_B,1,3)+INDEX(GPU_End_N,1,3)*INDEX(P_OD_N,1,3))/INDEX(GPU_End,1,3),0)</f>
        <v>3.875</v>
      </c>
      <c r="I26" s="116" t="n">
        <f aca="false">IFERROR((INDEX(GPU_End_H,1,4)*INDEX(P_OD_H,1,4)+INDEX(GPU_End_B,1,4)*INDEX(P_OD_B,1,4)+INDEX(GPU_End_N,1,4)*INDEX(P_OD_N,1,4))/INDEX(GPU_End,1,4),0)</f>
        <v>3.875</v>
      </c>
      <c r="J26" s="116" t="n">
        <f aca="false">IFERROR((INDEX(GPU_End_H,1,5)*INDEX(P_OD_H,1,5)+INDEX(GPU_End_B,1,5)*INDEX(P_OD_B,1,5)+INDEX(GPU_End_N,1,5)*INDEX(P_OD_N,1,5))/INDEX(GPU_End,1,5),0)</f>
        <v>3.875</v>
      </c>
      <c r="K26" s="116" t="n">
        <f aca="false">IFERROR((INDEX(GPU_End_H,1,6)*INDEX(P_OD_H,1,6)+INDEX(GPU_End_B,1,6)*INDEX(P_OD_B,1,6)+INDEX(GPU_End_N,1,6)*INDEX(P_OD_N,1,6))/INDEX(GPU_End,1,6),0)</f>
        <v>3.875</v>
      </c>
      <c r="L26" s="116" t="n">
        <f aca="false">IFERROR((INDEX(GPU_End_H,1,7)*INDEX(P_OD_H,1,7)+INDEX(GPU_End_B,1,7)*INDEX(P_OD_B,1,7)+INDEX(GPU_End_N,1,7)*INDEX(P_OD_N,1,7))/INDEX(GPU_End,1,7),0)</f>
        <v>4.70333786261459</v>
      </c>
      <c r="M26" s="116" t="n">
        <f aca="false">IFERROR((INDEX(GPU_End_H,1,8)*INDEX(P_OD_H,1,8)+INDEX(GPU_End_B,1,8)*INDEX(P_OD_B,1,8)+INDEX(GPU_End_N,1,8)*INDEX(P_OD_N,1,8))/INDEX(GPU_End,1,8),0)</f>
        <v>6.55722349163098</v>
      </c>
      <c r="N26" s="116" t="n">
        <f aca="false">IFERROR((INDEX(GPU_End_H,1,9)*INDEX(P_OD_H,1,9)+INDEX(GPU_End_B,1,9)*INDEX(P_OD_B,1,9)+INDEX(GPU_End_N,1,9)*INDEX(P_OD_N,1,9))/INDEX(GPU_End,1,9),0)</f>
        <v>6.79812547014976</v>
      </c>
      <c r="O26" s="116" t="n">
        <f aca="false">IFERROR((INDEX(GPU_End_H,1,10)*INDEX(P_OD_H,1,10)+INDEX(GPU_End_B,1,10)*INDEX(P_OD_B,1,10)+INDEX(GPU_End_N,1,10)*INDEX(P_OD_N,1,10))/INDEX(GPU_End,1,10),0)</f>
        <v>6.81262285391354</v>
      </c>
      <c r="P26" s="20" t="n">
        <f aca="false">IFERROR((INDEX(GPU_End_H,1,11)*INDEX(P_OD_H,1,11)+INDEX(GPU_End_B,1,11)*INDEX(P_OD_B,1,11)+INDEX(GPU_End_N,1,11)*INDEX(P_OD_N,1,11))/INDEX(GPU_End,1,11),0)</f>
        <v>6.92364743712913</v>
      </c>
      <c r="Q26" s="20" t="n">
        <f aca="false">IFERROR((INDEX(GPU_End_H,1,12)*INDEX(P_OD_H,1,12)+INDEX(GPU_End_B,1,12)*INDEX(P_OD_B,1,12)+INDEX(GPU_End_N,1,12)*INDEX(P_OD_N,1,12))/INDEX(GPU_End,1,12),0)</f>
        <v>8.6223472011163</v>
      </c>
      <c r="R26" s="20" t="n">
        <f aca="false">IFERROR((INDEX(GPU_End_H,1,13)*INDEX(P_OD_H,1,13)+INDEX(GPU_End_B,1,13)*INDEX(P_OD_B,1,13)+INDEX(GPU_End_N,1,13)*INDEX(P_OD_N,1,13))/INDEX(GPU_End,1,13),0)</f>
        <v>8.60823258558414</v>
      </c>
      <c r="S26" s="20" t="n">
        <f aca="false">IFERROR((INDEX(GPU_End_H,1,14)*INDEX(P_OD_H,1,14)+INDEX(GPU_End_B,1,14)*INDEX(P_OD_B,1,14)+INDEX(GPU_End_N,1,14)*INDEX(P_OD_N,1,14))/INDEX(GPU_End,1,14),0)</f>
        <v>8.56966910791093</v>
      </c>
      <c r="T26" s="20" t="n">
        <f aca="false">IFERROR((INDEX(GPU_End_H,1,15)*INDEX(P_OD_H,1,15)+INDEX(GPU_End_B,1,15)*INDEX(P_OD_B,1,15)+INDEX(GPU_End_N,1,15)*INDEX(P_OD_N,1,15))/INDEX(GPU_End,1,15),0)</f>
        <v>8.48237932167402</v>
      </c>
      <c r="U26" s="20" t="n">
        <f aca="false">IFERROR((INDEX(GPU_End_H,1,16)*INDEX(P_OD_H,1,16)+INDEX(GPU_End_B,1,16)*INDEX(P_OD_B,1,16)+INDEX(GPU_End_N,1,16)*INDEX(P_OD_N,1,16))/INDEX(GPU_End,1,16),0)</f>
        <v>8.90710716372243</v>
      </c>
      <c r="V26" s="20" t="n">
        <f aca="false">IFERROR((INDEX(GPU_End_H,1,17)*INDEX(P_OD_H,1,17)+INDEX(GPU_End_B,1,17)*INDEX(P_OD_B,1,17)+INDEX(GPU_End_N,1,17)*INDEX(P_OD_N,1,17))/INDEX(GPU_End,1,17),0)</f>
        <v>10.0547909550847</v>
      </c>
      <c r="W26" s="20" t="n">
        <f aca="false">IFERROR((INDEX(GPU_End_H,1,18)*INDEX(P_OD_H,1,18)+INDEX(GPU_End_B,1,18)*INDEX(P_OD_B,1,18)+INDEX(GPU_End_N,1,18)*INDEX(P_OD_N,1,18))/INDEX(GPU_End,1,18),0)</f>
        <v>10.4328171665548</v>
      </c>
      <c r="X26" s="20" t="n">
        <f aca="false">IFERROR((INDEX(GPU_End_H,1,19)*INDEX(P_OD_H,1,19)+INDEX(GPU_End_B,1,19)*INDEX(P_OD_B,1,19)+INDEX(GPU_End_N,1,19)*INDEX(P_OD_N,1,19))/INDEX(GPU_End,1,19),0)</f>
        <v>11.0200419752976</v>
      </c>
      <c r="Y26" s="20" t="n">
        <f aca="false">IFERROR((INDEX(GPU_End_H,1,20)*INDEX(P_OD_H,1,20)+INDEX(GPU_End_B,1,20)*INDEX(P_OD_B,1,20)+INDEX(GPU_End_N,1,20)*INDEX(P_OD_N,1,20))/INDEX(GPU_End,1,20),0)</f>
        <v>10.8957584346513</v>
      </c>
      <c r="Z26" s="20" t="n">
        <f aca="false">IFERROR((INDEX(GPU_End_H,1,21)*INDEX(P_OD_H,1,21)+INDEX(GPU_End_B,1,21)*INDEX(P_OD_B,1,21)+INDEX(GPU_End_N,1,21)*INDEX(P_OD_N,1,21))/INDEX(GPU_End,1,21),0)</f>
        <v>11.5396393447958</v>
      </c>
      <c r="AA26" s="20" t="n">
        <f aca="false">IFERROR((INDEX(GPU_End_H,1,22)*INDEX(P_OD_H,1,22)+INDEX(GPU_End_B,1,22)*INDEX(P_OD_B,1,22)+INDEX(GPU_End_N,1,22)*INDEX(P_OD_N,1,22))/INDEX(GPU_End,1,22),0)</f>
        <v>11.3581089645345</v>
      </c>
      <c r="AB26" s="20" t="n">
        <f aca="false">IFERROR((INDEX(GPU_End_H,1,23)*INDEX(P_OD_H,1,23)+INDEX(GPU_End_B,1,23)*INDEX(P_OD_B,1,23)+INDEX(GPU_End_N,1,23)*INDEX(P_OD_N,1,23))/INDEX(GPU_End,1,23),0)</f>
        <v>11.9891948680474</v>
      </c>
      <c r="AC26" s="20" t="n">
        <f aca="false">IFERROR((INDEX(GPU_End_H,1,24)*INDEX(P_OD_H,1,24)+INDEX(GPU_End_B,1,24)*INDEX(P_OD_B,1,24)+INDEX(GPU_End_N,1,24)*INDEX(P_OD_N,1,24))/INDEX(GPU_End,1,24),0)</f>
        <v>11.8017238971132</v>
      </c>
      <c r="AD26" s="20" t="n">
        <f aca="false">IFERROR((INDEX(GPU_End_H,1,25)*INDEX(P_OD_H,1,25)+INDEX(GPU_End_B,1,25)*INDEX(P_OD_B,1,25)+INDEX(GPU_End_N,1,25)*INDEX(P_OD_N,1,25))/INDEX(GPU_End,1,25),0)</f>
        <v>12.3835195225034</v>
      </c>
      <c r="AE26" s="20" t="n">
        <f aca="false">IFERROR((INDEX(GPU_End_H,1,26)*INDEX(P_OD_H,1,26)+INDEX(GPU_End_B,1,26)*INDEX(P_OD_B,1,26)+INDEX(GPU_End_N,1,26)*INDEX(P_OD_N,1,26))/INDEX(GPU_End,1,26),0)</f>
        <v>12.1908182731027</v>
      </c>
      <c r="AF26" s="20" t="n">
        <f aca="false">IFERROR((INDEX(GPU_End_H,1,27)*INDEX(P_OD_H,1,27)+INDEX(GPU_End_B,1,27)*INDEX(P_OD_B,1,27)+INDEX(GPU_End_N,1,27)*INDEX(P_OD_N,1,27))/INDEX(GPU_End,1,27),0)</f>
        <v>12.0011791275377</v>
      </c>
      <c r="AG26" s="20" t="n">
        <f aca="false">IFERROR((INDEX(GPU_End_H,1,28)*INDEX(P_OD_H,1,28)+INDEX(GPU_End_B,1,28)*INDEX(P_OD_B,1,28)+INDEX(GPU_End_N,1,28)*INDEX(P_OD_N,1,28))/INDEX(GPU_End,1,28),0)</f>
        <v>11.814550935334</v>
      </c>
    </row>
    <row r="27" customFormat="false" ht="15" hidden="false" customHeight="false" outlineLevel="0" collapsed="false">
      <c r="A27" s="101" t="s">
        <v>2103</v>
      </c>
      <c r="B27" s="18" t="s">
        <v>388</v>
      </c>
      <c r="C27" s="18" t="s">
        <v>336</v>
      </c>
      <c r="D27" s="18" t="s">
        <v>2104</v>
      </c>
      <c r="F27" s="113" t="n">
        <f aca="false">IFERROR(F25/F26,0)</f>
        <v>0.088752461706781</v>
      </c>
      <c r="G27" s="113" t="n">
        <f aca="false">IFERROR(G25/G26,0)</f>
        <v>0.112879344500857</v>
      </c>
      <c r="H27" s="113" t="n">
        <f aca="false">IFERROR(H25/H26,0)</f>
        <v>0.246317115916698</v>
      </c>
      <c r="I27" s="113" t="n">
        <f aca="false">IFERROR(I25/I26,0)</f>
        <v>0.245616516128536</v>
      </c>
      <c r="J27" s="113" t="n">
        <f aca="false">IFERROR(J25/J26,0)</f>
        <v>0.212942851693636</v>
      </c>
      <c r="K27" s="113" t="n">
        <f aca="false">IFERROR(K25/K26,0)</f>
        <v>0.352546350480576</v>
      </c>
      <c r="L27" s="113" t="n">
        <f aca="false">IFERROR(L25/L26,0)</f>
        <v>0.368407881117237</v>
      </c>
      <c r="M27" s="113" t="n">
        <f aca="false">IFERROR(M25/M26,0)</f>
        <v>0.253146324325332</v>
      </c>
      <c r="N27" s="113" t="n">
        <f aca="false">IFERROR(N25/N26,0)</f>
        <v>0.322061777321878</v>
      </c>
      <c r="O27" s="113" t="n">
        <f aca="false">IFERROR(O25/O26,0)</f>
        <v>0.438548245753673</v>
      </c>
      <c r="P27" s="31" t="n">
        <f aca="false">IFERROR(P25/P26,0)</f>
        <v>0.477715059655035</v>
      </c>
      <c r="Q27" s="31" t="n">
        <f aca="false">IFERROR(Q25/Q26,0)</f>
        <v>0.424725460874211</v>
      </c>
      <c r="R27" s="31" t="n">
        <f aca="false">IFERROR(R25/R26,0)</f>
        <v>0.440516520934182</v>
      </c>
      <c r="S27" s="31" t="n">
        <f aca="false">IFERROR(S25/S26,0)</f>
        <v>0.459536399991333</v>
      </c>
      <c r="T27" s="31" t="n">
        <f aca="false">IFERROR(T25/T26,0)</f>
        <v>0.47311394642198</v>
      </c>
      <c r="U27" s="31" t="n">
        <f aca="false">IFERROR(U25/U26,0)</f>
        <v>0.471283139469281</v>
      </c>
      <c r="V27" s="31" t="n">
        <f aca="false">IFERROR(V25/V26,0)</f>
        <v>0.453815590218622</v>
      </c>
      <c r="W27" s="31" t="n">
        <f aca="false">IFERROR(W25/W26,0)</f>
        <v>0.458936331563119</v>
      </c>
      <c r="X27" s="31" t="n">
        <f aca="false">IFERROR(X25/X26,0)</f>
        <v>0.445263632229347</v>
      </c>
      <c r="Y27" s="31" t="n">
        <f aca="false">IFERROR(Y25/Y26,0)</f>
        <v>0.459171871941036</v>
      </c>
      <c r="Z27" s="31" t="n">
        <f aca="false">IFERROR(Z25/Z26,0)</f>
        <v>0.451559781809244</v>
      </c>
      <c r="AA27" s="31" t="n">
        <f aca="false">IFERROR(AA25/AA26,0)</f>
        <v>0.461706112152591</v>
      </c>
      <c r="AB27" s="31" t="n">
        <f aca="false">IFERROR(AB25/AB26,0)</f>
        <v>0.439119490483324</v>
      </c>
      <c r="AC27" s="31" t="n">
        <f aca="false">IFERROR(AC25/AC26,0)</f>
        <v>0.452860302701949</v>
      </c>
      <c r="AD27" s="31" t="n">
        <f aca="false">IFERROR(AD25/AD26,0)</f>
        <v>0.445710650472334</v>
      </c>
      <c r="AE27" s="31" t="n">
        <f aca="false">IFERROR(AE25/AE26,0)</f>
        <v>0.453279103690486</v>
      </c>
      <c r="AF27" s="31" t="n">
        <f aca="false">IFERROR(AF25/AF26,0)</f>
        <v>0.452772423529608</v>
      </c>
      <c r="AG27" s="31" t="n">
        <f aca="false">IFERROR(AG25/AG26,0)</f>
        <v>0.464848943936829</v>
      </c>
    </row>
    <row r="28" customFormat="false" ht="15" hidden="false" customHeight="false" outlineLevel="0" collapsed="false">
      <c r="A28" s="101" t="s">
        <v>2105</v>
      </c>
      <c r="B28" s="18" t="s">
        <v>360</v>
      </c>
      <c r="C28" s="18" t="s">
        <v>336</v>
      </c>
      <c r="D28" s="18"/>
      <c r="F28" s="139" t="n">
        <f aca="false">IFERROR(INDEX(Capex,1,1)/INDEX(MW_New,1,1),0)</f>
        <v>0</v>
      </c>
      <c r="G28" s="139" t="n">
        <f aca="false">IFERROR(INDEX(Capex,1,2)/INDEX(MW_New,1,2),0)</f>
        <v>0</v>
      </c>
      <c r="H28" s="139" t="n">
        <f aca="false">IFERROR(INDEX(Capex,1,3)/INDEX(MW_New,1,3),0)</f>
        <v>0</v>
      </c>
      <c r="I28" s="139" t="n">
        <f aca="false">IFERROR(INDEX(Capex,1,4)/INDEX(MW_New,1,4),0)</f>
        <v>83.52</v>
      </c>
      <c r="J28" s="139" t="n">
        <f aca="false">IFERROR(INDEX(Capex,1,5)/INDEX(MW_New,1,5),0)</f>
        <v>54.4</v>
      </c>
      <c r="K28" s="139" t="n">
        <f aca="false">IFERROR(INDEX(Capex,1,6)/INDEX(MW_New,1,6),0)</f>
        <v>102.12</v>
      </c>
      <c r="L28" s="139" t="n">
        <f aca="false">IFERROR(INDEX(Capex,1,7)/INDEX(MW_New,1,7),0)</f>
        <v>54.6</v>
      </c>
      <c r="M28" s="139" t="n">
        <f aca="false">IFERROR(INDEX(Capex,1,8)/INDEX(MW_New,1,8),0)</f>
        <v>24.131455399061</v>
      </c>
      <c r="N28" s="139" t="n">
        <f aca="false">IFERROR(INDEX(Capex,1,9)/INDEX(MW_New,1,9),0)</f>
        <v>103.903361344538</v>
      </c>
      <c r="O28" s="139" t="n">
        <f aca="false">IFERROR(INDEX(Capex,1,10)/INDEX(MW_New,1,10),0)</f>
        <v>3771.6</v>
      </c>
      <c r="P28" s="140" t="n">
        <f aca="false">IFERROR(INDEX(Capex,1,11)/INDEX(MW_New,1,11),0)</f>
        <v>0</v>
      </c>
      <c r="Q28" s="140" t="n">
        <f aca="false">IFERROR(INDEX(Capex,1,12)/INDEX(MW_New,1,12),0)</f>
        <v>147.544014471508</v>
      </c>
      <c r="R28" s="140" t="n">
        <f aca="false">IFERROR(INDEX(Capex,1,13)/INDEX(MW_New,1,13),0)</f>
        <v>69.5858257356158</v>
      </c>
      <c r="S28" s="140" t="n">
        <f aca="false">IFERROR(INDEX(Capex,1,14)/INDEX(MW_New,1,14),0)</f>
        <v>53.6433671365407</v>
      </c>
      <c r="T28" s="140" t="n">
        <f aca="false">IFERROR(INDEX(Capex,1,15)/INDEX(MW_New,1,15),0)</f>
        <v>78.6679348470396</v>
      </c>
      <c r="U28" s="140" t="n">
        <f aca="false">IFERROR(INDEX(Capex,1,16)/INDEX(MW_New,1,16),0)</f>
        <v>34.0676364242156</v>
      </c>
      <c r="V28" s="140" t="n">
        <f aca="false">IFERROR(INDEX(Capex,1,17)/INDEX(MW_New,1,17),0)</f>
        <v>18.9330519042891</v>
      </c>
      <c r="W28" s="140" t="n">
        <f aca="false">IFERROR(INDEX(Capex,1,18)/INDEX(MW_New,1,18),0)</f>
        <v>39.36586894443</v>
      </c>
      <c r="X28" s="140" t="n">
        <f aca="false">IFERROR(INDEX(Capex,1,19)/INDEX(MW_New,1,19),0)</f>
        <v>70.2666828330935</v>
      </c>
      <c r="Y28" s="140" t="n">
        <f aca="false">IFERROR(INDEX(Capex,1,20)/INDEX(MW_New,1,20),0)</f>
        <v>322.73816050326</v>
      </c>
      <c r="Z28" s="140" t="n">
        <f aca="false">IFERROR(INDEX(Capex,1,21)/INDEX(MW_New,1,21),0)</f>
        <v>33.2307093745813</v>
      </c>
      <c r="AA28" s="140" t="n">
        <f aca="false">IFERROR(INDEX(Capex,1,22)/INDEX(MW_New,1,22),0)</f>
        <v>0</v>
      </c>
      <c r="AB28" s="140" t="n">
        <f aca="false">IFERROR(INDEX(Capex,1,23)/INDEX(MW_New,1,23),0)</f>
        <v>45.0045637500567</v>
      </c>
      <c r="AC28" s="140" t="n">
        <f aca="false">IFERROR(INDEX(Capex,1,24)/INDEX(MW_New,1,24),0)</f>
        <v>0</v>
      </c>
      <c r="AD28" s="140" t="n">
        <f aca="false">IFERROR(INDEX(Capex,1,25)/INDEX(MW_New,1,25),0)</f>
        <v>1.34587216599687</v>
      </c>
      <c r="AE28" s="140" t="n">
        <f aca="false">IFERROR(INDEX(Capex,1,26)/INDEX(MW_New,1,26),0)</f>
        <v>0</v>
      </c>
      <c r="AF28" s="140" t="n">
        <f aca="false">IFERROR(INDEX(Capex,1,27)/INDEX(MW_New,1,27),0)</f>
        <v>0</v>
      </c>
      <c r="AG28" s="140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2106</v>
      </c>
      <c r="B29" s="18" t="s">
        <v>396</v>
      </c>
      <c r="C29" s="18" t="s">
        <v>336</v>
      </c>
      <c r="D29" s="18"/>
      <c r="F29" s="137" t="n">
        <f aca="false">IFERROR(INDEX(PL_EBITDA,1,1)*4/F11,0)</f>
        <v>-11.344</v>
      </c>
      <c r="G29" s="137" t="n">
        <f aca="false">IFERROR(INDEX(PL_EBITDA,1,2)*4/G11,0)</f>
        <v>-9.296</v>
      </c>
      <c r="H29" s="137" t="n">
        <f aca="false">IFERROR(INDEX(PL_EBITDA,1,3)*4/H11,0)</f>
        <v>-7.344</v>
      </c>
      <c r="I29" s="137" t="n">
        <f aca="false">IFERROR(INDEX(PL_EBITDA,1,4)*4/I11,0)</f>
        <v>-8.52</v>
      </c>
      <c r="J29" s="137" t="n">
        <f aca="false">IFERROR(INDEX(PL_EBITDA,1,5)*4/J11,0)</f>
        <v>-5.37</v>
      </c>
      <c r="K29" s="137" t="n">
        <f aca="false">IFERROR(INDEX(PL_EBITDA,1,6)*4/K11,0)</f>
        <v>-1.86666666666667</v>
      </c>
      <c r="L29" s="137" t="n">
        <f aca="false">IFERROR(INDEX(PL_EBITDA,1,7)*4/L11,0)</f>
        <v>-0.3328</v>
      </c>
      <c r="M29" s="137" t="n">
        <f aca="false">IFERROR(INDEX(PL_EBITDA,1,8)*4/M11,0)</f>
        <v>0.4062288422478</v>
      </c>
      <c r="N29" s="137" t="n">
        <f aca="false">IFERROR(INDEX(PL_EBITDA,1,9)*4/N11,0)</f>
        <v>3.02040816326531</v>
      </c>
      <c r="O29" s="137" t="n">
        <f aca="false">IFERROR(INDEX(PL_EBITDA,1,10)*4/O11,0)</f>
        <v>5.46127167630058</v>
      </c>
      <c r="P29" s="138" t="n">
        <f aca="false">IFERROR(INDEX(PL_EBITDA,1,11)*4/P11,0)</f>
        <v>6.48892861779994</v>
      </c>
      <c r="Q29" s="138" t="n">
        <f aca="false">IFERROR(INDEX(PL_EBITDA,1,12)*4/Q11,0)</f>
        <v>6.47612780177613</v>
      </c>
      <c r="R29" s="138" t="n">
        <f aca="false">IFERROR(INDEX(PL_EBITDA,1,13)*4/R11,0)</f>
        <v>7.32677820779704</v>
      </c>
      <c r="S29" s="138" t="n">
        <f aca="false">IFERROR(INDEX(PL_EBITDA,1,14)*4/S11,0)</f>
        <v>7.48588506550721</v>
      </c>
      <c r="T29" s="138" t="n">
        <f aca="false">IFERROR(INDEX(PL_EBITDA,1,15)*4/T11,0)</f>
        <v>8.02868047771831</v>
      </c>
      <c r="U29" s="138" t="n">
        <f aca="false">IFERROR(INDEX(PL_EBITDA,1,16)*4/U11,0)</f>
        <v>8.55380275123453</v>
      </c>
      <c r="V29" s="138" t="n">
        <f aca="false">IFERROR(INDEX(PL_EBITDA,1,17)*4/V11,0)</f>
        <v>9.36711341427112</v>
      </c>
      <c r="W29" s="138" t="n">
        <f aca="false">IFERROR(INDEX(PL_EBITDA,1,18)*4/W11,0)</f>
        <v>10.8127608914194</v>
      </c>
      <c r="X29" s="138" t="n">
        <f aca="false">IFERROR(INDEX(PL_EBITDA,1,19)*4/X11,0)</f>
        <v>10.6890668033267</v>
      </c>
      <c r="Y29" s="138" t="n">
        <f aca="false">IFERROR(INDEX(PL_EBITDA,1,20)*4/Y11,0)</f>
        <v>11.6084402155478</v>
      </c>
      <c r="Z29" s="138" t="n">
        <f aca="false">IFERROR(INDEX(PL_EBITDA,1,21)*4/Z11,0)</f>
        <v>10.9507029365411</v>
      </c>
      <c r="AA29" s="138" t="n">
        <f aca="false">IFERROR(INDEX(PL_EBITDA,1,22)*4/AA11,0)</f>
        <v>12.4797182740267</v>
      </c>
      <c r="AB29" s="138" t="n">
        <f aca="false">IFERROR(INDEX(PL_EBITDA,1,23)*4/AB11,0)</f>
        <v>11.3241165669396</v>
      </c>
      <c r="AC29" s="138" t="n">
        <f aca="false">IFERROR(INDEX(PL_EBITDA,1,24)*4/AC11,0)</f>
        <v>12.5978633836434</v>
      </c>
      <c r="AD29" s="138" t="n">
        <f aca="false">IFERROR(INDEX(PL_EBITDA,1,25)*4/AD11,0)</f>
        <v>11.6011854715125</v>
      </c>
      <c r="AE29" s="138" t="n">
        <f aca="false">IFERROR(INDEX(PL_EBITDA,1,26)*4/AE11,0)</f>
        <v>12.8640516354144</v>
      </c>
      <c r="AF29" s="138" t="n">
        <f aca="false">IFERROR(INDEX(PL_EBITDA,1,27)*4/AF11,0)</f>
        <v>12.7706153634538</v>
      </c>
      <c r="AG29" s="138" t="n">
        <f aca="false">IFERROR(INDEX(PL_EBITDA,1,28)*4/AG11,0)</f>
        <v>13.0359987968769</v>
      </c>
    </row>
    <row r="30" customFormat="false" ht="15" hidden="false" customHeight="false" outlineLevel="0" collapsed="false">
      <c r="A30" s="101" t="s">
        <v>2107</v>
      </c>
      <c r="B30" s="18" t="s">
        <v>396</v>
      </c>
      <c r="C30" s="18" t="s">
        <v>336</v>
      </c>
      <c r="D30" s="18"/>
      <c r="F30" s="139" t="n">
        <f aca="false">IFERROR(INDEX(PL_EBITDA,1,1)*4/F13,0)</f>
        <v>-11.344</v>
      </c>
      <c r="G30" s="139" t="n">
        <f aca="false">IFERROR(INDEX(PL_EBITDA,1,2)*4/G13,0)</f>
        <v>-9.296</v>
      </c>
      <c r="H30" s="139" t="n">
        <f aca="false">IFERROR(INDEX(PL_EBITDA,1,3)*4/H13,0)</f>
        <v>-7.344</v>
      </c>
      <c r="I30" s="139" t="n">
        <f aca="false">IFERROR(INDEX(PL_EBITDA,1,4)*4/I13,0)</f>
        <v>-8.52</v>
      </c>
      <c r="J30" s="139" t="n">
        <f aca="false">IFERROR(INDEX(PL_EBITDA,1,5)*4/J13,0)</f>
        <v>-5.37</v>
      </c>
      <c r="K30" s="139" t="n">
        <f aca="false">IFERROR(INDEX(PL_EBITDA,1,6)*4/K13,0)</f>
        <v>-1.86666666666667</v>
      </c>
      <c r="L30" s="139" t="n">
        <f aca="false">IFERROR(INDEX(PL_EBITDA,1,7)*4/L13,0)</f>
        <v>-0.3328</v>
      </c>
      <c r="M30" s="139" t="n">
        <f aca="false">IFERROR(INDEX(PL_EBITDA,1,8)*4/M13,0)</f>
        <v>0.4062288422478</v>
      </c>
      <c r="N30" s="139" t="n">
        <f aca="false">IFERROR(INDEX(PL_EBITDA,1,9)*4/N13,0)</f>
        <v>3.02040816326531</v>
      </c>
      <c r="O30" s="139" t="n">
        <f aca="false">IFERROR(INDEX(PL_EBITDA,1,10)*4/O13,0)</f>
        <v>5.46127167630058</v>
      </c>
      <c r="P30" s="140" t="n">
        <f aca="false">IFERROR(INDEX(PL_EBITDA,1,11)*4/P13,0)</f>
        <v>5.27714074339152</v>
      </c>
      <c r="Q30" s="140" t="n">
        <f aca="false">IFERROR(INDEX(PL_EBITDA,1,12)*4/Q13,0)</f>
        <v>4.5016175639911</v>
      </c>
      <c r="R30" s="140" t="n">
        <f aca="false">IFERROR(INDEX(PL_EBITDA,1,13)*4/R13,0)</f>
        <v>5.07015163443016</v>
      </c>
      <c r="S30" s="140" t="n">
        <f aca="false">IFERROR(INDEX(PL_EBITDA,1,14)*4/S13,0)</f>
        <v>5.71844164607816</v>
      </c>
      <c r="T30" s="140" t="n">
        <f aca="false">IFERROR(INDEX(PL_EBITDA,1,15)*4/T13,0)</f>
        <v>6.39362122484186</v>
      </c>
      <c r="U30" s="140" t="n">
        <f aca="false">IFERROR(INDEX(PL_EBITDA,1,16)*4/U13,0)</f>
        <v>6.16323998233688</v>
      </c>
      <c r="V30" s="140" t="n">
        <f aca="false">IFERROR(INDEX(PL_EBITDA,1,17)*4/V13,0)</f>
        <v>8.53597865089454</v>
      </c>
      <c r="W30" s="140" t="n">
        <f aca="false">IFERROR(INDEX(PL_EBITDA,1,18)*4/W13,0)</f>
        <v>9.40534270279906</v>
      </c>
      <c r="X30" s="140" t="n">
        <f aca="false">IFERROR(INDEX(PL_EBITDA,1,19)*4/X13,0)</f>
        <v>10.5787337438373</v>
      </c>
      <c r="Y30" s="140" t="n">
        <f aca="false">IFERROR(INDEX(PL_EBITDA,1,20)*4/Y13,0)</f>
        <v>9.1343866803303</v>
      </c>
      <c r="Z30" s="140" t="n">
        <f aca="false">IFERROR(INDEX(PL_EBITDA,1,21)*4/Z13,0)</f>
        <v>10.9507029365411</v>
      </c>
      <c r="AA30" s="140" t="n">
        <f aca="false">IFERROR(INDEX(PL_EBITDA,1,22)*4/AA13,0)</f>
        <v>10.2433527593211</v>
      </c>
      <c r="AB30" s="140" t="n">
        <f aca="false">IFERROR(INDEX(PL_EBITDA,1,23)*4/AB13,0)</f>
        <v>11.3241165669396</v>
      </c>
      <c r="AC30" s="140" t="n">
        <f aca="false">IFERROR(INDEX(PL_EBITDA,1,24)*4/AC13,0)</f>
        <v>10.0815167922883</v>
      </c>
      <c r="AD30" s="140" t="n">
        <f aca="false">IFERROR(INDEX(PL_EBITDA,1,25)*4/AD13,0)</f>
        <v>11.6011854715125</v>
      </c>
      <c r="AE30" s="140" t="n">
        <f aca="false">IFERROR(INDEX(PL_EBITDA,1,26)*4/AE13,0)</f>
        <v>12.8640516354144</v>
      </c>
      <c r="AF30" s="140" t="n">
        <f aca="false">IFERROR(INDEX(PL_EBITDA,1,27)*4/AF13,0)</f>
        <v>12.7706153634538</v>
      </c>
      <c r="AG30" s="140" t="n">
        <f aca="false">IFERROR(INDEX(PL_EBITDA,1,28)*4/AG13,0)</f>
        <v>10.8966625690626</v>
      </c>
    </row>
    <row r="32" customFormat="false" ht="15" hidden="false" customHeight="false" outlineLevel="0" collapsed="false">
      <c r="A32" s="48" t="s">
        <v>2108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</row>
    <row r="33" customFormat="false" ht="15" hidden="false" customHeight="false" outlineLevel="0" collapsed="false">
      <c r="A33" s="101" t="s">
        <v>2109</v>
      </c>
      <c r="B33" s="18" t="s">
        <v>396</v>
      </c>
      <c r="C33" s="18" t="s">
        <v>336</v>
      </c>
      <c r="D33" s="18"/>
      <c r="F33" s="139" t="n">
        <f aca="false">IFERROR((INDEX(PL_EBITDA,1,1)+INDEX(PL_Rent,1,1))*4/INDEX(MW_Act,1,1),0)</f>
        <v>-11.344</v>
      </c>
      <c r="G33" s="139" t="n">
        <f aca="false">IFERROR((INDEX(PL_EBITDA,1,2)+INDEX(PL_Rent,1,2))*4/INDEX(MW_Act,1,2),0)</f>
        <v>-9.296</v>
      </c>
      <c r="H33" s="139" t="n">
        <f aca="false">IFERROR((INDEX(PL_EBITDA,1,3)+INDEX(PL_Rent,1,3))*4/INDEX(MW_Act,1,3),0)</f>
        <v>-7.344</v>
      </c>
      <c r="I33" s="139" t="n">
        <f aca="false">IFERROR((INDEX(PL_EBITDA,1,4)+INDEX(PL_Rent,1,4))*4/INDEX(MW_Act,1,4),0)</f>
        <v>-8.0903125</v>
      </c>
      <c r="J33" s="139" t="n">
        <f aca="false">IFERROR((INDEX(PL_EBITDA,1,5)+INDEX(PL_Rent,1,5))*4/INDEX(MW_Act,1,5),0)</f>
        <v>-4.4471484375</v>
      </c>
      <c r="K33" s="139" t="n">
        <f aca="false">IFERROR((INDEX(PL_EBITDA,1,6)+INDEX(PL_Rent,1,6))*4/INDEX(MW_Act,1,6),0)</f>
        <v>-0.686111111111111</v>
      </c>
      <c r="L33" s="139" t="n">
        <f aca="false">IFERROR((INDEX(PL_EBITDA,1,7)+INDEX(PL_Rent,1,7))*4/INDEX(MW_Act,1,7),0)</f>
        <v>0.6347</v>
      </c>
      <c r="M33" s="139" t="n">
        <f aca="false">IFERROR((INDEX(PL_EBITDA,1,8)+INDEX(PL_Rent,1,8))*4/INDEX(MW_Act,1,8),0)</f>
        <v>1.56067544827504</v>
      </c>
      <c r="N33" s="139" t="n">
        <f aca="false">IFERROR((INDEX(PL_EBITDA,1,9)+INDEX(PL_Rent,1,9))*4/INDEX(MW_Act,1,9),0)</f>
        <v>4.49314273814482</v>
      </c>
      <c r="O33" s="139" t="n">
        <f aca="false">IFERROR((INDEX(PL_EBITDA,1,10)+INDEX(PL_Rent,1,10))*4/INDEX(MW_Act,1,10),0)</f>
        <v>7.04757279728691</v>
      </c>
      <c r="P33" s="140" t="n">
        <f aca="false">IFERROR((INDEX(PL_EBITDA,1,11)+INDEX(PL_Rent,1,11))*4/INDEX(MW_Act,1,11),0)</f>
        <v>8.12545225663768</v>
      </c>
      <c r="Q33" s="140" t="n">
        <f aca="false">IFERROR((INDEX(PL_EBITDA,1,12)+INDEX(PL_Rent,1,12))*4/INDEX(MW_Act,1,12),0)</f>
        <v>8.26074534756639</v>
      </c>
      <c r="R33" s="140" t="n">
        <f aca="false">IFERROR((INDEX(PL_EBITDA,1,13)+INDEX(PL_Rent,1,13))*4/INDEX(MW_Act,1,13),0)</f>
        <v>9.13370336066639</v>
      </c>
      <c r="S33" s="140" t="n">
        <f aca="false">IFERROR((INDEX(PL_EBITDA,1,14)+INDEX(PL_Rent,1,14))*4/INDEX(MW_Act,1,14),0)</f>
        <v>9.40095848354594</v>
      </c>
      <c r="T33" s="140" t="n">
        <f aca="false">IFERROR((INDEX(PL_EBITDA,1,15)+INDEX(PL_Rent,1,15))*4/INDEX(MW_Act,1,15),0)</f>
        <v>9.84600767835526</v>
      </c>
      <c r="U33" s="140" t="n">
        <f aca="false">IFERROR((INDEX(PL_EBITDA,1,16)+INDEX(PL_Rent,1,16))*4/INDEX(MW_Act,1,16),0)</f>
        <v>10.1678566130622</v>
      </c>
      <c r="V33" s="140" t="n">
        <f aca="false">IFERROR((INDEX(PL_EBITDA,1,17)+INDEX(PL_Rent,1,17))*4/INDEX(MW_Act,1,17),0)</f>
        <v>10.804882370159</v>
      </c>
      <c r="W33" s="140" t="n">
        <f aca="false">IFERROR((INDEX(PL_EBITDA,1,18)+INDEX(PL_Rent,1,18))*4/INDEX(MW_Act,1,18),0)</f>
        <v>12.2020354229831</v>
      </c>
      <c r="X33" s="140" t="n">
        <f aca="false">IFERROR((INDEX(PL_EBITDA,1,19)+INDEX(PL_Rent,1,19))*4/INDEX(MW_Act,1,19),0)</f>
        <v>12.061335917589</v>
      </c>
      <c r="Y33" s="140" t="n">
        <f aca="false">IFERROR((INDEX(PL_EBITDA,1,20)+INDEX(PL_Rent,1,20))*4/INDEX(MW_Act,1,20),0)</f>
        <v>12.8447167208766</v>
      </c>
      <c r="Z33" s="140" t="n">
        <f aca="false">IFERROR((INDEX(PL_EBITDA,1,21)+INDEX(PL_Rent,1,21))*4/INDEX(MW_Act,1,21),0)</f>
        <v>12.0609685833308</v>
      </c>
      <c r="AA33" s="140" t="n">
        <f aca="false">IFERROR((INDEX(PL_EBITDA,1,22)+INDEX(PL_Rent,1,22))*4/INDEX(MW_Act,1,22),0)</f>
        <v>13.4997182740267</v>
      </c>
      <c r="AB33" s="140" t="n">
        <f aca="false">IFERROR((INDEX(PL_EBITDA,1,23)+INDEX(PL_Rent,1,23))*4/INDEX(MW_Act,1,23),0)</f>
        <v>12.2527245669396</v>
      </c>
      <c r="AC33" s="140" t="n">
        <f aca="false">IFERROR((INDEX(PL_EBITDA,1,24)+INDEX(PL_Rent,1,24))*4/INDEX(MW_Act,1,24),0)</f>
        <v>13.4141245872286</v>
      </c>
      <c r="AD33" s="140" t="n">
        <f aca="false">IFERROR((INDEX(PL_EBITDA,1,25)+INDEX(PL_Rent,1,25))*4/INDEX(MW_Act,1,25),0)</f>
        <v>12.335925069618</v>
      </c>
      <c r="AE33" s="140" t="n">
        <f aca="false">IFERROR((INDEX(PL_EBITDA,1,26)+INDEX(PL_Rent,1,26))*4/INDEX(MW_Act,1,26),0)</f>
        <v>13.6803128389996</v>
      </c>
      <c r="AF33" s="140" t="n">
        <f aca="false">IFERROR((INDEX(PL_EBITDA,1,27)+INDEX(PL_Rent,1,27))*4/INDEX(MW_Act,1,27),0)</f>
        <v>13.586876567039</v>
      </c>
      <c r="AG33" s="140" t="n">
        <f aca="false">IFERROR((INDEX(PL_EBITDA,1,28)+INDEX(PL_Rent,1,28))*4/INDEX(MW_Act,1,28),0)</f>
        <v>13.7183034704409</v>
      </c>
    </row>
    <row r="34" customFormat="false" ht="15" hidden="false" customHeight="false" outlineLevel="0" collapsed="false">
      <c r="A34" s="101" t="s">
        <v>2110</v>
      </c>
      <c r="B34" s="18" t="s">
        <v>396</v>
      </c>
      <c r="C34" s="18" t="s">
        <v>336</v>
      </c>
      <c r="D34" s="18"/>
      <c r="F34" s="139" t="n">
        <f aca="false">IFERROR(INDEX(PL_Rent,1,1)*4/F15,0)</f>
        <v>0</v>
      </c>
      <c r="G34" s="139" t="n">
        <f aca="false">IFERROR(INDEX(PL_Rent,1,2)*4/G15,0)</f>
        <v>0</v>
      </c>
      <c r="H34" s="139" t="n">
        <f aca="false">IFERROR(INDEX(PL_Rent,1,3)*4/H15,0)</f>
        <v>0</v>
      </c>
      <c r="I34" s="139" t="n">
        <f aca="false">IFERROR(INDEX(PL_Rent,1,4)*4/I15,0)</f>
        <v>2.578125</v>
      </c>
      <c r="J34" s="139" t="n">
        <f aca="false">IFERROR(INDEX(PL_Rent,1,5)*4/J15,0)</f>
        <v>2.4609375</v>
      </c>
      <c r="K34" s="139" t="n">
        <f aca="false">IFERROR(INDEX(PL_Rent,1,6)*4/K15,0)</f>
        <v>2.65625</v>
      </c>
      <c r="L34" s="139" t="n">
        <f aca="false">IFERROR(INDEX(PL_Rent,1,7)*4/L15,0)</f>
        <v>2.41875</v>
      </c>
      <c r="M34" s="139" t="n">
        <f aca="false">IFERROR(INDEX(PL_Rent,1,8)*4/M15,0)</f>
        <v>2.00131178063643</v>
      </c>
      <c r="N34" s="139" t="n">
        <f aca="false">IFERROR(INDEX(PL_Rent,1,9)*4/N15,0)</f>
        <v>2.61734693877551</v>
      </c>
      <c r="O34" s="139" t="n">
        <f aca="false">IFERROR(INDEX(PL_Rent,1,10)*4/O15,0)</f>
        <v>2.80030708092486</v>
      </c>
      <c r="P34" s="140" t="n">
        <f aca="false">IFERROR(INDEX(PL_Rent,1,11)*4/P15,0)</f>
        <v>2.8125</v>
      </c>
      <c r="Q34" s="140" t="n">
        <f aca="false">IFERROR(INDEX(PL_Rent,1,12)*4/Q15,0)</f>
        <v>2.57868975903614</v>
      </c>
      <c r="R34" s="140" t="n">
        <f aca="false">IFERROR(INDEX(PL_Rent,1,13)*4/R15,0)</f>
        <v>2.40418732900137</v>
      </c>
      <c r="S34" s="140" t="n">
        <f aca="false">IFERROR(INDEX(PL_Rent,1,14)*4/S15,0)</f>
        <v>2.39373198847262</v>
      </c>
      <c r="T34" s="140" t="n">
        <f aca="false">IFERROR(INDEX(PL_Rent,1,15)*4/T15,0)</f>
        <v>2.48047949917446</v>
      </c>
      <c r="U34" s="140" t="n">
        <f aca="false">IFERROR(INDEX(PL_Rent,1,16)*4/U15,0)</f>
        <v>2.52611395178963</v>
      </c>
      <c r="V34" s="140" t="n">
        <f aca="false">IFERROR(INDEX(PL_Rent,1,17)*4/V15,0)</f>
        <v>2.41949013157895</v>
      </c>
      <c r="W34" s="140" t="n">
        <f aca="false">IFERROR(INDEX(PL_Rent,1,18)*4/W15,0)</f>
        <v>2.68772482014388</v>
      </c>
      <c r="X34" s="140" t="n">
        <f aca="false">IFERROR(INDEX(PL_Rent,1,19)*4/X15,0)</f>
        <v>2.62945869837297</v>
      </c>
      <c r="Y34" s="140" t="n">
        <f aca="false">IFERROR(INDEX(PL_Rent,1,20)*4/Y15,0)</f>
        <v>2.79798462014864</v>
      </c>
      <c r="Z34" s="140" t="n">
        <f aca="false">IFERROR(INDEX(PL_Rent,1,21)*4/Z15,0)</f>
        <v>2.51279239766082</v>
      </c>
      <c r="AA34" s="140" t="n">
        <f aca="false">IFERROR(INDEX(PL_Rent,1,22)*4/AA15,0)</f>
        <v>2.8125</v>
      </c>
      <c r="AB34" s="140" t="n">
        <f aca="false">IFERROR(INDEX(PL_Rent,1,23)*4/AB15,0)</f>
        <v>2.5605</v>
      </c>
      <c r="AC34" s="140" t="n">
        <f aca="false">IFERROR(INDEX(PL_Rent,1,24)*4/AC15,0)</f>
        <v>2.8125</v>
      </c>
      <c r="AD34" s="140" t="n">
        <f aca="false">IFERROR(INDEX(PL_Rent,1,25)*4/AD15,0)</f>
        <v>2.53161011523688</v>
      </c>
      <c r="AE34" s="140" t="n">
        <f aca="false">IFERROR(INDEX(PL_Rent,1,26)*4/AE15,0)</f>
        <v>2.8125</v>
      </c>
      <c r="AF34" s="140" t="n">
        <f aca="false">IFERROR(INDEX(PL_Rent,1,27)*4/AF15,0)</f>
        <v>2.8125</v>
      </c>
      <c r="AG34" s="140" t="n">
        <f aca="false">IFERROR(INDEX(PL_Rent,1,28)*4/AG15,0)</f>
        <v>2.8125</v>
      </c>
    </row>
    <row r="35" customFormat="false" ht="15" hidden="false" customHeight="false" outlineLevel="0" collapsed="false">
      <c r="A35" s="101" t="s">
        <v>2111</v>
      </c>
      <c r="B35" s="18" t="s">
        <v>396</v>
      </c>
      <c r="C35" s="18" t="s">
        <v>336</v>
      </c>
      <c r="D35" s="18"/>
      <c r="F35" s="139" t="n">
        <f aca="false">F33</f>
        <v>-11.344</v>
      </c>
      <c r="G35" s="139" t="n">
        <f aca="false">G33</f>
        <v>-9.296</v>
      </c>
      <c r="H35" s="139" t="n">
        <f aca="false">H33</f>
        <v>-7.344</v>
      </c>
      <c r="I35" s="139" t="n">
        <f aca="false">I33</f>
        <v>-8.0903125</v>
      </c>
      <c r="J35" s="139" t="n">
        <f aca="false">J33</f>
        <v>-4.4471484375</v>
      </c>
      <c r="K35" s="139" t="n">
        <f aca="false">K33</f>
        <v>-0.686111111111111</v>
      </c>
      <c r="L35" s="139" t="n">
        <f aca="false">L33</f>
        <v>0.6347</v>
      </c>
      <c r="M35" s="139" t="n">
        <f aca="false">M33</f>
        <v>1.56067544827504</v>
      </c>
      <c r="N35" s="139" t="n">
        <f aca="false">N33</f>
        <v>4.49314273814482</v>
      </c>
      <c r="O35" s="139" t="n">
        <f aca="false">O33</f>
        <v>7.04757279728691</v>
      </c>
      <c r="P35" s="140" t="n">
        <f aca="false">P33</f>
        <v>8.12545225663768</v>
      </c>
      <c r="Q35" s="140" t="n">
        <f aca="false">Q33</f>
        <v>8.26074534756639</v>
      </c>
      <c r="R35" s="140" t="n">
        <f aca="false">R33</f>
        <v>9.13370336066639</v>
      </c>
      <c r="S35" s="140" t="n">
        <f aca="false">S33</f>
        <v>9.40095848354594</v>
      </c>
      <c r="T35" s="140" t="n">
        <f aca="false">T33</f>
        <v>9.84600767835526</v>
      </c>
      <c r="U35" s="140" t="n">
        <f aca="false">U33</f>
        <v>10.1678566130622</v>
      </c>
      <c r="V35" s="140" t="n">
        <f aca="false">V33</f>
        <v>10.804882370159</v>
      </c>
      <c r="W35" s="140" t="n">
        <f aca="false">W33</f>
        <v>12.2020354229831</v>
      </c>
      <c r="X35" s="140" t="n">
        <f aca="false">X33</f>
        <v>12.061335917589</v>
      </c>
      <c r="Y35" s="140" t="n">
        <f aca="false">Y33</f>
        <v>12.8447167208766</v>
      </c>
      <c r="Z35" s="140" t="n">
        <f aca="false">Z33</f>
        <v>12.0609685833308</v>
      </c>
      <c r="AA35" s="140" t="n">
        <f aca="false">AA33</f>
        <v>13.4997182740267</v>
      </c>
      <c r="AB35" s="140" t="n">
        <f aca="false">AB33</f>
        <v>12.2527245669396</v>
      </c>
      <c r="AC35" s="140" t="n">
        <f aca="false">AC33</f>
        <v>13.4141245872286</v>
      </c>
      <c r="AD35" s="140" t="n">
        <f aca="false">AD33</f>
        <v>12.335925069618</v>
      </c>
      <c r="AE35" s="140" t="n">
        <f aca="false">AE33</f>
        <v>13.6803128389996</v>
      </c>
      <c r="AF35" s="140" t="n">
        <f aca="false">AF33</f>
        <v>13.586876567039</v>
      </c>
      <c r="AG35" s="140" t="n">
        <f aca="false">AG33</f>
        <v>13.7183034704409</v>
      </c>
    </row>
    <row r="36" customFormat="false" ht="15" hidden="false" customHeight="false" outlineLevel="0" collapsed="false">
      <c r="A36" s="101" t="s">
        <v>2112</v>
      </c>
      <c r="B36" s="18" t="s">
        <v>396</v>
      </c>
      <c r="C36" s="18" t="s">
        <v>336</v>
      </c>
      <c r="D36" s="18"/>
      <c r="F36" s="139" t="n">
        <f aca="false">F33-F34</f>
        <v>-11.344</v>
      </c>
      <c r="G36" s="139" t="n">
        <f aca="false">G33-G34</f>
        <v>-9.296</v>
      </c>
      <c r="H36" s="139" t="n">
        <f aca="false">H33-H34</f>
        <v>-7.344</v>
      </c>
      <c r="I36" s="139" t="n">
        <f aca="false">I33-I34</f>
        <v>-10.6684375</v>
      </c>
      <c r="J36" s="139" t="n">
        <f aca="false">J33-J34</f>
        <v>-6.9080859375</v>
      </c>
      <c r="K36" s="139" t="n">
        <f aca="false">K33-K34</f>
        <v>-3.34236111111111</v>
      </c>
      <c r="L36" s="139" t="n">
        <f aca="false">L33-L34</f>
        <v>-1.78405</v>
      </c>
      <c r="M36" s="139" t="n">
        <f aca="false">M33-M34</f>
        <v>-0.440636332361385</v>
      </c>
      <c r="N36" s="139" t="n">
        <f aca="false">N33-N34</f>
        <v>1.87579579936931</v>
      </c>
      <c r="O36" s="139" t="n">
        <f aca="false">O33-O34</f>
        <v>4.24726571636206</v>
      </c>
      <c r="P36" s="140" t="n">
        <f aca="false">P33-P34</f>
        <v>5.31295225663768</v>
      </c>
      <c r="Q36" s="140" t="n">
        <f aca="false">Q33-Q34</f>
        <v>5.68205558853025</v>
      </c>
      <c r="R36" s="140" t="n">
        <f aca="false">R33-R34</f>
        <v>6.72951603166502</v>
      </c>
      <c r="S36" s="140" t="n">
        <f aca="false">S33-S34</f>
        <v>7.00722649507332</v>
      </c>
      <c r="T36" s="140" t="n">
        <f aca="false">T33-T34</f>
        <v>7.3655281791808</v>
      </c>
      <c r="U36" s="140" t="n">
        <f aca="false">U33-U34</f>
        <v>7.64174266127259</v>
      </c>
      <c r="V36" s="140" t="n">
        <f aca="false">V33-V34</f>
        <v>8.38539223858009</v>
      </c>
      <c r="W36" s="140" t="n">
        <f aca="false">W33-W34</f>
        <v>9.51431060283921</v>
      </c>
      <c r="X36" s="140" t="n">
        <f aca="false">X33-X34</f>
        <v>9.43187721921606</v>
      </c>
      <c r="Y36" s="140" t="n">
        <f aca="false">Y33-Y34</f>
        <v>10.0467321007279</v>
      </c>
      <c r="Z36" s="140" t="n">
        <f aca="false">Z33-Z34</f>
        <v>9.54817618566998</v>
      </c>
      <c r="AA36" s="140" t="n">
        <f aca="false">AA33-AA34</f>
        <v>10.6872182740267</v>
      </c>
      <c r="AB36" s="140" t="n">
        <f aca="false">AB33-AB34</f>
        <v>9.69222456693964</v>
      </c>
      <c r="AC36" s="140" t="n">
        <f aca="false">AC33-AC34</f>
        <v>10.6016245872286</v>
      </c>
      <c r="AD36" s="140" t="n">
        <f aca="false">AD33-AD34</f>
        <v>9.80431495438111</v>
      </c>
      <c r="AE36" s="140" t="n">
        <f aca="false">AE33-AE34</f>
        <v>10.8678128389996</v>
      </c>
      <c r="AF36" s="140" t="n">
        <f aca="false">AF33-AF34</f>
        <v>10.774376567039</v>
      </c>
      <c r="AG36" s="140" t="n">
        <f aca="false">AG33-AG34</f>
        <v>10.9058034704409</v>
      </c>
    </row>
    <row r="37" customFormat="false" ht="15" hidden="false" customHeight="false" outlineLevel="0" collapsed="false">
      <c r="A37" s="101" t="s">
        <v>2113</v>
      </c>
      <c r="B37" s="18" t="s">
        <v>360</v>
      </c>
      <c r="C37" s="18" t="s">
        <v>2114</v>
      </c>
      <c r="D37" s="18"/>
      <c r="F37" s="139" t="n">
        <f aca="false">ITCapexMW+ShellMW+PowerMW</f>
        <v>40</v>
      </c>
      <c r="G37" s="139" t="n">
        <f aca="false">ITCapexMW+ShellMW+PowerMW</f>
        <v>40</v>
      </c>
      <c r="H37" s="139" t="n">
        <f aca="false">ITCapexMW+ShellMW+PowerMW</f>
        <v>40</v>
      </c>
      <c r="I37" s="139" t="n">
        <f aca="false">ITCapexMW+ShellMW+PowerMW</f>
        <v>40</v>
      </c>
      <c r="J37" s="139" t="n">
        <f aca="false">ITCapexMW+ShellMW+PowerMW</f>
        <v>40</v>
      </c>
      <c r="K37" s="139" t="n">
        <f aca="false">ITCapexMW+ShellMW+PowerMW</f>
        <v>40</v>
      </c>
      <c r="L37" s="139" t="n">
        <f aca="false">ITCapexMW+ShellMW+PowerMW</f>
        <v>40</v>
      </c>
      <c r="M37" s="139" t="n">
        <f aca="false">ITCapexMW+ShellMW+PowerMW</f>
        <v>40</v>
      </c>
      <c r="N37" s="139" t="n">
        <f aca="false">ITCapexMW+ShellMW+PowerMW</f>
        <v>40</v>
      </c>
      <c r="O37" s="139" t="n">
        <f aca="false">ITCapexMW+ShellMW+PowerMW</f>
        <v>40</v>
      </c>
      <c r="P37" s="140" t="n">
        <f aca="false">ITCapexMW+ShellMW+PowerMW</f>
        <v>40</v>
      </c>
      <c r="Q37" s="140" t="n">
        <f aca="false">ITCapexMW+ShellMW+PowerMW</f>
        <v>40</v>
      </c>
      <c r="R37" s="140" t="n">
        <f aca="false">ITCapexMW+ShellMW+PowerMW</f>
        <v>40</v>
      </c>
      <c r="S37" s="140" t="n">
        <f aca="false">ITCapexMW+ShellMW+PowerMW</f>
        <v>40</v>
      </c>
      <c r="T37" s="140" t="n">
        <f aca="false">ITCapexMW+ShellMW+PowerMW</f>
        <v>40</v>
      </c>
      <c r="U37" s="140" t="n">
        <f aca="false">ITCapexMW+ShellMW+PowerMW</f>
        <v>40</v>
      </c>
      <c r="V37" s="140" t="n">
        <f aca="false">ITCapexMW+ShellMW+PowerMW</f>
        <v>40</v>
      </c>
      <c r="W37" s="140" t="n">
        <f aca="false">ITCapexMW+ShellMW+PowerMW</f>
        <v>40</v>
      </c>
      <c r="X37" s="140" t="n">
        <f aca="false">ITCapexMW+ShellMW+PowerMW</f>
        <v>40</v>
      </c>
      <c r="Y37" s="140" t="n">
        <f aca="false">ITCapexMW+ShellMW+PowerMW</f>
        <v>40</v>
      </c>
      <c r="Z37" s="140" t="n">
        <f aca="false">ITCapexMW+ShellMW+PowerMW</f>
        <v>40</v>
      </c>
      <c r="AA37" s="140" t="n">
        <f aca="false">ITCapexMW+ShellMW+PowerMW</f>
        <v>40</v>
      </c>
      <c r="AB37" s="140" t="n">
        <f aca="false">ITCapexMW+ShellMW+PowerMW</f>
        <v>40</v>
      </c>
      <c r="AC37" s="140" t="n">
        <f aca="false">ITCapexMW+ShellMW+PowerMW</f>
        <v>40</v>
      </c>
      <c r="AD37" s="140" t="n">
        <f aca="false">ITCapexMW+ShellMW+PowerMW</f>
        <v>40</v>
      </c>
      <c r="AE37" s="140" t="n">
        <f aca="false">ITCapexMW+ShellMW+PowerMW</f>
        <v>40</v>
      </c>
      <c r="AF37" s="140" t="n">
        <f aca="false">ITCapexMW+ShellMW+PowerMW</f>
        <v>40</v>
      </c>
      <c r="AG37" s="140" t="n">
        <f aca="false">ITCapexMW+ShellMW+PowerMW</f>
        <v>40</v>
      </c>
    </row>
    <row r="38" customFormat="false" ht="15" hidden="false" customHeight="false" outlineLevel="0" collapsed="false">
      <c r="A38" s="101" t="s">
        <v>2115</v>
      </c>
      <c r="B38" s="18" t="s">
        <v>360</v>
      </c>
      <c r="C38" s="18" t="s">
        <v>2114</v>
      </c>
      <c r="D38" s="18"/>
      <c r="F38" s="139" t="n">
        <f aca="false">ITCapexMW</f>
        <v>30</v>
      </c>
      <c r="G38" s="139" t="n">
        <f aca="false">ITCapexMW</f>
        <v>30</v>
      </c>
      <c r="H38" s="139" t="n">
        <f aca="false">ITCapexMW</f>
        <v>30</v>
      </c>
      <c r="I38" s="139" t="n">
        <f aca="false">ITCapexMW</f>
        <v>30</v>
      </c>
      <c r="J38" s="139" t="n">
        <f aca="false">ITCapexMW</f>
        <v>30</v>
      </c>
      <c r="K38" s="139" t="n">
        <f aca="false">ITCapexMW</f>
        <v>30</v>
      </c>
      <c r="L38" s="139" t="n">
        <f aca="false">ITCapexMW</f>
        <v>30</v>
      </c>
      <c r="M38" s="139" t="n">
        <f aca="false">ITCapexMW</f>
        <v>30</v>
      </c>
      <c r="N38" s="139" t="n">
        <f aca="false">ITCapexMW</f>
        <v>30</v>
      </c>
      <c r="O38" s="139" t="n">
        <f aca="false">ITCapexMW</f>
        <v>30</v>
      </c>
      <c r="P38" s="140" t="n">
        <f aca="false">ITCapexMW</f>
        <v>30</v>
      </c>
      <c r="Q38" s="140" t="n">
        <f aca="false">ITCapexMW</f>
        <v>30</v>
      </c>
      <c r="R38" s="140" t="n">
        <f aca="false">ITCapexMW</f>
        <v>30</v>
      </c>
      <c r="S38" s="140" t="n">
        <f aca="false">ITCapexMW</f>
        <v>30</v>
      </c>
      <c r="T38" s="140" t="n">
        <f aca="false">ITCapexMW</f>
        <v>30</v>
      </c>
      <c r="U38" s="140" t="n">
        <f aca="false">ITCapexMW</f>
        <v>30</v>
      </c>
      <c r="V38" s="140" t="n">
        <f aca="false">ITCapexMW</f>
        <v>30</v>
      </c>
      <c r="W38" s="140" t="n">
        <f aca="false">ITCapexMW</f>
        <v>30</v>
      </c>
      <c r="X38" s="140" t="n">
        <f aca="false">ITCapexMW</f>
        <v>30</v>
      </c>
      <c r="Y38" s="140" t="n">
        <f aca="false">ITCapexMW</f>
        <v>30</v>
      </c>
      <c r="Z38" s="140" t="n">
        <f aca="false">ITCapexMW</f>
        <v>30</v>
      </c>
      <c r="AA38" s="140" t="n">
        <f aca="false">ITCapexMW</f>
        <v>30</v>
      </c>
      <c r="AB38" s="140" t="n">
        <f aca="false">ITCapexMW</f>
        <v>30</v>
      </c>
      <c r="AC38" s="140" t="n">
        <f aca="false">ITCapexMW</f>
        <v>30</v>
      </c>
      <c r="AD38" s="140" t="n">
        <f aca="false">ITCapexMW</f>
        <v>30</v>
      </c>
      <c r="AE38" s="140" t="n">
        <f aca="false">ITCapexMW</f>
        <v>30</v>
      </c>
      <c r="AF38" s="140" t="n">
        <f aca="false">ITCapexMW</f>
        <v>30</v>
      </c>
      <c r="AG38" s="140" t="n">
        <f aca="false">ITCapexMW</f>
        <v>30</v>
      </c>
    </row>
    <row r="39" customFormat="false" ht="15" hidden="false" customHeight="false" outlineLevel="0" collapsed="false">
      <c r="A39" s="101" t="s">
        <v>2116</v>
      </c>
      <c r="B39" s="18" t="s">
        <v>388</v>
      </c>
      <c r="C39" s="18" t="s">
        <v>1622</v>
      </c>
      <c r="D39" s="18"/>
      <c r="F39" s="125" t="n">
        <f aca="false">INDEX(DepYld,1,1)</f>
        <v>0</v>
      </c>
      <c r="G39" s="125" t="str">
        <f aca="false">INDEX(DepYld,1,2)</f>
        <v/>
      </c>
      <c r="H39" s="125" t="str">
        <f aca="false">INDEX(DepYld,1,3)</f>
        <v/>
      </c>
      <c r="I39" s="125" t="str">
        <f aca="false">INDEX(DepYld,1,4)</f>
        <v/>
      </c>
      <c r="J39" s="125" t="str">
        <f aca="false">INDEX(DepYld,1,5)</f>
        <v/>
      </c>
      <c r="K39" s="125" t="str">
        <f aca="false">INDEX(DepYld,1,6)</f>
        <v/>
      </c>
      <c r="L39" s="125" t="str">
        <f aca="false">INDEX(DepYld,1,7)</f>
        <v/>
      </c>
      <c r="M39" s="125" t="str">
        <f aca="false">INDEX(DepYld,1,8)</f>
        <v/>
      </c>
      <c r="N39" s="125" t="n">
        <f aca="false">INDEX(DepYld,1,9)</f>
        <v>0.216186062478544</v>
      </c>
      <c r="O39" s="125" t="n">
        <f aca="false">INDEX(DepYld,1,10)</f>
        <v>0.200171980643747</v>
      </c>
      <c r="P39" s="27" t="n">
        <f aca="false">INDEX(DepYld,1,11)</f>
        <v>0.329595545716654</v>
      </c>
      <c r="Q39" s="27" t="n">
        <f aca="false">INDEX(DepYld,1,12)</f>
        <v>0.228253516698031</v>
      </c>
      <c r="R39" s="27" t="n">
        <f aca="false">INDEX(DepYld,1,13)</f>
        <v>0.220100744903723</v>
      </c>
      <c r="S39" s="27" t="n">
        <f aca="false">INDEX(DepYld,1,14)</f>
        <v>0.230310007456924</v>
      </c>
      <c r="T39" s="27" t="n">
        <f aca="false">INDEX(DepYld,1,15)</f>
        <v>0.243583769297131</v>
      </c>
      <c r="U39" s="27" t="n">
        <f aca="false">INDEX(DepYld,1,16)</f>
        <v>0.244066860316241</v>
      </c>
      <c r="V39" s="27" t="n">
        <f aca="false">INDEX(DepYld,1,17)</f>
        <v>0.266299287484297</v>
      </c>
      <c r="W39" s="27" t="n">
        <f aca="false">INDEX(DepYld,1,18)</f>
        <v>0.237223603385033</v>
      </c>
      <c r="X39" s="27" t="n">
        <f aca="false">INDEX(DepYld,1,19)</f>
        <v>0.227752833548568</v>
      </c>
      <c r="Y39" s="27" t="n">
        <f aca="false">INDEX(DepYld,1,20)</f>
        <v>0.215133050915315</v>
      </c>
      <c r="Z39" s="27" t="n">
        <f aca="false">INDEX(DepYld,1,21)</f>
        <v>0.243541617815546</v>
      </c>
      <c r="AA39" s="27" t="n">
        <f aca="false">INDEX(DepYld,1,22)</f>
        <v>0.222883954948524</v>
      </c>
      <c r="AB39" s="27" t="n">
        <f aca="false">INDEX(DepYld,1,23)</f>
        <v>0.23590257372414</v>
      </c>
      <c r="AC39" s="27" t="n">
        <f aca="false">INDEX(DepYld,1,24)</f>
        <v>0.220543510132979</v>
      </c>
      <c r="AD39" s="27" t="n">
        <f aca="false">INDEX(DepYld,1,25)</f>
        <v>0.240991437029326</v>
      </c>
      <c r="AE39" s="27" t="n">
        <f aca="false">INDEX(DepYld,1,26)</f>
        <v>0.217284712416136</v>
      </c>
      <c r="AF39" s="27" t="n">
        <f aca="false">INDEX(DepYld,1,27)</f>
        <v>0.202329445601602</v>
      </c>
      <c r="AG39" s="27" t="n">
        <f aca="false">INDEX(DepYld,1,28)</f>
        <v>0.201329665419788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2117</v>
      </c>
    </row>
    <row r="3" customFormat="false" ht="15" hidden="false" customHeight="false" outlineLevel="0" collapsed="false">
      <c r="A3" s="18" t="s">
        <v>2118</v>
      </c>
    </row>
    <row r="4" customFormat="false" ht="15" hidden="false" customHeight="false" outlineLevel="0" collapsed="false">
      <c r="A4" s="28" t="s">
        <v>2119</v>
      </c>
      <c r="B4" s="28" t="s">
        <v>2120</v>
      </c>
      <c r="C4" s="28" t="s">
        <v>2121</v>
      </c>
      <c r="D4" s="28" t="s">
        <v>2122</v>
      </c>
      <c r="E4" s="28" t="s">
        <v>2123</v>
      </c>
      <c r="F4" s="28" t="s">
        <v>2124</v>
      </c>
    </row>
    <row r="5" customFormat="false" ht="15" hidden="false" customHeight="false" outlineLevel="0" collapsed="false">
      <c r="A5" s="0" t="s">
        <v>2125</v>
      </c>
      <c r="B5" s="17" t="n">
        <f aca="false">-0.2*SUMPRODUCT((Q_Yr=2026)*(Q_Idx&gt;V_Q)*(Book_C+Book_B*(Q_Idx&gt;V_Q+ResLag)))</f>
        <v>-10.4934224689119</v>
      </c>
      <c r="C5" s="17" t="n">
        <f aca="false">-0.1*SUMPRODUCT((Q_Yr=2026)*(Q_Idx&gt;V_Q)*(Book_C+Book_B*(Q_Idx&gt;V_Q+ResLag)))</f>
        <v>-5.24671123445594</v>
      </c>
      <c r="D5" s="17" t="n">
        <f aca="false">0.1*SUMPRODUCT((Q_Yr=2026)*(Q_Idx&gt;V_Q)*(Book_C+Book_B*(Q_Idx&gt;V_Q+ResLag)))</f>
        <v>5.24671123445594</v>
      </c>
      <c r="E5" s="17" t="n">
        <f aca="false">0.2*SUMPRODUCT((Q_Yr=2026)*(Q_Idx&gt;V_Q)*(Book_C+Book_B*(Q_Idx&gt;V_Q+ResLag)))</f>
        <v>10.4934224689119</v>
      </c>
      <c r="F5" s="27" t="n">
        <f aca="false">IFERROR(D5/SUMIF(Q_Yr,2026,PL_Rev),0)</f>
        <v>0.00216501328116555</v>
      </c>
    </row>
    <row r="6" customFormat="false" ht="15" hidden="false" customHeight="false" outlineLevel="0" collapsed="false">
      <c r="A6" s="0" t="s">
        <v>2126</v>
      </c>
      <c r="B6" s="17" t="n">
        <f aca="false">-0.2*SUMPRODUCT((Q_Yr=2027)*(Q_Idx&gt;V_Q)*(Book_C+Book_B*(Q_Idx&gt;V_Q+ResLag)))</f>
        <v>-384.24978555181</v>
      </c>
      <c r="C6" s="17" t="n">
        <f aca="false">-0.1*SUMPRODUCT((Q_Yr=2027)*(Q_Idx&gt;V_Q)*(Book_C+Book_B*(Q_Idx&gt;V_Q+ResLag)))</f>
        <v>-192.124892775905</v>
      </c>
      <c r="D6" s="17" t="n">
        <f aca="false">0.1*SUMPRODUCT((Q_Yr=2027)*(Q_Idx&gt;V_Q)*(Book_C+Book_B*(Q_Idx&gt;V_Q+ResLag)))</f>
        <v>192.124892775905</v>
      </c>
      <c r="E6" s="17" t="n">
        <f aca="false">0.2*SUMPRODUCT((Q_Yr=2027)*(Q_Idx&gt;V_Q)*(Book_C+Book_B*(Q_Idx&gt;V_Q+ResLag)))</f>
        <v>384.24978555181</v>
      </c>
      <c r="F6" s="27" t="n">
        <f aca="false">IFERROR(D6/SUMIF(Q_Yr,2027,PL_Rev),0)</f>
        <v>0.0262455191129176</v>
      </c>
    </row>
    <row r="7" customFormat="false" ht="15" hidden="false" customHeight="false" outlineLevel="0" collapsed="false">
      <c r="A7" s="0" t="s">
        <v>2127</v>
      </c>
      <c r="B7" s="17" t="n">
        <f aca="false">-0.2*SUMPRODUCT((Q_Yr=2028)*(Q_Idx&gt;V_Q)*(Book_C+Book_B*(Q_Idx&gt;V_Q+ResLag)))</f>
        <v>-3184.55145719962</v>
      </c>
      <c r="C7" s="17" t="n">
        <f aca="false">-0.1*SUMPRODUCT((Q_Yr=2028)*(Q_Idx&gt;V_Q)*(Book_C+Book_B*(Q_Idx&gt;V_Q+ResLag)))</f>
        <v>-1592.27572859981</v>
      </c>
      <c r="D7" s="17" t="n">
        <f aca="false">0.1*SUMPRODUCT((Q_Yr=2028)*(Q_Idx&gt;V_Q)*(Book_C+Book_B*(Q_Idx&gt;V_Q+ResLag)))</f>
        <v>1592.27572859981</v>
      </c>
      <c r="E7" s="17" t="n">
        <f aca="false">0.2*SUMPRODUCT((Q_Yr=2028)*(Q_Idx&gt;V_Q)*(Book_C+Book_B*(Q_Idx&gt;V_Q+ResLag)))</f>
        <v>3184.55145719962</v>
      </c>
      <c r="F7" s="27" t="n">
        <f aca="false">IFERROR(D7/SUMIF(Q_Yr,2028,PL_Rev),0)</f>
        <v>0.0836943711534184</v>
      </c>
    </row>
    <row r="9" customFormat="false" ht="15" hidden="false" customHeight="false" outlineLevel="0" collapsed="false">
      <c r="A9" s="0" t="s">
        <v>2128</v>
      </c>
      <c r="B9" s="31" t="n">
        <f aca="false">INDEX(Book_A,1,V_Q)/INDEX(AIRev,1,V_Q)</f>
        <v>0.510093513391141</v>
      </c>
      <c r="C9" s="31" t="n">
        <f aca="false">INDEX(Book_B,1,V_Q)/INDEX(AIRev,1,V_Q)</f>
        <v>0.424795270275381</v>
      </c>
      <c r="D9" s="31" t="n">
        <f aca="false">INDEX(Book_C,1,V_Q)/INDEX(AIRev,1,V_Q)</f>
        <v>0.0651112163334779</v>
      </c>
    </row>
    <row r="11" customFormat="false" ht="15" hidden="false" customHeight="false" outlineLevel="0" collapsed="false">
      <c r="A11" s="141" t="s">
        <v>2129</v>
      </c>
    </row>
    <row r="12" customFormat="false" ht="15" hidden="false" customHeight="false" outlineLevel="0" collapsed="false">
      <c r="A12" s="7" t="s">
        <v>2130</v>
      </c>
      <c r="B12" s="7" t="s">
        <v>2131</v>
      </c>
      <c r="C12" s="7" t="s">
        <v>198</v>
      </c>
      <c r="D12" s="7" t="s">
        <v>200</v>
      </c>
      <c r="E12" s="7" t="s">
        <v>199</v>
      </c>
      <c r="F12" s="7" t="s">
        <v>2132</v>
      </c>
      <c r="G12" s="7" t="s">
        <v>2133</v>
      </c>
      <c r="H12" s="7" t="s">
        <v>2134</v>
      </c>
      <c r="I12" s="7" t="s">
        <v>2135</v>
      </c>
      <c r="J12" s="7" t="s">
        <v>228</v>
      </c>
      <c r="K12" s="7" t="s">
        <v>2136</v>
      </c>
      <c r="L12" s="7" t="s">
        <v>2137</v>
      </c>
      <c r="M12" s="7" t="s">
        <v>2138</v>
      </c>
      <c r="N12" s="7" t="s">
        <v>201</v>
      </c>
      <c r="O12" s="7" t="s">
        <v>2139</v>
      </c>
      <c r="P12" s="7" t="s">
        <v>2140</v>
      </c>
      <c r="Q12" s="7" t="s">
        <v>2141</v>
      </c>
      <c r="R12" s="7" t="s">
        <v>2142</v>
      </c>
      <c r="S12" s="7" t="s">
        <v>2143</v>
      </c>
      <c r="T12" s="7" t="s">
        <v>2144</v>
      </c>
      <c r="U12" s="7" t="s">
        <v>2145</v>
      </c>
      <c r="V12" s="7" t="s">
        <v>229</v>
      </c>
      <c r="W12" s="7" t="s">
        <v>2146</v>
      </c>
      <c r="X12" s="7" t="s">
        <v>2147</v>
      </c>
      <c r="Y12" s="7" t="s">
        <v>2148</v>
      </c>
      <c r="Z12" s="7" t="s">
        <v>2149</v>
      </c>
      <c r="AA12" s="7" t="s">
        <v>2150</v>
      </c>
      <c r="AB12" s="7" t="s">
        <v>2151</v>
      </c>
      <c r="AC12" s="7" t="s">
        <v>2152</v>
      </c>
      <c r="AD12" s="7" t="s">
        <v>2153</v>
      </c>
      <c r="AE12" s="7" t="s">
        <v>2154</v>
      </c>
      <c r="AF12" s="7" t="s">
        <v>2155</v>
      </c>
      <c r="AG12" s="7" t="s">
        <v>2156</v>
      </c>
      <c r="AH12" s="7" t="s">
        <v>2157</v>
      </c>
      <c r="AI12" s="7" t="s">
        <v>2158</v>
      </c>
      <c r="AJ12" s="7" t="s">
        <v>2159</v>
      </c>
      <c r="AK12" s="7" t="s">
        <v>2160</v>
      </c>
      <c r="AL12" s="7" t="s">
        <v>2161</v>
      </c>
      <c r="AM12" s="7" t="s">
        <v>2162</v>
      </c>
      <c r="AN12" s="7" t="s">
        <v>2163</v>
      </c>
    </row>
    <row r="13" customFormat="false" ht="15" hidden="false" customHeight="false" outlineLevel="0" collapsed="false">
      <c r="A13" s="0" t="s">
        <v>73</v>
      </c>
      <c r="B13" s="14" t="n">
        <v>2423.40833661368</v>
      </c>
      <c r="C13" s="14" t="n">
        <v>7320.29311172376</v>
      </c>
      <c r="D13" s="14" t="n">
        <v>19024.8843100935</v>
      </c>
      <c r="E13" s="14" t="n">
        <v>3864.96134836955</v>
      </c>
      <c r="F13" s="14" t="n">
        <v>-1074.66751623611</v>
      </c>
      <c r="G13" s="14" t="n">
        <v>4646.81714013671</v>
      </c>
      <c r="H13" s="14" t="n">
        <v>31798.1884260569</v>
      </c>
      <c r="I13" s="15" t="n">
        <v>70.6024898159561</v>
      </c>
      <c r="J13" s="15" t="n">
        <v>79.7808134920304</v>
      </c>
      <c r="K13" s="14" t="s">
        <v>60</v>
      </c>
      <c r="L13" s="14" t="n">
        <v>-8054.44067566647</v>
      </c>
      <c r="M13" s="14" t="n">
        <v>27433.2058622345</v>
      </c>
      <c r="N13" s="14" t="n">
        <v>11759.9321594194</v>
      </c>
      <c r="O13" s="14" t="n">
        <v>-16951.9447612643</v>
      </c>
      <c r="P13" s="14" t="n">
        <v>968.519919991184</v>
      </c>
      <c r="Q13" s="14" t="n">
        <v>1602.02635498548</v>
      </c>
      <c r="R13" s="14" t="n">
        <v>16720.3421667323</v>
      </c>
      <c r="S13" s="14" t="n">
        <v>23663.8976862019</v>
      </c>
      <c r="T13" s="14" t="n">
        <v>-937.016004190439</v>
      </c>
      <c r="U13" s="14" t="n">
        <v>22474.6503581417</v>
      </c>
      <c r="V13" s="14" t="n">
        <v>0.82509878873241</v>
      </c>
      <c r="W13" s="14" t="n">
        <v>53259.1234046399</v>
      </c>
      <c r="X13" s="14" t="n">
        <v>21751.8294322891</v>
      </c>
      <c r="Y13" s="14" t="n">
        <v>75.0514761485726</v>
      </c>
      <c r="Z13" s="14" t="n">
        <v>101.872120747974</v>
      </c>
      <c r="AA13" s="14" t="n">
        <v>30.1575455502983</v>
      </c>
      <c r="AB13" s="14" t="n">
        <v>27.9575455502983</v>
      </c>
      <c r="AC13" s="14" t="n">
        <v>29.4075455502983</v>
      </c>
      <c r="AD13" s="14" t="n">
        <v>30.1575455502983</v>
      </c>
      <c r="AE13" s="14" t="n">
        <v>653.683373262198</v>
      </c>
      <c r="AF13" s="14" t="n">
        <v>0.03</v>
      </c>
      <c r="AG13" s="14" t="n">
        <v>0.699294850981936</v>
      </c>
      <c r="AH13" s="14" t="n">
        <v>8829.50567689751</v>
      </c>
      <c r="AI13" s="14" t="n">
        <v>19024.8843100935</v>
      </c>
      <c r="AJ13" s="14" t="n">
        <v>22.221</v>
      </c>
      <c r="AK13" s="14" t="n">
        <v>0</v>
      </c>
      <c r="AL13" s="14" t="n">
        <v>-28196.1435577038</v>
      </c>
      <c r="AM13" s="14" t="n">
        <v>684.5</v>
      </c>
      <c r="AN13" s="14" t="n">
        <v>34565.685</v>
      </c>
    </row>
    <row r="14" customFormat="false" ht="15" hidden="false" customHeight="false" outlineLevel="0" collapsed="false">
      <c r="A14" s="0" t="s">
        <v>74</v>
      </c>
      <c r="B14" s="14" t="n">
        <v>2643.78617033326</v>
      </c>
      <c r="C14" s="14" t="n">
        <v>12677.5587647405</v>
      </c>
      <c r="D14" s="14" t="n">
        <v>30229.435424847</v>
      </c>
      <c r="E14" s="14" t="n">
        <v>7630.35852118994</v>
      </c>
      <c r="F14" s="14" t="n">
        <v>2172.93070730375</v>
      </c>
      <c r="G14" s="14" t="n">
        <v>4950.32546329657</v>
      </c>
      <c r="H14" s="14" t="n">
        <v>181982.521844904</v>
      </c>
      <c r="I14" s="15" t="n">
        <v>478.558409781268</v>
      </c>
      <c r="J14" s="15" t="n">
        <v>535.98541895502</v>
      </c>
      <c r="K14" s="14" t="s">
        <v>58</v>
      </c>
      <c r="L14" s="14" t="n">
        <v>-11208.4743725167</v>
      </c>
      <c r="M14" s="14" t="n">
        <v>34661.0511752948</v>
      </c>
      <c r="N14" s="14" t="n">
        <v>20408.1504202601</v>
      </c>
      <c r="O14" s="14" t="n">
        <v>-13495.1942973088</v>
      </c>
      <c r="P14" s="14" t="n">
        <v>1142.48578071534</v>
      </c>
      <c r="Q14" s="14" t="n">
        <v>9276.84909029908</v>
      </c>
      <c r="R14" s="14" t="n">
        <v>22682.2163900733</v>
      </c>
      <c r="S14" s="14" t="n">
        <v>22894.1720418303</v>
      </c>
      <c r="T14" s="14" t="n">
        <v>-596.173596405317</v>
      </c>
      <c r="U14" s="14" t="n">
        <v>185934.193232433</v>
      </c>
      <c r="V14" s="14" t="n">
        <v>0.82509878873241</v>
      </c>
      <c r="W14" s="14" t="n">
        <v>186049.180420782</v>
      </c>
      <c r="X14" s="14" t="n">
        <v>26445.9098681195</v>
      </c>
      <c r="Y14" s="14" t="n">
        <v>506.45861603991</v>
      </c>
      <c r="Z14" s="14" t="n">
        <v>672.340109537177</v>
      </c>
      <c r="AA14" s="14" t="n">
        <v>43.041696075</v>
      </c>
      <c r="AB14" s="14" t="n">
        <v>40.841696075</v>
      </c>
      <c r="AC14" s="14" t="n">
        <v>42.291696075</v>
      </c>
      <c r="AD14" s="14" t="n">
        <v>43.041696075</v>
      </c>
      <c r="AE14" s="14" t="n">
        <v>720.689630183706</v>
      </c>
      <c r="AF14" s="14" t="n">
        <v>0.035</v>
      </c>
      <c r="AG14" s="14" t="n">
        <v>0.747146502131215</v>
      </c>
      <c r="AH14" s="14" t="n">
        <v>6111.45720625512</v>
      </c>
      <c r="AI14" s="14" t="n">
        <v>30229.435424847</v>
      </c>
      <c r="AJ14" s="14" t="n">
        <v>26.8359375</v>
      </c>
      <c r="AK14" s="14" t="n">
        <v>0</v>
      </c>
      <c r="AL14" s="14" t="n">
        <v>-22617.6683968086</v>
      </c>
      <c r="AM14" s="14" t="n">
        <v>909.833333333333</v>
      </c>
      <c r="AN14" s="14" t="n">
        <v>49791.15</v>
      </c>
    </row>
    <row r="15" customFormat="false" ht="15" hidden="false" customHeight="false" outlineLevel="0" collapsed="false">
      <c r="A15" s="0" t="s">
        <v>75</v>
      </c>
      <c r="B15" s="14" t="n">
        <v>2102.38738501866</v>
      </c>
      <c r="C15" s="14" t="n">
        <v>3820.7257686822</v>
      </c>
      <c r="D15" s="14" t="n">
        <v>9754.00881217116</v>
      </c>
      <c r="E15" s="14" t="n">
        <v>1648.58401950248</v>
      </c>
      <c r="F15" s="14" t="n">
        <v>-3613.02514882882</v>
      </c>
      <c r="G15" s="14" t="n">
        <v>5108.78013758402</v>
      </c>
      <c r="H15" s="14" t="n">
        <v>-10317.8942507918</v>
      </c>
      <c r="I15" s="15" t="n">
        <v>0.01</v>
      </c>
      <c r="J15" s="15" t="n">
        <v>0.0115</v>
      </c>
      <c r="K15" s="14" t="s">
        <v>50</v>
      </c>
      <c r="L15" s="14" t="n">
        <v>-1519.28105992782</v>
      </c>
      <c r="M15" s="14" t="n">
        <v>17506.7677183366</v>
      </c>
      <c r="N15" s="14" t="n">
        <v>4952.26526097632</v>
      </c>
      <c r="O15" s="14" t="n">
        <v>-14740.5468478524</v>
      </c>
      <c r="P15" s="14" t="n">
        <v>750.274237487276</v>
      </c>
      <c r="Q15" s="14" t="n">
        <v>-4447.07674368595</v>
      </c>
      <c r="R15" s="14" t="n">
        <v>10528.0310069596</v>
      </c>
      <c r="S15" s="14" t="n">
        <v>19985.1847762434</v>
      </c>
      <c r="T15" s="14" t="n">
        <v>-1418.70966445582</v>
      </c>
      <c r="U15" s="14" t="n">
        <v>-19136.3606191985</v>
      </c>
      <c r="V15" s="14" t="n">
        <v>0.82509878873241</v>
      </c>
      <c r="W15" s="14" t="n">
        <v>17880.4491394549</v>
      </c>
      <c r="X15" s="14" t="n">
        <v>11155.0026433913</v>
      </c>
      <c r="Y15" s="14" t="n">
        <v>0.0107238052947636</v>
      </c>
      <c r="Z15" s="14" t="n">
        <v>0.01520875</v>
      </c>
      <c r="AA15" s="14" t="n">
        <v>22.27279275</v>
      </c>
      <c r="AB15" s="14" t="n">
        <v>20.07279275</v>
      </c>
      <c r="AC15" s="14" t="n">
        <v>21.52279275</v>
      </c>
      <c r="AD15" s="14" t="n">
        <v>22.27279275</v>
      </c>
      <c r="AE15" s="14" t="n">
        <v>552.747125886626</v>
      </c>
      <c r="AF15" s="14" t="n">
        <v>0.02</v>
      </c>
      <c r="AG15" s="14" t="n">
        <v>0.616928155475375</v>
      </c>
      <c r="AH15" s="14" t="n">
        <v>12229.130026179</v>
      </c>
      <c r="AI15" s="14" t="n">
        <v>9754.00881217116</v>
      </c>
      <c r="AJ15" s="14" t="n">
        <v>19.365</v>
      </c>
      <c r="AK15" s="14" t="n">
        <v>0</v>
      </c>
      <c r="AL15" s="14" t="n">
        <v>-27272.5025398904</v>
      </c>
      <c r="AM15" s="14" t="n">
        <v>396.288888888889</v>
      </c>
      <c r="AN15" s="14" t="n">
        <v>14520.7152777778</v>
      </c>
    </row>
    <row r="16" customFormat="false" ht="15" hidden="false" customHeight="false" outlineLevel="0" collapsed="false">
      <c r="A16" s="0" t="s">
        <v>2164</v>
      </c>
      <c r="B16" s="14" t="n">
        <v>2423.40833661368</v>
      </c>
      <c r="C16" s="14" t="n">
        <v>7320.29311172376</v>
      </c>
      <c r="D16" s="14" t="n">
        <v>19024.8843100935</v>
      </c>
      <c r="E16" s="14" t="n">
        <v>3864.96134836955</v>
      </c>
      <c r="F16" s="14" t="n">
        <v>-2137.45976623611</v>
      </c>
      <c r="G16" s="14" t="n">
        <v>5709.60939013671</v>
      </c>
      <c r="H16" s="14" t="n">
        <v>8983.28375712344</v>
      </c>
      <c r="I16" s="15" t="n">
        <v>0.01</v>
      </c>
      <c r="J16" s="15" t="n">
        <v>0.0113</v>
      </c>
      <c r="K16" s="14" t="s">
        <v>60</v>
      </c>
      <c r="L16" s="14" t="n">
        <v>-8196.84067566647</v>
      </c>
      <c r="M16" s="14" t="n">
        <v>27575.6058622345</v>
      </c>
      <c r="N16" s="14" t="n">
        <v>11759.9321594194</v>
      </c>
      <c r="O16" s="14" t="n">
        <v>-17365.8301311349</v>
      </c>
      <c r="P16" s="14" t="n">
        <v>968.519919991184</v>
      </c>
      <c r="Q16" s="14" t="n">
        <v>-526.22464501452</v>
      </c>
      <c r="R16" s="14" t="n">
        <v>16720.3421667323</v>
      </c>
      <c r="S16" s="14" t="n">
        <v>24167.4976862019</v>
      </c>
      <c r="T16" s="14" t="n">
        <v>-1200.65400419044</v>
      </c>
      <c r="U16" s="14" t="n">
        <v>-526.136767237033</v>
      </c>
      <c r="V16" s="14" t="n">
        <v>0.82509878873241</v>
      </c>
      <c r="W16" s="14" t="n">
        <v>38844.0993065859</v>
      </c>
      <c r="X16" s="14" t="n">
        <v>25093.5078764011</v>
      </c>
      <c r="Y16" s="14" t="n">
        <v>0.0106301458127347</v>
      </c>
      <c r="Z16" s="14" t="n">
        <v>0.01442897</v>
      </c>
      <c r="AA16" s="14" t="n">
        <v>30.1575455502983</v>
      </c>
      <c r="AB16" s="14" t="n">
        <v>27.9575455502983</v>
      </c>
      <c r="AC16" s="14" t="n">
        <v>29.4075455502983</v>
      </c>
      <c r="AD16" s="14" t="n">
        <v>30.1575455502983</v>
      </c>
      <c r="AE16" s="14" t="n">
        <v>653.683373262198</v>
      </c>
      <c r="AF16" s="14" t="n">
        <v>0.03</v>
      </c>
      <c r="AG16" s="14" t="n">
        <v>0.699294850981936</v>
      </c>
      <c r="AH16" s="14" t="n">
        <v>8829.50567689751</v>
      </c>
      <c r="AI16" s="14" t="n">
        <v>19024.8843100935</v>
      </c>
      <c r="AJ16" s="14" t="n">
        <v>22.221</v>
      </c>
      <c r="AK16" s="14" t="n">
        <v>0</v>
      </c>
      <c r="AL16" s="14" t="n">
        <v>-29361.0002558756</v>
      </c>
      <c r="AM16" s="14" t="n">
        <v>684.5</v>
      </c>
      <c r="AN16" s="14" t="n">
        <v>34565.685</v>
      </c>
    </row>
    <row r="17" customFormat="false" ht="15" hidden="false" customHeight="false" outlineLevel="0" collapsed="false">
      <c r="A17" s="0" t="s">
        <v>2165</v>
      </c>
      <c r="B17" s="14" t="n">
        <v>2423.40833661368</v>
      </c>
      <c r="C17" s="14" t="n">
        <v>7320.29311172376</v>
      </c>
      <c r="D17" s="14" t="n">
        <v>19024.8843100935</v>
      </c>
      <c r="E17" s="14" t="n">
        <v>3864.96134836955</v>
      </c>
      <c r="F17" s="14" t="n">
        <v>-1074.66751623611</v>
      </c>
      <c r="G17" s="14" t="n">
        <v>4646.81714013671</v>
      </c>
      <c r="H17" s="14" t="n">
        <v>31798.1884260569</v>
      </c>
      <c r="I17" s="15" t="n">
        <v>70.6024898159561</v>
      </c>
      <c r="J17" s="15" t="n">
        <v>79.7808134920304</v>
      </c>
      <c r="K17" s="14" t="s">
        <v>60</v>
      </c>
      <c r="L17" s="14" t="n">
        <v>-8054.44067566647</v>
      </c>
      <c r="M17" s="14" t="n">
        <v>27433.2058622345</v>
      </c>
      <c r="N17" s="14" t="n">
        <v>11759.9321594194</v>
      </c>
      <c r="O17" s="14" t="n">
        <v>-16951.9447612643</v>
      </c>
      <c r="P17" s="14" t="n">
        <v>968.519919991184</v>
      </c>
      <c r="Q17" s="14" t="n">
        <v>1602.02635498548</v>
      </c>
      <c r="R17" s="14" t="n">
        <v>16720.3421667323</v>
      </c>
      <c r="S17" s="14" t="n">
        <v>23663.8976862019</v>
      </c>
      <c r="T17" s="14" t="n">
        <v>-937.016004190439</v>
      </c>
      <c r="U17" s="14" t="n">
        <v>22474.6503581417</v>
      </c>
      <c r="V17" s="14" t="n">
        <v>0.82509878873241</v>
      </c>
      <c r="W17" s="14" t="n">
        <v>53259.1234046399</v>
      </c>
      <c r="X17" s="14" t="n">
        <v>21751.8294322891</v>
      </c>
      <c r="Y17" s="14" t="n">
        <v>75.0514761485726</v>
      </c>
      <c r="Z17" s="14" t="n">
        <v>101.872120747974</v>
      </c>
      <c r="AA17" s="14" t="n">
        <v>30.1575455502983</v>
      </c>
      <c r="AB17" s="14" t="n">
        <v>27.9575455502983</v>
      </c>
      <c r="AC17" s="14" t="n">
        <v>29.4075455502983</v>
      </c>
      <c r="AD17" s="14" t="n">
        <v>30.1575455502983</v>
      </c>
      <c r="AE17" s="14" t="n">
        <v>653.683373262198</v>
      </c>
      <c r="AF17" s="14" t="n">
        <v>0.03</v>
      </c>
      <c r="AG17" s="14" t="n">
        <v>0.699294850981936</v>
      </c>
      <c r="AH17" s="14" t="n">
        <v>8829.50567689751</v>
      </c>
      <c r="AI17" s="14" t="n">
        <v>19024.8843100935</v>
      </c>
      <c r="AJ17" s="14" t="n">
        <v>22.221</v>
      </c>
      <c r="AK17" s="14" t="n">
        <v>0</v>
      </c>
      <c r="AL17" s="14" t="n">
        <v>-28196.1435577038</v>
      </c>
      <c r="AM17" s="14" t="n">
        <v>684.5</v>
      </c>
      <c r="AN17" s="14" t="n">
        <v>34565.685</v>
      </c>
    </row>
    <row r="18" customFormat="false" ht="15" hidden="false" customHeight="false" outlineLevel="0" collapsed="false">
      <c r="A18" s="0" t="s">
        <v>2166</v>
      </c>
      <c r="B18" s="14" t="n">
        <v>2423.40833661368</v>
      </c>
      <c r="C18" s="14" t="n">
        <v>7320.29311172376</v>
      </c>
      <c r="D18" s="14" t="n">
        <v>19024.8843100935</v>
      </c>
      <c r="E18" s="14" t="n">
        <v>3864.96134836955</v>
      </c>
      <c r="F18" s="14" t="n">
        <v>-366.139349569446</v>
      </c>
      <c r="G18" s="14" t="n">
        <v>3938.28897347005</v>
      </c>
      <c r="H18" s="14" t="n">
        <v>45471.0870918921</v>
      </c>
      <c r="I18" s="15" t="n">
        <v>113.038484032142</v>
      </c>
      <c r="J18" s="15" t="n">
        <v>127.733486956321</v>
      </c>
      <c r="K18" s="14" t="s">
        <v>60</v>
      </c>
      <c r="L18" s="14" t="n">
        <v>-8054.44067566647</v>
      </c>
      <c r="M18" s="14" t="n">
        <v>27433.2058622345</v>
      </c>
      <c r="N18" s="14" t="n">
        <v>11759.9321594194</v>
      </c>
      <c r="O18" s="14" t="n">
        <v>-17131.959538761</v>
      </c>
      <c r="P18" s="14" t="n">
        <v>968.519919991184</v>
      </c>
      <c r="Q18" s="14" t="n">
        <v>3020.86035498548</v>
      </c>
      <c r="R18" s="14" t="n">
        <v>16720.3421667323</v>
      </c>
      <c r="S18" s="14" t="n">
        <v>23521.4976862019</v>
      </c>
      <c r="T18" s="14" t="n">
        <v>-761.257337523772</v>
      </c>
      <c r="U18" s="14" t="n">
        <v>36147.5490239769</v>
      </c>
      <c r="V18" s="14" t="n">
        <v>0.82509878873241</v>
      </c>
      <c r="W18" s="14" t="n">
        <v>65910.2985332824</v>
      </c>
      <c r="X18" s="14" t="n">
        <v>19445.8342562491</v>
      </c>
      <c r="Y18" s="14" t="n">
        <v>120.161556771215</v>
      </c>
      <c r="Z18" s="14" t="n">
        <v>163.102889494526</v>
      </c>
      <c r="AA18" s="14" t="n">
        <v>30.1575455502983</v>
      </c>
      <c r="AB18" s="14" t="n">
        <v>27.9575455502983</v>
      </c>
      <c r="AC18" s="14" t="n">
        <v>29.4075455502983</v>
      </c>
      <c r="AD18" s="14" t="n">
        <v>30.1575455502983</v>
      </c>
      <c r="AE18" s="14" t="n">
        <v>653.683373262198</v>
      </c>
      <c r="AF18" s="14" t="n">
        <v>0.03</v>
      </c>
      <c r="AG18" s="14" t="n">
        <v>0.699294850981936</v>
      </c>
      <c r="AH18" s="14" t="n">
        <v>8829.50567689751</v>
      </c>
      <c r="AI18" s="14" t="n">
        <v>19024.8843100935</v>
      </c>
      <c r="AJ18" s="14" t="n">
        <v>22.221</v>
      </c>
      <c r="AK18" s="14" t="n">
        <v>0</v>
      </c>
      <c r="AL18" s="14" t="n">
        <v>-28453.0268960655</v>
      </c>
      <c r="AM18" s="14" t="n">
        <v>684.5</v>
      </c>
      <c r="AN18" s="14" t="n">
        <v>34565.685</v>
      </c>
    </row>
    <row r="19" customFormat="false" ht="15" hidden="false" customHeight="false" outlineLevel="0" collapsed="false">
      <c r="A19" s="0" t="s">
        <v>236</v>
      </c>
      <c r="B19" s="14" t="n">
        <v>4867.32427317475</v>
      </c>
      <c r="C19" s="14" t="n">
        <v>21215.7702491402</v>
      </c>
      <c r="D19" s="14" t="n">
        <v>39819.5861029612</v>
      </c>
      <c r="E19" s="14" t="n">
        <v>12225.5233456395</v>
      </c>
      <c r="F19" s="14" t="n">
        <v>2386.25088571201</v>
      </c>
      <c r="G19" s="14" t="n">
        <v>8990.64164996192</v>
      </c>
      <c r="H19" s="14" t="n">
        <v>89346.1279735822</v>
      </c>
      <c r="I19" s="15" t="n">
        <v>211.557190769605</v>
      </c>
      <c r="J19" s="15" t="n">
        <v>239.059625569653</v>
      </c>
      <c r="K19" s="14" t="s">
        <v>172</v>
      </c>
      <c r="L19" s="14" t="n">
        <v>-23239.7836206304</v>
      </c>
      <c r="M19" s="14" t="n">
        <v>40885.7671200627</v>
      </c>
      <c r="N19" s="14" t="n">
        <v>25738.5353288755</v>
      </c>
      <c r="O19" s="14" t="n">
        <v>-33879.848508616</v>
      </c>
      <c r="P19" s="14" t="n">
        <v>2042.7393210116</v>
      </c>
      <c r="Q19" s="14" t="n">
        <v>7993.37541219355</v>
      </c>
      <c r="R19" s="14" t="n">
        <v>36815.500660727</v>
      </c>
      <c r="S19" s="14" t="n">
        <v>40906.7806861694</v>
      </c>
      <c r="T19" s="14" t="n">
        <v>38.9021732346695</v>
      </c>
      <c r="U19" s="14" t="n">
        <v>78035.6691835303</v>
      </c>
      <c r="V19" s="14" t="n">
        <v>0.82509878873241</v>
      </c>
      <c r="W19" s="14" t="n">
        <v>110583.282724874</v>
      </c>
      <c r="X19" s="14" t="n">
        <v>39976.5010452108</v>
      </c>
      <c r="Y19" s="14" t="n">
        <v>224.888378561342</v>
      </c>
      <c r="Z19" s="14" t="n">
        <v>305.25523588989</v>
      </c>
      <c r="AA19" s="14" t="n">
        <v>30.1575455502983</v>
      </c>
      <c r="AB19" s="14" t="n">
        <v>27.9575455502983</v>
      </c>
      <c r="AC19" s="14" t="n">
        <v>29.4075455502983</v>
      </c>
      <c r="AD19" s="14" t="n">
        <v>30.1575455502983</v>
      </c>
      <c r="AE19" s="14" t="n">
        <v>1198.26950612401</v>
      </c>
      <c r="AF19" s="14" t="n">
        <v>0.03</v>
      </c>
      <c r="AG19" s="14" t="n">
        <v>0.705973095721503</v>
      </c>
      <c r="AH19" s="14" t="n">
        <v>-3186.78573578686</v>
      </c>
      <c r="AI19" s="14" t="n">
        <v>39819.5861029612</v>
      </c>
      <c r="AJ19" s="14" t="n">
        <v>22.221</v>
      </c>
      <c r="AK19" s="14" t="n">
        <v>0</v>
      </c>
      <c r="AL19" s="14" t="n">
        <v>-38914.10301736</v>
      </c>
      <c r="AM19" s="14" t="n">
        <v>1575</v>
      </c>
      <c r="AN19" s="14" t="n">
        <v>65407.2879605236</v>
      </c>
    </row>
    <row r="20" customFormat="false" ht="15" hidden="false" customHeight="false" outlineLevel="0" collapsed="false">
      <c r="A20" s="0" t="s">
        <v>2167</v>
      </c>
      <c r="B20" s="14" t="n">
        <v>2412.53310913636</v>
      </c>
      <c r="C20" s="14" t="n">
        <v>6081.70915041154</v>
      </c>
      <c r="D20" s="14" t="n">
        <v>16250.7881178433</v>
      </c>
      <c r="E20" s="14" t="n">
        <v>3317.52625658434</v>
      </c>
      <c r="F20" s="14" t="n">
        <v>-874.065349306632</v>
      </c>
      <c r="G20" s="14" t="n">
        <v>3948.32323987451</v>
      </c>
      <c r="H20" s="14" t="n">
        <v>24436.8139516775</v>
      </c>
      <c r="I20" s="15" t="n">
        <v>51.6473624576802</v>
      </c>
      <c r="J20" s="15" t="n">
        <v>58.3615195771787</v>
      </c>
      <c r="K20" s="14" t="s">
        <v>50</v>
      </c>
      <c r="L20" s="14" t="n">
        <v>-5720.11504023176</v>
      </c>
      <c r="M20" s="14" t="n">
        <v>27787.9341830082</v>
      </c>
      <c r="N20" s="14" t="n">
        <v>10022.1694555478</v>
      </c>
      <c r="O20" s="14" t="n">
        <v>-16347.8070137792</v>
      </c>
      <c r="P20" s="14" t="n">
        <v>979.667383465823</v>
      </c>
      <c r="Q20" s="14" t="n">
        <v>708.312102010049</v>
      </c>
      <c r="R20" s="14" t="n">
        <v>12977.6246621827</v>
      </c>
      <c r="S20" s="14" t="n">
        <v>24523.4157623569</v>
      </c>
      <c r="T20" s="14" t="n">
        <v>-925.436998654403</v>
      </c>
      <c r="U20" s="14" t="n">
        <v>16440.7291610026</v>
      </c>
      <c r="V20" s="14" t="n">
        <v>0.82509878873241</v>
      </c>
      <c r="W20" s="14" t="n">
        <v>50192.8881330279</v>
      </c>
      <c r="X20" s="14" t="n">
        <v>21843.9901193019</v>
      </c>
      <c r="Y20" s="14" t="n">
        <v>54.9018993768298</v>
      </c>
      <c r="Z20" s="14" t="n">
        <v>74.5218243480994</v>
      </c>
      <c r="AA20" s="14" t="n">
        <v>30.1575455502983</v>
      </c>
      <c r="AB20" s="14" t="n">
        <v>27.9575455502983</v>
      </c>
      <c r="AC20" s="14" t="n">
        <v>29.4075455502983</v>
      </c>
      <c r="AD20" s="14" t="n">
        <v>30.1575455502983</v>
      </c>
      <c r="AE20" s="14" t="n">
        <v>657.15041095771</v>
      </c>
      <c r="AF20" s="14" t="n">
        <v>0.03</v>
      </c>
      <c r="AG20" s="14" t="n">
        <v>0.697742001008565</v>
      </c>
      <c r="AH20" s="14" t="n">
        <v>11223.2533194309</v>
      </c>
      <c r="AI20" s="14" t="n">
        <v>16250.7881178433</v>
      </c>
      <c r="AJ20" s="14" t="n">
        <v>22.221</v>
      </c>
      <c r="AK20" s="14" t="n">
        <v>0</v>
      </c>
      <c r="AL20" s="14" t="n">
        <v>-29504.4694407925</v>
      </c>
      <c r="AM20" s="14" t="n">
        <v>545.1</v>
      </c>
      <c r="AN20" s="14" t="n">
        <v>35078.505</v>
      </c>
    </row>
    <row r="21" customFormat="false" ht="15" hidden="false" customHeight="false" outlineLevel="0" collapsed="false">
      <c r="A21" s="0" t="s">
        <v>2168</v>
      </c>
      <c r="B21" s="14" t="n">
        <v>2423.40833661368</v>
      </c>
      <c r="C21" s="14" t="n">
        <v>7320.29311172376</v>
      </c>
      <c r="D21" s="14" t="n">
        <v>19024.8843100935</v>
      </c>
      <c r="E21" s="14" t="n">
        <v>3864.96134836955</v>
      </c>
      <c r="F21" s="14" t="n">
        <v>-1199.58611225924</v>
      </c>
      <c r="G21" s="14" t="n">
        <v>4771.73573615984</v>
      </c>
      <c r="H21" s="14" t="n">
        <v>30831.7481422079</v>
      </c>
      <c r="I21" s="15" t="n">
        <v>67.5664875106538</v>
      </c>
      <c r="J21" s="15" t="n">
        <v>76.3501308870388</v>
      </c>
      <c r="K21" s="14" t="s">
        <v>58</v>
      </c>
      <c r="L21" s="14" t="n">
        <v>-9733.19749313865</v>
      </c>
      <c r="M21" s="14" t="n">
        <v>29100</v>
      </c>
      <c r="N21" s="14" t="n">
        <v>11759.9321594194</v>
      </c>
      <c r="O21" s="14" t="n">
        <v>-18554.7285403586</v>
      </c>
      <c r="P21" s="14" t="n">
        <v>968.519919991184</v>
      </c>
      <c r="Q21" s="14" t="n">
        <v>1268.66752743238</v>
      </c>
      <c r="R21" s="14" t="n">
        <v>16720.3421667323</v>
      </c>
      <c r="S21" s="14" t="n">
        <v>23663.8976862019</v>
      </c>
      <c r="T21" s="14" t="n">
        <v>-937.016004190439</v>
      </c>
      <c r="U21" s="14" t="n">
        <v>21508.2100742927</v>
      </c>
      <c r="V21" s="14" t="n">
        <v>0.82509878873241</v>
      </c>
      <c r="W21" s="14" t="n">
        <v>53639.9019796714</v>
      </c>
      <c r="X21" s="14" t="n">
        <v>21731.9947887047</v>
      </c>
      <c r="Y21" s="14" t="n">
        <v>71.8241614292565</v>
      </c>
      <c r="Z21" s="14" t="n">
        <v>97.4914821296598</v>
      </c>
      <c r="AA21" s="14" t="n">
        <v>30.1575455502983</v>
      </c>
      <c r="AB21" s="14" t="n">
        <v>27.9575455502983</v>
      </c>
      <c r="AC21" s="14" t="n">
        <v>29.4075455502983</v>
      </c>
      <c r="AD21" s="14" t="n">
        <v>30.1575455502983</v>
      </c>
      <c r="AE21" s="14" t="n">
        <v>653.683373262198</v>
      </c>
      <c r="AF21" s="14" t="n">
        <v>0.03</v>
      </c>
      <c r="AG21" s="14" t="n">
        <v>0.699294850981936</v>
      </c>
      <c r="AH21" s="14" t="n">
        <v>8829.50567689751</v>
      </c>
      <c r="AI21" s="14" t="n">
        <v>19024.8843100935</v>
      </c>
      <c r="AJ21" s="14" t="n">
        <v>22.221</v>
      </c>
      <c r="AK21" s="14" t="n">
        <v>0</v>
      </c>
      <c r="AL21" s="14" t="n">
        <v>-29723.1691771411</v>
      </c>
      <c r="AM21" s="14" t="n">
        <v>684.5</v>
      </c>
      <c r="AN21" s="14" t="n">
        <v>34565.685</v>
      </c>
    </row>
    <row r="22" customFormat="false" ht="15" hidden="false" customHeight="false" outlineLevel="0" collapsed="false">
      <c r="A22" s="0" t="s">
        <v>204</v>
      </c>
      <c r="B22" s="14" t="n">
        <v>2423.40833661368</v>
      </c>
      <c r="C22" s="14" t="n">
        <v>7703.21282368353</v>
      </c>
      <c r="D22" s="14" t="n">
        <v>20612.9862806227</v>
      </c>
      <c r="E22" s="14" t="n">
        <v>4136.83434386099</v>
      </c>
      <c r="F22" s="14" t="n">
        <v>-818.431868924709</v>
      </c>
      <c r="G22" s="14" t="n">
        <v>4647.13769983836</v>
      </c>
      <c r="H22" s="14" t="n">
        <v>56009.9837706372</v>
      </c>
      <c r="I22" s="15" t="n">
        <v>145.262787846466</v>
      </c>
      <c r="J22" s="15" t="n">
        <v>164.146950266507</v>
      </c>
      <c r="K22" s="14" t="s">
        <v>60</v>
      </c>
      <c r="L22" s="14" t="n">
        <v>-7790.11149650596</v>
      </c>
      <c r="M22" s="14" t="n">
        <v>27440.8642564737</v>
      </c>
      <c r="N22" s="14" t="n">
        <v>12966.8896570216</v>
      </c>
      <c r="O22" s="14" t="n">
        <v>-15768.8821953319</v>
      </c>
      <c r="P22" s="14" t="n">
        <v>968.519919991184</v>
      </c>
      <c r="Q22" s="14" t="n">
        <v>2742.02900029076</v>
      </c>
      <c r="R22" s="14" t="n">
        <v>16720.3421667323</v>
      </c>
      <c r="S22" s="14" t="n">
        <v>23695.6597256125</v>
      </c>
      <c r="T22" s="14" t="n">
        <v>-937.016004190439</v>
      </c>
      <c r="U22" s="14" t="n">
        <v>49933.5544692311</v>
      </c>
      <c r="V22" s="14" t="n">
        <v>0.82509878873241</v>
      </c>
      <c r="W22" s="14" t="n">
        <v>72999.846748065</v>
      </c>
      <c r="X22" s="14" t="n">
        <v>22679.6962145878</v>
      </c>
      <c r="Y22" s="14" t="n">
        <v>154.416461597227</v>
      </c>
      <c r="Z22" s="14" t="n">
        <v>209.599240795302</v>
      </c>
      <c r="AA22" s="14" t="n">
        <v>30.1575455502983</v>
      </c>
      <c r="AB22" s="14" t="n">
        <v>27.9575455502983</v>
      </c>
      <c r="AC22" s="14" t="n">
        <v>29.4075455502983</v>
      </c>
      <c r="AD22" s="14" t="n">
        <v>30.1575455502983</v>
      </c>
      <c r="AE22" s="14" t="n">
        <v>653.683373262198</v>
      </c>
      <c r="AF22" s="14" t="n">
        <v>0.03</v>
      </c>
      <c r="AG22" s="14" t="n">
        <v>0.711589986615629</v>
      </c>
      <c r="AH22" s="14" t="n">
        <v>8829.50567689751</v>
      </c>
      <c r="AI22" s="14" t="n">
        <v>20612.9862806227</v>
      </c>
      <c r="AJ22" s="14" t="n">
        <v>23.709375</v>
      </c>
      <c r="AK22" s="14" t="n">
        <v>0</v>
      </c>
      <c r="AL22" s="14" t="n">
        <v>-25676.155090621</v>
      </c>
      <c r="AM22" s="14" t="n">
        <v>684.5</v>
      </c>
      <c r="AN22" s="14" t="n">
        <v>34565.685</v>
      </c>
    </row>
    <row r="23" customFormat="false" ht="15" hidden="false" customHeight="false" outlineLevel="0" collapsed="false">
      <c r="A23" s="0" t="s">
        <v>205</v>
      </c>
      <c r="B23" s="14" t="n">
        <v>2423.40833661368</v>
      </c>
      <c r="C23" s="14" t="n">
        <v>7320.29311172376</v>
      </c>
      <c r="D23" s="14" t="n">
        <v>19024.8843100935</v>
      </c>
      <c r="E23" s="14" t="n">
        <v>3864.96134836955</v>
      </c>
      <c r="F23" s="14" t="n">
        <v>-1074.66751623611</v>
      </c>
      <c r="G23" s="14" t="n">
        <v>4646.81714013671</v>
      </c>
      <c r="H23" s="14" t="n">
        <v>31798.1884260569</v>
      </c>
      <c r="I23" s="15" t="n">
        <v>70.6024898159561</v>
      </c>
      <c r="J23" s="15" t="n">
        <v>79.7808134920304</v>
      </c>
      <c r="K23" s="14" t="s">
        <v>60</v>
      </c>
      <c r="L23" s="14" t="n">
        <v>-8054.44067566647</v>
      </c>
      <c r="M23" s="14" t="n">
        <v>27433.2058622345</v>
      </c>
      <c r="N23" s="14" t="n">
        <v>11759.9321594194</v>
      </c>
      <c r="O23" s="14" t="n">
        <v>-16951.9447612643</v>
      </c>
      <c r="P23" s="14" t="n">
        <v>968.519919991184</v>
      </c>
      <c r="Q23" s="14" t="n">
        <v>1602.02635498548</v>
      </c>
      <c r="R23" s="14" t="n">
        <v>16720.3421667323</v>
      </c>
      <c r="S23" s="14" t="n">
        <v>23663.8976862019</v>
      </c>
      <c r="T23" s="14" t="n">
        <v>-937.016004190439</v>
      </c>
      <c r="U23" s="14" t="n">
        <v>22474.6503581417</v>
      </c>
      <c r="V23" s="14" t="n">
        <v>0.82509878873241</v>
      </c>
      <c r="W23" s="14" t="n">
        <v>53259.1234046399</v>
      </c>
      <c r="X23" s="14" t="n">
        <v>21751.8294322891</v>
      </c>
      <c r="Y23" s="14" t="n">
        <v>75.0514761485726</v>
      </c>
      <c r="Z23" s="14" t="n">
        <v>101.872120747974</v>
      </c>
      <c r="AA23" s="14" t="n">
        <v>30.1575455502983</v>
      </c>
      <c r="AB23" s="14" t="n">
        <v>27.9575455502983</v>
      </c>
      <c r="AC23" s="14" t="n">
        <v>29.4075455502983</v>
      </c>
      <c r="AD23" s="14" t="n">
        <v>30.1575455502983</v>
      </c>
      <c r="AE23" s="14" t="n">
        <v>653.683373262198</v>
      </c>
      <c r="AF23" s="14" t="n">
        <v>0.03</v>
      </c>
      <c r="AG23" s="14" t="n">
        <v>0.699294850981936</v>
      </c>
      <c r="AH23" s="14" t="n">
        <v>8829.50567689751</v>
      </c>
      <c r="AI23" s="14" t="n">
        <v>19024.8843100935</v>
      </c>
      <c r="AJ23" s="14" t="n">
        <v>22.221</v>
      </c>
      <c r="AK23" s="14" t="n">
        <v>0</v>
      </c>
      <c r="AL23" s="14" t="n">
        <v>-28196.1435577038</v>
      </c>
      <c r="AM23" s="14" t="n">
        <v>684.5</v>
      </c>
      <c r="AN23" s="14" t="n">
        <v>34565.685</v>
      </c>
    </row>
    <row r="24" customFormat="false" ht="15" hidden="false" customHeight="false" outlineLevel="0" collapsed="false">
      <c r="A24" s="0" t="s">
        <v>206</v>
      </c>
      <c r="B24" s="14" t="n">
        <v>2423.40833661368</v>
      </c>
      <c r="C24" s="14" t="n">
        <v>7101.48184774674</v>
      </c>
      <c r="D24" s="14" t="n">
        <v>18117.3974697911</v>
      </c>
      <c r="E24" s="14" t="n">
        <v>3709.60535094587</v>
      </c>
      <c r="F24" s="14" t="n">
        <v>-1221.08788612834</v>
      </c>
      <c r="G24" s="14" t="n">
        <v>4646.63396316435</v>
      </c>
      <c r="H24" s="14" t="n">
        <v>17945.9774206311</v>
      </c>
      <c r="I24" s="15" t="n">
        <v>26.789077821534</v>
      </c>
      <c r="J24" s="15" t="n">
        <v>30.2716579383335</v>
      </c>
      <c r="K24" s="14" t="s">
        <v>60</v>
      </c>
      <c r="L24" s="14" t="n">
        <v>-8205.48592090105</v>
      </c>
      <c r="M24" s="14" t="n">
        <v>27428.8296369549</v>
      </c>
      <c r="N24" s="14" t="n">
        <v>11070.2421607896</v>
      </c>
      <c r="O24" s="14" t="n">
        <v>-17628.9475043457</v>
      </c>
      <c r="P24" s="14" t="n">
        <v>968.519919991184</v>
      </c>
      <c r="Q24" s="14" t="n">
        <v>950.596271953892</v>
      </c>
      <c r="R24" s="14" t="n">
        <v>16720.3421667323</v>
      </c>
      <c r="S24" s="14" t="n">
        <v>23645.7479493958</v>
      </c>
      <c r="T24" s="14" t="n">
        <v>-937.016004190439</v>
      </c>
      <c r="U24" s="14" t="n">
        <v>8436.55689627068</v>
      </c>
      <c r="V24" s="14" t="n">
        <v>0.82509878873241</v>
      </c>
      <c r="W24" s="14" t="n">
        <v>41978.7100655397</v>
      </c>
      <c r="X24" s="14" t="n">
        <v>21221.6198424041</v>
      </c>
      <c r="Y24" s="14" t="n">
        <v>28.4771803431603</v>
      </c>
      <c r="Z24" s="14" t="n">
        <v>38.653880021458</v>
      </c>
      <c r="AA24" s="14" t="n">
        <v>30.1575455502983</v>
      </c>
      <c r="AB24" s="14" t="n">
        <v>27.9575455502983</v>
      </c>
      <c r="AC24" s="14" t="n">
        <v>29.4075455502983</v>
      </c>
      <c r="AD24" s="14" t="n">
        <v>30.1575455502983</v>
      </c>
      <c r="AE24" s="14" t="n">
        <v>653.683373262198</v>
      </c>
      <c r="AF24" s="14" t="n">
        <v>0.03</v>
      </c>
      <c r="AG24" s="14" t="n">
        <v>0.690783629749287</v>
      </c>
      <c r="AH24" s="14" t="n">
        <v>8829.50567689751</v>
      </c>
      <c r="AI24" s="14" t="n">
        <v>18117.3974697911</v>
      </c>
      <c r="AJ24" s="14" t="n">
        <v>21.3705</v>
      </c>
      <c r="AK24" s="14" t="n">
        <v>0</v>
      </c>
      <c r="AL24" s="14" t="n">
        <v>-29637.0971916775</v>
      </c>
      <c r="AM24" s="14" t="n">
        <v>684.5</v>
      </c>
      <c r="AN24" s="14" t="n">
        <v>34565.685</v>
      </c>
    </row>
    <row r="25" customFormat="false" ht="15" hidden="false" customHeight="false" outlineLevel="0" collapsed="false">
      <c r="A25" s="0" t="s">
        <v>2169</v>
      </c>
      <c r="B25" s="14" t="n">
        <v>2423.40833661368</v>
      </c>
      <c r="C25" s="14" t="n">
        <v>7320.29311172376</v>
      </c>
      <c r="D25" s="14" t="n">
        <v>19024.8843100935</v>
      </c>
      <c r="E25" s="14" t="n">
        <v>3864.96134836955</v>
      </c>
      <c r="F25" s="14" t="n">
        <v>-2364.92663872309</v>
      </c>
      <c r="G25" s="14" t="n">
        <v>5937.07626262369</v>
      </c>
      <c r="H25" s="14" t="n">
        <v>32282.1053726057</v>
      </c>
      <c r="I25" s="15" t="n">
        <v>72.1226799299751</v>
      </c>
      <c r="J25" s="15" t="n">
        <v>81.4986283208719</v>
      </c>
      <c r="K25" s="14" t="s">
        <v>60</v>
      </c>
      <c r="L25" s="14" t="n">
        <v>-8054.44067566647</v>
      </c>
      <c r="M25" s="14" t="n">
        <v>27433.2058622345</v>
      </c>
      <c r="N25" s="14" t="n">
        <v>11759.9321594194</v>
      </c>
      <c r="O25" s="14" t="n">
        <v>-16768.2723353818</v>
      </c>
      <c r="P25" s="14" t="n">
        <v>968.519919991184</v>
      </c>
      <c r="Q25" s="14" t="n">
        <v>513.652641300134</v>
      </c>
      <c r="R25" s="14" t="n">
        <v>16720.3421667323</v>
      </c>
      <c r="S25" s="14" t="n">
        <v>23663.8976862019</v>
      </c>
      <c r="T25" s="14" t="n">
        <v>-1116.26752721468</v>
      </c>
      <c r="U25" s="14" t="n">
        <v>22958.5673046905</v>
      </c>
      <c r="V25" s="14" t="n">
        <v>0.82509878873241</v>
      </c>
      <c r="W25" s="14" t="n">
        <v>53259.1234046399</v>
      </c>
      <c r="X25" s="14" t="n">
        <v>21751.8294322891</v>
      </c>
      <c r="Y25" s="14" t="n">
        <v>76.6674604060826</v>
      </c>
      <c r="Z25" s="14" t="n">
        <v>104.065598502921</v>
      </c>
      <c r="AA25" s="14" t="n">
        <v>30.1575455502983</v>
      </c>
      <c r="AB25" s="14" t="n">
        <v>27.9575455502983</v>
      </c>
      <c r="AC25" s="14" t="n">
        <v>29.4075455502983</v>
      </c>
      <c r="AD25" s="14" t="n">
        <v>30.1575455502983</v>
      </c>
      <c r="AE25" s="14" t="n">
        <v>653.683373262198</v>
      </c>
      <c r="AF25" s="14" t="n">
        <v>0.03</v>
      </c>
      <c r="AG25" s="14" t="n">
        <v>0.699294850981936</v>
      </c>
      <c r="AH25" s="14" t="n">
        <v>8829.50567689751</v>
      </c>
      <c r="AI25" s="14" t="n">
        <v>19024.8843100935</v>
      </c>
      <c r="AJ25" s="14" t="n">
        <v>22.221</v>
      </c>
      <c r="AK25" s="14" t="n">
        <v>0</v>
      </c>
      <c r="AL25" s="14" t="n">
        <v>-27821.6784416039</v>
      </c>
      <c r="AM25" s="14" t="n">
        <v>684.5</v>
      </c>
      <c r="AN25" s="14" t="n">
        <v>34565.685</v>
      </c>
    </row>
    <row r="26" customFormat="false" ht="15" hidden="false" customHeight="false" outlineLevel="0" collapsed="false">
      <c r="A26" s="0" t="s">
        <v>2170</v>
      </c>
      <c r="B26" s="14" t="n">
        <v>2423.40833661368</v>
      </c>
      <c r="C26" s="14" t="n">
        <v>7320.29311172376</v>
      </c>
      <c r="D26" s="14" t="n">
        <v>19024.8843100935</v>
      </c>
      <c r="E26" s="14" t="n">
        <v>3864.96134836955</v>
      </c>
      <c r="F26" s="14" t="n">
        <v>-1074.66751623611</v>
      </c>
      <c r="G26" s="14" t="n">
        <v>4646.81714013671</v>
      </c>
      <c r="H26" s="14" t="n">
        <v>31798.1884260569</v>
      </c>
      <c r="I26" s="15" t="n">
        <v>70.6024898159561</v>
      </c>
      <c r="J26" s="15" t="n">
        <v>79.7808134920304</v>
      </c>
      <c r="K26" s="14" t="s">
        <v>60</v>
      </c>
      <c r="L26" s="14" t="n">
        <v>-8054.44067566647</v>
      </c>
      <c r="M26" s="14" t="n">
        <v>27433.2058622345</v>
      </c>
      <c r="N26" s="14" t="n">
        <v>11759.9321594194</v>
      </c>
      <c r="O26" s="14" t="n">
        <v>-16951.9447612643</v>
      </c>
      <c r="P26" s="14" t="n">
        <v>968.519919991184</v>
      </c>
      <c r="Q26" s="14" t="n">
        <v>1602.02635498548</v>
      </c>
      <c r="R26" s="14" t="n">
        <v>16720.3421667323</v>
      </c>
      <c r="S26" s="14" t="n">
        <v>23663.8976862019</v>
      </c>
      <c r="T26" s="14" t="n">
        <v>-937.016004190439</v>
      </c>
      <c r="U26" s="14" t="n">
        <v>22474.6503581417</v>
      </c>
      <c r="V26" s="14" t="n">
        <v>0.82509878873241</v>
      </c>
      <c r="W26" s="14" t="n">
        <v>53259.1234046399</v>
      </c>
      <c r="X26" s="14" t="n">
        <v>21751.8294322891</v>
      </c>
      <c r="Y26" s="14" t="n">
        <v>75.0514761485726</v>
      </c>
      <c r="Z26" s="14" t="n">
        <v>101.872120747974</v>
      </c>
      <c r="AA26" s="14" t="n">
        <v>30.1575455502983</v>
      </c>
      <c r="AB26" s="14" t="n">
        <v>27.9575455502983</v>
      </c>
      <c r="AC26" s="14" t="n">
        <v>29.4075455502983</v>
      </c>
      <c r="AD26" s="14" t="n">
        <v>30.1575455502983</v>
      </c>
      <c r="AE26" s="14" t="n">
        <v>653.683373262198</v>
      </c>
      <c r="AF26" s="14" t="n">
        <v>0.03</v>
      </c>
      <c r="AG26" s="14" t="n">
        <v>0.699294850981936</v>
      </c>
      <c r="AH26" s="14" t="n">
        <v>8829.50567689751</v>
      </c>
      <c r="AI26" s="14" t="n">
        <v>19024.8843100935</v>
      </c>
      <c r="AJ26" s="14" t="n">
        <v>22.221</v>
      </c>
      <c r="AK26" s="14" t="n">
        <v>0</v>
      </c>
      <c r="AL26" s="14" t="n">
        <v>-28196.1435577038</v>
      </c>
      <c r="AM26" s="14" t="n">
        <v>684.5</v>
      </c>
      <c r="AN26" s="14" t="n">
        <v>34565.685</v>
      </c>
    </row>
    <row r="27" customFormat="false" ht="15" hidden="false" customHeight="false" outlineLevel="0" collapsed="false">
      <c r="A27" s="0" t="s">
        <v>2171</v>
      </c>
      <c r="B27" s="14" t="n">
        <v>2423.40833661368</v>
      </c>
      <c r="C27" s="14" t="n">
        <v>7320.29311172376</v>
      </c>
      <c r="D27" s="14" t="n">
        <v>19024.8843100935</v>
      </c>
      <c r="E27" s="14" t="n">
        <v>3864.96134836955</v>
      </c>
      <c r="F27" s="14" t="n">
        <v>-537.160928511416</v>
      </c>
      <c r="G27" s="14" t="n">
        <v>4109.31055241202</v>
      </c>
      <c r="H27" s="14" t="n">
        <v>51279.7286418693</v>
      </c>
      <c r="I27" s="15" t="n">
        <v>132.407303090436</v>
      </c>
      <c r="J27" s="15" t="n">
        <v>149.620252492193</v>
      </c>
      <c r="K27" s="14" t="s">
        <v>60</v>
      </c>
      <c r="L27" s="14" t="n">
        <v>-2663.21005135046</v>
      </c>
      <c r="M27" s="14" t="n">
        <v>21523.9278182601</v>
      </c>
      <c r="N27" s="14" t="n">
        <v>11759.9321594194</v>
      </c>
      <c r="O27" s="14" t="n">
        <v>-8483.23599531143</v>
      </c>
      <c r="P27" s="14" t="n">
        <v>968.519919991184</v>
      </c>
      <c r="Q27" s="14" t="n">
        <v>2916.66758436553</v>
      </c>
      <c r="R27" s="14" t="n">
        <v>14790.0540992732</v>
      </c>
      <c r="S27" s="14" t="n">
        <v>19494.5942554027</v>
      </c>
      <c r="T27" s="14" t="n">
        <v>-937.016004190439</v>
      </c>
      <c r="U27" s="14" t="n">
        <v>42443.7167541412</v>
      </c>
      <c r="V27" s="14" t="n">
        <v>0.82509878873241</v>
      </c>
      <c r="W27" s="14" t="n">
        <v>63428.4273012808</v>
      </c>
      <c r="X27" s="14" t="n">
        <v>19898.2177724326</v>
      </c>
      <c r="Y27" s="14" t="n">
        <v>140.750893852229</v>
      </c>
      <c r="Z27" s="14" t="n">
        <v>191.050100407281</v>
      </c>
      <c r="AA27" s="14" t="n">
        <v>30.1575455502983</v>
      </c>
      <c r="AB27" s="14" t="n">
        <v>27.9575455502983</v>
      </c>
      <c r="AC27" s="14" t="n">
        <v>29.4075455502983</v>
      </c>
      <c r="AD27" s="14" t="n">
        <v>30.1575455502983</v>
      </c>
      <c r="AE27" s="14" t="n">
        <v>653.683373262198</v>
      </c>
      <c r="AF27" s="14" t="n">
        <v>0.03</v>
      </c>
      <c r="AG27" s="14" t="n">
        <v>0.699294850981936</v>
      </c>
      <c r="AH27" s="14" t="n">
        <v>10046.3319687992</v>
      </c>
      <c r="AI27" s="14" t="n">
        <v>19024.8843100935</v>
      </c>
      <c r="AJ27" s="14" t="n">
        <v>22.221</v>
      </c>
      <c r="AK27" s="14" t="n">
        <v>0</v>
      </c>
      <c r="AL27" s="14" t="n">
        <v>-17245.8867170378</v>
      </c>
      <c r="AM27" s="14" t="n">
        <v>684.5</v>
      </c>
      <c r="AN27" s="14" t="n">
        <v>28664.0283987756</v>
      </c>
    </row>
    <row r="28" customFormat="false" ht="15" hidden="false" customHeight="false" outlineLevel="0" collapsed="false">
      <c r="A28" s="0" t="s">
        <v>2172</v>
      </c>
      <c r="B28" s="14" t="n">
        <v>2423.40833661368</v>
      </c>
      <c r="C28" s="14" t="n">
        <v>7320.29311172376</v>
      </c>
      <c r="D28" s="14" t="n">
        <v>19024.8843100935</v>
      </c>
      <c r="E28" s="14" t="n">
        <v>3864.96134836955</v>
      </c>
      <c r="F28" s="14" t="n">
        <v>-1074.66751623611</v>
      </c>
      <c r="G28" s="14" t="n">
        <v>4646.81714013671</v>
      </c>
      <c r="H28" s="14" t="n">
        <v>146630.773733875</v>
      </c>
      <c r="I28" s="15" t="n">
        <v>388.269217856788</v>
      </c>
      <c r="J28" s="15" t="n">
        <v>438.744216178171</v>
      </c>
      <c r="K28" s="14" t="s">
        <v>60</v>
      </c>
      <c r="L28" s="14" t="n">
        <v>-8054.44067566647</v>
      </c>
      <c r="M28" s="14" t="n">
        <v>27433.2058622345</v>
      </c>
      <c r="N28" s="14" t="n">
        <v>11759.9321594194</v>
      </c>
      <c r="O28" s="14" t="n">
        <v>-16951.9447612643</v>
      </c>
      <c r="P28" s="14" t="n">
        <v>968.519919991184</v>
      </c>
      <c r="Q28" s="14" t="n">
        <v>1602.02635498548</v>
      </c>
      <c r="R28" s="14" t="n">
        <v>16720.3421667323</v>
      </c>
      <c r="S28" s="14" t="n">
        <v>23663.8976862019</v>
      </c>
      <c r="T28" s="14" t="n">
        <v>-937.016004190439</v>
      </c>
      <c r="U28" s="14" t="n">
        <v>150741.413419556</v>
      </c>
      <c r="V28" s="14" t="n">
        <v>0.82509878873241</v>
      </c>
      <c r="W28" s="14" t="n">
        <v>168091.708712458</v>
      </c>
      <c r="X28" s="14" t="n">
        <v>21751.8294322891</v>
      </c>
      <c r="Y28" s="14" t="n">
        <v>412.735840041409</v>
      </c>
      <c r="Z28" s="14" t="n">
        <v>560.232489637906</v>
      </c>
      <c r="AA28" s="14" t="n">
        <v>30.1575455502983</v>
      </c>
      <c r="AB28" s="14" t="n">
        <v>27.9575455502983</v>
      </c>
      <c r="AC28" s="14" t="n">
        <v>29.4075455502983</v>
      </c>
      <c r="AD28" s="14" t="n">
        <v>30.1575455502983</v>
      </c>
      <c r="AE28" s="14" t="n">
        <v>653.683373262198</v>
      </c>
      <c r="AF28" s="14" t="n">
        <v>0.03</v>
      </c>
      <c r="AG28" s="14" t="n">
        <v>0.699294850981936</v>
      </c>
      <c r="AH28" s="14" t="n">
        <v>8829.50567689751</v>
      </c>
      <c r="AI28" s="14" t="n">
        <v>19024.8843100935</v>
      </c>
      <c r="AJ28" s="14" t="n">
        <v>22.221</v>
      </c>
      <c r="AK28" s="14" t="n">
        <v>0</v>
      </c>
      <c r="AL28" s="14" t="n">
        <v>-28196.1435577038</v>
      </c>
      <c r="AM28" s="14" t="n">
        <v>684.5</v>
      </c>
      <c r="AN28" s="14" t="n">
        <v>34565.685</v>
      </c>
    </row>
    <row r="29" customFormat="false" ht="15" hidden="false" customHeight="false" outlineLevel="0" collapsed="false">
      <c r="A29" s="0" t="s">
        <v>235</v>
      </c>
      <c r="B29" s="14" t="n">
        <v>2423.40833661368</v>
      </c>
      <c r="C29" s="14" t="n">
        <v>7320.29311172376</v>
      </c>
      <c r="D29" s="14" t="n">
        <v>19024.8843100935</v>
      </c>
      <c r="E29" s="14" t="n">
        <v>3864.96134836955</v>
      </c>
      <c r="F29" s="14" t="n">
        <v>-1074.66751623611</v>
      </c>
      <c r="G29" s="14" t="n">
        <v>4646.81714013671</v>
      </c>
      <c r="H29" s="14" t="n">
        <v>40285.6557125299</v>
      </c>
      <c r="I29" s="15" t="n">
        <v>97.0866087914474</v>
      </c>
      <c r="J29" s="15" t="n">
        <v>109.707867934336</v>
      </c>
      <c r="K29" s="14" t="s">
        <v>60</v>
      </c>
      <c r="L29" s="14" t="n">
        <v>-8054.44067566647</v>
      </c>
      <c r="M29" s="14" t="n">
        <v>27433.2058622345</v>
      </c>
      <c r="N29" s="14" t="n">
        <v>11759.9321594194</v>
      </c>
      <c r="O29" s="14" t="n">
        <v>-16951.9447612643</v>
      </c>
      <c r="P29" s="14" t="n">
        <v>968.519919991184</v>
      </c>
      <c r="Q29" s="14" t="n">
        <v>1602.02635498548</v>
      </c>
      <c r="R29" s="14" t="n">
        <v>16720.3421667323</v>
      </c>
      <c r="S29" s="14" t="n">
        <v>23663.8976862019</v>
      </c>
      <c r="T29" s="14" t="n">
        <v>-937.016004190439</v>
      </c>
      <c r="U29" s="14" t="n">
        <v>30962.1176446147</v>
      </c>
      <c r="V29" s="14" t="n">
        <v>0.82509878873241</v>
      </c>
      <c r="W29" s="14" t="n">
        <v>70316.0328893124</v>
      </c>
      <c r="X29" s="14" t="n">
        <v>25258.9731084012</v>
      </c>
      <c r="Y29" s="14" t="n">
        <v>103.204480791701</v>
      </c>
      <c r="Z29" s="14" t="n">
        <v>140.085976565353</v>
      </c>
      <c r="AA29" s="14" t="n">
        <v>30.1575455502983</v>
      </c>
      <c r="AB29" s="14" t="n">
        <v>27.9575455502983</v>
      </c>
      <c r="AC29" s="14" t="n">
        <v>29.4075455502983</v>
      </c>
      <c r="AD29" s="14" t="n">
        <v>30.1575455502983</v>
      </c>
      <c r="AE29" s="14" t="n">
        <v>653.683373262198</v>
      </c>
      <c r="AF29" s="14" t="n">
        <v>0.03</v>
      </c>
      <c r="AG29" s="14" t="n">
        <v>0.699294850981936</v>
      </c>
      <c r="AH29" s="14" t="n">
        <v>8829.50567689751</v>
      </c>
      <c r="AI29" s="14" t="n">
        <v>19024.8843100935</v>
      </c>
      <c r="AJ29" s="14" t="n">
        <v>22.221</v>
      </c>
      <c r="AK29" s="14" t="n">
        <v>0</v>
      </c>
      <c r="AL29" s="14" t="n">
        <v>-28715.8120947993</v>
      </c>
      <c r="AM29" s="14" t="n">
        <v>684.5</v>
      </c>
      <c r="AN29" s="14" t="n">
        <v>42180.985</v>
      </c>
    </row>
    <row r="30" customFormat="false" ht="15" hidden="false" customHeight="false" outlineLevel="0" collapsed="false">
      <c r="A30" s="0" t="s">
        <v>2173</v>
      </c>
      <c r="B30" s="14" t="n">
        <v>2423.40833661368</v>
      </c>
      <c r="C30" s="14" t="n">
        <v>7320.29311172376</v>
      </c>
      <c r="D30" s="14" t="n">
        <v>19024.8843100935</v>
      </c>
      <c r="E30" s="14" t="n">
        <v>3864.96134836955</v>
      </c>
      <c r="F30" s="14" t="n">
        <v>-1074.66751623611</v>
      </c>
      <c r="G30" s="14" t="n">
        <v>4646.81714013671</v>
      </c>
      <c r="H30" s="14" t="n">
        <v>20272.508499812</v>
      </c>
      <c r="I30" s="15" t="n">
        <v>34.1766439697506</v>
      </c>
      <c r="J30" s="15" t="n">
        <v>38.6196076858182</v>
      </c>
      <c r="K30" s="14" t="s">
        <v>60</v>
      </c>
      <c r="L30" s="14" t="n">
        <v>-8054.44067566647</v>
      </c>
      <c r="M30" s="14" t="n">
        <v>27433.2058622345</v>
      </c>
      <c r="N30" s="14" t="n">
        <v>11759.9321594194</v>
      </c>
      <c r="O30" s="14" t="n">
        <v>-16951.9447612643</v>
      </c>
      <c r="P30" s="14" t="n">
        <v>968.519919991184</v>
      </c>
      <c r="Q30" s="14" t="n">
        <v>1602.02635498548</v>
      </c>
      <c r="R30" s="14" t="n">
        <v>16720.3421667323</v>
      </c>
      <c r="S30" s="14" t="n">
        <v>23663.8976862019</v>
      </c>
      <c r="T30" s="14" t="n">
        <v>-937.016004190439</v>
      </c>
      <c r="U30" s="14" t="n">
        <v>10763.0879754515</v>
      </c>
      <c r="V30" s="14" t="n">
        <v>0.82509878873241</v>
      </c>
      <c r="W30" s="14" t="n">
        <v>43273.7166173932</v>
      </c>
      <c r="X30" s="14" t="n">
        <v>21337.3088361808</v>
      </c>
      <c r="Y30" s="14" t="n">
        <v>36.3302708788368</v>
      </c>
      <c r="Z30" s="14" t="n">
        <v>49.3133770540213</v>
      </c>
      <c r="AA30" s="14" t="n">
        <v>30.1575455502983</v>
      </c>
      <c r="AB30" s="14" t="n">
        <v>27.9575455502983</v>
      </c>
      <c r="AC30" s="14" t="n">
        <v>29.4075455502983</v>
      </c>
      <c r="AD30" s="14" t="n">
        <v>30.1575455502983</v>
      </c>
      <c r="AE30" s="14" t="n">
        <v>653.683373262198</v>
      </c>
      <c r="AF30" s="14" t="n">
        <v>0.03</v>
      </c>
      <c r="AG30" s="14" t="n">
        <v>0.649294850981936</v>
      </c>
      <c r="AH30" s="14" t="n">
        <v>8829.50567689751</v>
      </c>
      <c r="AI30" s="14" t="n">
        <v>19024.8843100935</v>
      </c>
      <c r="AJ30" s="14" t="n">
        <v>22.221</v>
      </c>
      <c r="AK30" s="14" t="n">
        <v>0</v>
      </c>
      <c r="AL30" s="14" t="n">
        <v>-28673.415271247</v>
      </c>
      <c r="AM30" s="14" t="n">
        <v>684.5</v>
      </c>
      <c r="AN30" s="14" t="n">
        <v>34565.685</v>
      </c>
    </row>
    <row r="31" customFormat="false" ht="15" hidden="false" customHeight="false" outlineLevel="0" collapsed="false">
      <c r="A31" s="0" t="s">
        <v>2174</v>
      </c>
      <c r="B31" s="14" t="n">
        <v>2423.40833661368</v>
      </c>
      <c r="C31" s="14" t="n">
        <v>7320.29311172376</v>
      </c>
      <c r="D31" s="14" t="n">
        <v>19024.8843100935</v>
      </c>
      <c r="E31" s="14" t="n">
        <v>3864.96134836955</v>
      </c>
      <c r="F31" s="14" t="n">
        <v>-1074.66751623611</v>
      </c>
      <c r="G31" s="14" t="n">
        <v>4646.81714013671</v>
      </c>
      <c r="H31" s="14" t="n">
        <v>54669.5958741868</v>
      </c>
      <c r="I31" s="15" t="n">
        <v>141.409547975022</v>
      </c>
      <c r="J31" s="15" t="n">
        <v>159.792789211774</v>
      </c>
      <c r="K31" s="14" t="s">
        <v>60</v>
      </c>
      <c r="L31" s="14" t="n">
        <v>-8054.44067566647</v>
      </c>
      <c r="M31" s="14" t="n">
        <v>27433.2058622345</v>
      </c>
      <c r="N31" s="14" t="n">
        <v>11759.9321594194</v>
      </c>
      <c r="O31" s="14" t="n">
        <v>-16872.7283977643</v>
      </c>
      <c r="P31" s="14" t="n">
        <v>968.519919991184</v>
      </c>
      <c r="Q31" s="14" t="n">
        <v>1602.02635498548</v>
      </c>
      <c r="R31" s="14" t="n">
        <v>16720.3421667323</v>
      </c>
      <c r="S31" s="14" t="n">
        <v>23584.6813227019</v>
      </c>
      <c r="T31" s="14" t="n">
        <v>-937.016004190439</v>
      </c>
      <c r="U31" s="14" t="n">
        <v>48593.1665727807</v>
      </c>
      <c r="V31" s="14" t="n">
        <v>0.82509878873241</v>
      </c>
      <c r="W31" s="14" t="n">
        <v>74895.120037855</v>
      </c>
      <c r="X31" s="14" t="n">
        <v>17808.1243331435</v>
      </c>
      <c r="Y31" s="14" t="n">
        <v>150.320411428738</v>
      </c>
      <c r="Z31" s="14" t="n">
        <v>204.039412544515</v>
      </c>
      <c r="AA31" s="14" t="n">
        <v>30.1575455502983</v>
      </c>
      <c r="AB31" s="14" t="n">
        <v>27.9575455502983</v>
      </c>
      <c r="AC31" s="14" t="n">
        <v>29.4075455502983</v>
      </c>
      <c r="AD31" s="14" t="n">
        <v>30.1575455502983</v>
      </c>
      <c r="AE31" s="14" t="n">
        <v>653.683373262198</v>
      </c>
      <c r="AF31" s="14" t="n">
        <v>0.03</v>
      </c>
      <c r="AG31" s="14" t="n">
        <v>0.699294850981936</v>
      </c>
      <c r="AH31" s="14" t="n">
        <v>8829.50567689751</v>
      </c>
      <c r="AI31" s="14" t="n">
        <v>19024.8843100935</v>
      </c>
      <c r="AJ31" s="14" t="n">
        <v>22.221</v>
      </c>
      <c r="AK31" s="14" t="n">
        <v>0</v>
      </c>
      <c r="AL31" s="14" t="n">
        <v>-27949.6364349457</v>
      </c>
      <c r="AM31" s="14" t="n">
        <v>684.5</v>
      </c>
      <c r="AN31" s="14" t="n">
        <v>34565.685</v>
      </c>
    </row>
    <row r="32" customFormat="false" ht="15" hidden="false" customHeight="false" outlineLevel="0" collapsed="false">
      <c r="A32" s="0" t="s">
        <v>2175</v>
      </c>
      <c r="B32" s="14" t="n">
        <v>2423.40833661368</v>
      </c>
      <c r="C32" s="14" t="n">
        <v>7320.29311172376</v>
      </c>
      <c r="D32" s="14" t="n">
        <v>19024.8843100935</v>
      </c>
      <c r="E32" s="14" t="n">
        <v>3864.96134836955</v>
      </c>
      <c r="F32" s="14" t="n">
        <v>-399.827516236112</v>
      </c>
      <c r="G32" s="14" t="n">
        <v>3971.97714013671</v>
      </c>
      <c r="H32" s="14" t="n">
        <v>36464.5742989572</v>
      </c>
      <c r="I32" s="15" t="n">
        <v>82.4982955784648</v>
      </c>
      <c r="J32" s="15" t="n">
        <v>93.2230740036652</v>
      </c>
      <c r="K32" s="14" t="s">
        <v>58</v>
      </c>
      <c r="L32" s="14" t="n">
        <v>-9321.24534346457</v>
      </c>
      <c r="M32" s="14" t="n">
        <v>27331.5058622345</v>
      </c>
      <c r="N32" s="14" t="n">
        <v>11759.9321594194</v>
      </c>
      <c r="O32" s="14" t="n">
        <v>-21836.2069384172</v>
      </c>
      <c r="P32" s="14" t="n">
        <v>968.519919991184</v>
      </c>
      <c r="Q32" s="14" t="n">
        <v>2276.86635498548</v>
      </c>
      <c r="R32" s="14" t="n">
        <v>18400.8421667323</v>
      </c>
      <c r="S32" s="14" t="n">
        <v>29378.8976862019</v>
      </c>
      <c r="T32" s="14" t="n">
        <v>-937.016004190439</v>
      </c>
      <c r="U32" s="14" t="n">
        <v>26261.401731042</v>
      </c>
      <c r="V32" s="14" t="n">
        <v>0.82509878873241</v>
      </c>
      <c r="W32" s="14" t="n">
        <v>56365.1244911393</v>
      </c>
      <c r="X32" s="14" t="n">
        <v>21185.6825368891</v>
      </c>
      <c r="Y32" s="14" t="n">
        <v>87.6968911301163</v>
      </c>
      <c r="Z32" s="14" t="n">
        <v>119.03654319528</v>
      </c>
      <c r="AA32" s="14" t="n">
        <v>30.1575455502983</v>
      </c>
      <c r="AB32" s="14" t="n">
        <v>27.9575455502983</v>
      </c>
      <c r="AC32" s="14" t="n">
        <v>29.4075455502983</v>
      </c>
      <c r="AD32" s="14" t="n">
        <v>30.1575455502983</v>
      </c>
      <c r="AE32" s="14" t="n">
        <v>653.683373262198</v>
      </c>
      <c r="AF32" s="14" t="n">
        <v>0.03</v>
      </c>
      <c r="AG32" s="14" t="n">
        <v>0.699294850981936</v>
      </c>
      <c r="AH32" s="14" t="n">
        <v>7742.41258335585</v>
      </c>
      <c r="AI32" s="14" t="n">
        <v>19024.8843100935</v>
      </c>
      <c r="AJ32" s="14" t="n">
        <v>22.221</v>
      </c>
      <c r="AK32" s="14" t="n">
        <v>0</v>
      </c>
      <c r="AL32" s="14" t="n">
        <v>-29620.0388662222</v>
      </c>
      <c r="AM32" s="14" t="n">
        <v>684.5</v>
      </c>
      <c r="AN32" s="14" t="n">
        <v>33266.618</v>
      </c>
    </row>
    <row r="33" customFormat="false" ht="15" hidden="false" customHeight="false" outlineLevel="0" collapsed="false">
      <c r="A33" s="0" t="s">
        <v>2176</v>
      </c>
      <c r="B33" s="14" t="n">
        <v>2423.40833661368</v>
      </c>
      <c r="C33" s="14" t="n">
        <v>7320.29311172376</v>
      </c>
      <c r="D33" s="14" t="n">
        <v>19024.8843100935</v>
      </c>
      <c r="E33" s="14" t="n">
        <v>3864.96134836955</v>
      </c>
      <c r="F33" s="14" t="n">
        <v>-1341.06751623611</v>
      </c>
      <c r="G33" s="14" t="n">
        <v>4913.21714013671</v>
      </c>
      <c r="H33" s="14" t="n">
        <v>30258.1835561406</v>
      </c>
      <c r="I33" s="15" t="n">
        <v>69.7101613955627</v>
      </c>
      <c r="J33" s="15" t="n">
        <v>78.7724823769859</v>
      </c>
      <c r="K33" s="14" t="s">
        <v>60</v>
      </c>
      <c r="L33" s="14" t="n">
        <v>-6415.38542511157</v>
      </c>
      <c r="M33" s="14" t="n">
        <v>29297.7058622345</v>
      </c>
      <c r="N33" s="14" t="n">
        <v>11759.9321594194</v>
      </c>
      <c r="O33" s="14" t="n">
        <v>-16837.8715380556</v>
      </c>
      <c r="P33" s="14" t="n">
        <v>968.519919991184</v>
      </c>
      <c r="Q33" s="14" t="n">
        <v>1335.62635498548</v>
      </c>
      <c r="R33" s="14" t="n">
        <v>13247.8421667323</v>
      </c>
      <c r="S33" s="14" t="n">
        <v>26603.8976862019</v>
      </c>
      <c r="T33" s="14" t="n">
        <v>-1003.61600419044</v>
      </c>
      <c r="U33" s="14" t="n">
        <v>22190.5984882253</v>
      </c>
      <c r="V33" s="14" t="n">
        <v>0.82509878873241</v>
      </c>
      <c r="W33" s="14" t="n">
        <v>52032.9976719574</v>
      </c>
      <c r="X33" s="14" t="n">
        <v>21975.3217162891</v>
      </c>
      <c r="Y33" s="14" t="n">
        <v>74.1029180264097</v>
      </c>
      <c r="Z33" s="14" t="n">
        <v>100.584582747173</v>
      </c>
      <c r="AA33" s="14" t="n">
        <v>30.1575455502983</v>
      </c>
      <c r="AB33" s="14" t="n">
        <v>27.9575455502983</v>
      </c>
      <c r="AC33" s="14" t="n">
        <v>29.4075455502983</v>
      </c>
      <c r="AD33" s="14" t="n">
        <v>30.1575455502983</v>
      </c>
      <c r="AE33" s="14" t="n">
        <v>653.683373262198</v>
      </c>
      <c r="AF33" s="14" t="n">
        <v>0.03</v>
      </c>
      <c r="AG33" s="14" t="n">
        <v>0.699294850981936</v>
      </c>
      <c r="AH33" s="14" t="n">
        <v>11041.6033489808</v>
      </c>
      <c r="AI33" s="14" t="n">
        <v>19024.8843100935</v>
      </c>
      <c r="AJ33" s="14" t="n">
        <v>22.221</v>
      </c>
      <c r="AK33" s="14" t="n">
        <v>0</v>
      </c>
      <c r="AL33" s="14" t="n">
        <v>-24862.0647690595</v>
      </c>
      <c r="AM33" s="14" t="n">
        <v>684.5</v>
      </c>
      <c r="AN33" s="14" t="n">
        <v>35078.505</v>
      </c>
    </row>
    <row r="34" customFormat="false" ht="15" hidden="false" customHeight="false" outlineLevel="0" collapsed="false">
      <c r="A34" s="0" t="s">
        <v>2177</v>
      </c>
      <c r="B34" s="14" t="n">
        <v>2423.40833661368</v>
      </c>
      <c r="C34" s="14" t="n">
        <v>7320.29311172376</v>
      </c>
      <c r="D34" s="14" t="n">
        <v>19024.8843100935</v>
      </c>
      <c r="E34" s="14" t="n">
        <v>3864.96134836955</v>
      </c>
      <c r="F34" s="14" t="n">
        <v>-1074.66751623611</v>
      </c>
      <c r="G34" s="14" t="n">
        <v>4646.81714013671</v>
      </c>
      <c r="H34" s="14" t="n">
        <v>31798.1884260569</v>
      </c>
      <c r="I34" s="15" t="n">
        <v>70.6024898159561</v>
      </c>
      <c r="J34" s="15" t="n">
        <v>79.7808134920304</v>
      </c>
      <c r="K34" s="14" t="s">
        <v>60</v>
      </c>
      <c r="L34" s="14" t="n">
        <v>-8054.44067566647</v>
      </c>
      <c r="M34" s="14" t="n">
        <v>27433.2058622345</v>
      </c>
      <c r="N34" s="14" t="n">
        <v>11759.9321594194</v>
      </c>
      <c r="O34" s="14" t="n">
        <v>-16951.9447612643</v>
      </c>
      <c r="P34" s="14" t="n">
        <v>968.519919991184</v>
      </c>
      <c r="Q34" s="14" t="n">
        <v>1602.02635498548</v>
      </c>
      <c r="R34" s="14" t="n">
        <v>16720.3421667323</v>
      </c>
      <c r="S34" s="14" t="n">
        <v>23663.8976862019</v>
      </c>
      <c r="T34" s="14" t="n">
        <v>-937.016004190439</v>
      </c>
      <c r="U34" s="14" t="n">
        <v>22474.6503581417</v>
      </c>
      <c r="V34" s="14" t="n">
        <v>0.82509878873241</v>
      </c>
      <c r="W34" s="14" t="n">
        <v>53259.1234046399</v>
      </c>
      <c r="X34" s="14" t="n">
        <v>21751.8294322891</v>
      </c>
      <c r="Y34" s="14" t="n">
        <v>75.0514761485726</v>
      </c>
      <c r="Z34" s="14" t="n">
        <v>101.872120747974</v>
      </c>
      <c r="AA34" s="14" t="n">
        <v>30.1575455502983</v>
      </c>
      <c r="AB34" s="14" t="n">
        <v>27.9575455502983</v>
      </c>
      <c r="AC34" s="14" t="n">
        <v>29.4075455502983</v>
      </c>
      <c r="AD34" s="14" t="n">
        <v>19.3008291521909</v>
      </c>
      <c r="AE34" s="14" t="n">
        <v>653.683373262198</v>
      </c>
      <c r="AF34" s="14" t="n">
        <v>0.03</v>
      </c>
      <c r="AG34" s="14" t="n">
        <v>0.699294850981936</v>
      </c>
      <c r="AH34" s="14" t="n">
        <v>8829.50567689751</v>
      </c>
      <c r="AI34" s="14" t="n">
        <v>19024.8843100935</v>
      </c>
      <c r="AJ34" s="14" t="n">
        <v>22.221</v>
      </c>
      <c r="AK34" s="14" t="n">
        <v>0</v>
      </c>
      <c r="AL34" s="14" t="n">
        <v>-28196.1435577038</v>
      </c>
      <c r="AM34" s="14" t="n">
        <v>684.5</v>
      </c>
      <c r="AN34" s="14" t="n">
        <v>34565.685</v>
      </c>
    </row>
    <row r="35" customFormat="false" ht="15" hidden="false" customHeight="false" outlineLevel="0" collapsed="false">
      <c r="A35" s="0" t="s">
        <v>2178</v>
      </c>
      <c r="B35" s="14" t="n">
        <v>2423.40833661368</v>
      </c>
      <c r="C35" s="14" t="n">
        <v>7320.29311172376</v>
      </c>
      <c r="D35" s="14" t="n">
        <v>19024.8843100935</v>
      </c>
      <c r="E35" s="14" t="n">
        <v>3864.96134836955</v>
      </c>
      <c r="F35" s="14" t="n">
        <v>-1074.66751623611</v>
      </c>
      <c r="G35" s="14" t="n">
        <v>4646.81714013671</v>
      </c>
      <c r="H35" s="14" t="n">
        <v>31798.1884260569</v>
      </c>
      <c r="I35" s="15" t="n">
        <v>70.6024898159561</v>
      </c>
      <c r="J35" s="15" t="n">
        <v>79.7808134920304</v>
      </c>
      <c r="K35" s="14" t="s">
        <v>60</v>
      </c>
      <c r="L35" s="14" t="n">
        <v>-8054.44067566647</v>
      </c>
      <c r="M35" s="14" t="n">
        <v>27433.2058622345</v>
      </c>
      <c r="N35" s="14" t="n">
        <v>11759.9321594194</v>
      </c>
      <c r="O35" s="14" t="n">
        <v>-16951.9447612643</v>
      </c>
      <c r="P35" s="14" t="n">
        <v>968.519919991184</v>
      </c>
      <c r="Q35" s="14" t="n">
        <v>1602.02635498548</v>
      </c>
      <c r="R35" s="14" t="n">
        <v>16720.3421667323</v>
      </c>
      <c r="S35" s="14" t="n">
        <v>23663.8976862019</v>
      </c>
      <c r="T35" s="14" t="n">
        <v>-937.016004190439</v>
      </c>
      <c r="U35" s="14" t="n">
        <v>22474.6503581417</v>
      </c>
      <c r="V35" s="14" t="n">
        <v>0.82509878873241</v>
      </c>
      <c r="W35" s="14" t="n">
        <v>53259.1234046399</v>
      </c>
      <c r="X35" s="14" t="n">
        <v>21751.8294322891</v>
      </c>
      <c r="Y35" s="14" t="n">
        <v>75.0514761485726</v>
      </c>
      <c r="Z35" s="14" t="n">
        <v>101.872120747974</v>
      </c>
      <c r="AA35" s="14" t="n">
        <v>30.1575455502983</v>
      </c>
      <c r="AB35" s="14" t="n">
        <v>27.9575455502983</v>
      </c>
      <c r="AC35" s="14" t="n">
        <v>29.4075455502983</v>
      </c>
      <c r="AD35" s="14" t="n">
        <v>24.1260364402386</v>
      </c>
      <c r="AE35" s="14" t="n">
        <v>653.683373262198</v>
      </c>
      <c r="AF35" s="14" t="n">
        <v>0.03</v>
      </c>
      <c r="AG35" s="14" t="n">
        <v>0.699294850981936</v>
      </c>
      <c r="AH35" s="14" t="n">
        <v>8829.50567689751</v>
      </c>
      <c r="AI35" s="14" t="n">
        <v>19024.8843100935</v>
      </c>
      <c r="AJ35" s="14" t="n">
        <v>22.221</v>
      </c>
      <c r="AK35" s="14" t="n">
        <v>0</v>
      </c>
      <c r="AL35" s="14" t="n">
        <v>-28196.1435577038</v>
      </c>
      <c r="AM35" s="14" t="n">
        <v>684.5</v>
      </c>
      <c r="AN35" s="14" t="n">
        <v>34565.685</v>
      </c>
    </row>
    <row r="36" customFormat="false" ht="15" hidden="false" customHeight="false" outlineLevel="0" collapsed="false">
      <c r="A36" s="0" t="s">
        <v>2179</v>
      </c>
      <c r="B36" s="14" t="n">
        <v>2423.40833661368</v>
      </c>
      <c r="C36" s="14" t="n">
        <v>7320.29311172376</v>
      </c>
      <c r="D36" s="14" t="n">
        <v>19024.8843100935</v>
      </c>
      <c r="E36" s="14" t="n">
        <v>3864.96134836955</v>
      </c>
      <c r="F36" s="14" t="n">
        <v>-1074.66751623611</v>
      </c>
      <c r="G36" s="14" t="n">
        <v>4646.81714013671</v>
      </c>
      <c r="H36" s="14" t="n">
        <v>31798.1884260569</v>
      </c>
      <c r="I36" s="15" t="n">
        <v>70.6024898159561</v>
      </c>
      <c r="J36" s="15" t="n">
        <v>79.7808134920304</v>
      </c>
      <c r="K36" s="14" t="s">
        <v>60</v>
      </c>
      <c r="L36" s="14" t="n">
        <v>-8054.44067566647</v>
      </c>
      <c r="M36" s="14" t="n">
        <v>27433.2058622345</v>
      </c>
      <c r="N36" s="14" t="n">
        <v>11759.9321594194</v>
      </c>
      <c r="O36" s="14" t="n">
        <v>-16951.9447612643</v>
      </c>
      <c r="P36" s="14" t="n">
        <v>968.519919991184</v>
      </c>
      <c r="Q36" s="14" t="n">
        <v>1602.02635498548</v>
      </c>
      <c r="R36" s="14" t="n">
        <v>16720.3421667323</v>
      </c>
      <c r="S36" s="14" t="n">
        <v>23663.8976862019</v>
      </c>
      <c r="T36" s="14" t="n">
        <v>-937.016004190439</v>
      </c>
      <c r="U36" s="14" t="n">
        <v>22474.6503581417</v>
      </c>
      <c r="V36" s="14" t="n">
        <v>0.82509878873241</v>
      </c>
      <c r="W36" s="14" t="n">
        <v>53259.1234046399</v>
      </c>
      <c r="X36" s="14" t="n">
        <v>21751.8294322891</v>
      </c>
      <c r="Y36" s="14" t="n">
        <v>75.0514761485726</v>
      </c>
      <c r="Z36" s="14" t="n">
        <v>101.872120747974</v>
      </c>
      <c r="AA36" s="14" t="n">
        <v>30.1575455502983</v>
      </c>
      <c r="AB36" s="14" t="n">
        <v>27.9575455502983</v>
      </c>
      <c r="AC36" s="14" t="n">
        <v>29.4075455502983</v>
      </c>
      <c r="AD36" s="14" t="n">
        <v>29.6147097303929</v>
      </c>
      <c r="AE36" s="14" t="n">
        <v>653.683373262198</v>
      </c>
      <c r="AF36" s="14" t="n">
        <v>0.03</v>
      </c>
      <c r="AG36" s="14" t="n">
        <v>0.699294850981936</v>
      </c>
      <c r="AH36" s="14" t="n">
        <v>8829.50567689751</v>
      </c>
      <c r="AI36" s="14" t="n">
        <v>19024.8843100935</v>
      </c>
      <c r="AJ36" s="14" t="n">
        <v>22.221</v>
      </c>
      <c r="AK36" s="14" t="n">
        <v>0</v>
      </c>
      <c r="AL36" s="14" t="n">
        <v>-28196.1435577038</v>
      </c>
      <c r="AM36" s="14" t="n">
        <v>684.5</v>
      </c>
      <c r="AN36" s="14" t="n">
        <v>34565.685</v>
      </c>
    </row>
    <row r="37" customFormat="false" ht="15" hidden="false" customHeight="false" outlineLevel="0" collapsed="false">
      <c r="A37" s="0" t="s">
        <v>2180</v>
      </c>
      <c r="B37" s="14" t="n">
        <v>2423.40833661368</v>
      </c>
      <c r="C37" s="14" t="n">
        <v>7320.29311172376</v>
      </c>
      <c r="D37" s="14" t="n">
        <v>19024.8843100935</v>
      </c>
      <c r="E37" s="14" t="n">
        <v>3864.96134836955</v>
      </c>
      <c r="F37" s="14" t="n">
        <v>-1074.66751623611</v>
      </c>
      <c r="G37" s="14" t="n">
        <v>4646.81714013671</v>
      </c>
      <c r="H37" s="14" t="n">
        <v>14936.6492378162</v>
      </c>
      <c r="I37" s="15" t="n">
        <v>17.2333872867378</v>
      </c>
      <c r="J37" s="15" t="n">
        <v>19.4737276340137</v>
      </c>
      <c r="K37" s="14" t="s">
        <v>60</v>
      </c>
      <c r="L37" s="14" t="n">
        <v>-8054.44067566647</v>
      </c>
      <c r="M37" s="14" t="n">
        <v>27433.2058622345</v>
      </c>
      <c r="N37" s="14" t="n">
        <v>11712.1140791756</v>
      </c>
      <c r="O37" s="14" t="n">
        <v>-16987.4257768052</v>
      </c>
      <c r="P37" s="14" t="n">
        <v>968.519919991184</v>
      </c>
      <c r="Q37" s="14" t="n">
        <v>1554.20827474165</v>
      </c>
      <c r="R37" s="14" t="n">
        <v>16720.3421667323</v>
      </c>
      <c r="S37" s="14" t="n">
        <v>23663.8976862019</v>
      </c>
      <c r="T37" s="14" t="n">
        <v>-937.016004190439</v>
      </c>
      <c r="U37" s="14" t="n">
        <v>5427.22871345578</v>
      </c>
      <c r="V37" s="14" t="n">
        <v>0.82509878873241</v>
      </c>
      <c r="W37" s="14" t="n">
        <v>38901.9740414688</v>
      </c>
      <c r="X37" s="14" t="n">
        <v>21056.1205770091</v>
      </c>
      <c r="Y37" s="14" t="n">
        <v>18.319341970535</v>
      </c>
      <c r="Z37" s="14" t="n">
        <v>24.8660028158721</v>
      </c>
      <c r="AA37" s="14" t="n">
        <v>30.1575455502983</v>
      </c>
      <c r="AB37" s="14" t="n">
        <v>27.9575455502983</v>
      </c>
      <c r="AC37" s="14" t="n">
        <v>29.4075455502983</v>
      </c>
      <c r="AD37" s="14" t="n">
        <v>30.1575455502983</v>
      </c>
      <c r="AE37" s="14" t="n">
        <v>653.683373262198</v>
      </c>
      <c r="AF37" s="14" t="n">
        <v>0.03</v>
      </c>
      <c r="AG37" s="14" t="n">
        <v>0.62</v>
      </c>
      <c r="AH37" s="14" t="n">
        <v>8829.50567689751</v>
      </c>
      <c r="AI37" s="14" t="n">
        <v>19024.8843100935</v>
      </c>
      <c r="AJ37" s="14" t="n">
        <v>22.221</v>
      </c>
      <c r="AK37" s="14" t="n">
        <v>0</v>
      </c>
      <c r="AL37" s="14" t="n">
        <v>-28973.2548677406</v>
      </c>
      <c r="AM37" s="14" t="n">
        <v>684.5</v>
      </c>
      <c r="AN37" s="14" t="n">
        <v>34565.685</v>
      </c>
    </row>
    <row r="38" customFormat="false" ht="15" hidden="false" customHeight="false" outlineLevel="0" collapsed="false">
      <c r="A38" s="0" t="s">
        <v>2181</v>
      </c>
      <c r="B38" s="14" t="n">
        <v>2423.40833661368</v>
      </c>
      <c r="C38" s="14" t="n">
        <v>7320.29311172376</v>
      </c>
      <c r="D38" s="14" t="n">
        <v>19024.8843100935</v>
      </c>
      <c r="E38" s="14" t="n">
        <v>3864.96134836955</v>
      </c>
      <c r="F38" s="14" t="n">
        <v>-1074.66751623611</v>
      </c>
      <c r="G38" s="14" t="n">
        <v>4646.81714013671</v>
      </c>
      <c r="H38" s="14" t="n">
        <v>28680.0461614134</v>
      </c>
      <c r="I38" s="15" t="n">
        <v>60.807071245431</v>
      </c>
      <c r="J38" s="15" t="n">
        <v>68.7119905073371</v>
      </c>
      <c r="K38" s="14" t="s">
        <v>60</v>
      </c>
      <c r="L38" s="14" t="n">
        <v>-8054.44067566647</v>
      </c>
      <c r="M38" s="14" t="n">
        <v>27433.2058622345</v>
      </c>
      <c r="N38" s="14" t="n">
        <v>11759.9321594194</v>
      </c>
      <c r="O38" s="14" t="n">
        <v>-16951.9447612643</v>
      </c>
      <c r="P38" s="14" t="n">
        <v>968.519919991184</v>
      </c>
      <c r="Q38" s="14" t="n">
        <v>1602.02635498548</v>
      </c>
      <c r="R38" s="14" t="n">
        <v>16720.3421667323</v>
      </c>
      <c r="S38" s="14" t="n">
        <v>23663.8976862019</v>
      </c>
      <c r="T38" s="14" t="n">
        <v>-937.016004190439</v>
      </c>
      <c r="U38" s="14" t="n">
        <v>19356.5080934981</v>
      </c>
      <c r="V38" s="14" t="n">
        <v>0.82509878873241</v>
      </c>
      <c r="W38" s="14" t="n">
        <v>50140.9811399963</v>
      </c>
      <c r="X38" s="14" t="n">
        <v>18971.7501180253</v>
      </c>
      <c r="Y38" s="14" t="n">
        <v>64.6388033784276</v>
      </c>
      <c r="Z38" s="14" t="n">
        <v>87.7383406788187</v>
      </c>
      <c r="AA38" s="14" t="n">
        <v>30.1575455502983</v>
      </c>
      <c r="AB38" s="14" t="n">
        <v>27.9575455502983</v>
      </c>
      <c r="AC38" s="14" t="n">
        <v>29.4075455502983</v>
      </c>
      <c r="AD38" s="14" t="n">
        <v>30.1575455502983</v>
      </c>
      <c r="AE38" s="14" t="n">
        <v>653.683373262198</v>
      </c>
      <c r="AF38" s="14" t="n">
        <v>0</v>
      </c>
      <c r="AG38" s="14" t="n">
        <v>0.699294850981936</v>
      </c>
      <c r="AH38" s="14" t="n">
        <v>8829.50567689751</v>
      </c>
      <c r="AI38" s="14" t="n">
        <v>19024.8843100935</v>
      </c>
      <c r="AJ38" s="14" t="n">
        <v>22.221</v>
      </c>
      <c r="AK38" s="14" t="n">
        <v>0</v>
      </c>
      <c r="AL38" s="14" t="n">
        <v>-28196.1435577038</v>
      </c>
      <c r="AM38" s="14" t="n">
        <v>684.5</v>
      </c>
      <c r="AN38" s="14" t="n">
        <v>34565.685</v>
      </c>
    </row>
    <row r="39" customFormat="false" ht="15" hidden="false" customHeight="false" outlineLevel="0" collapsed="false">
      <c r="A39" s="0" t="s">
        <v>2182</v>
      </c>
      <c r="B39" s="14" t="n">
        <v>2420.36306929152</v>
      </c>
      <c r="C39" s="14" t="n">
        <v>7333.69902478231</v>
      </c>
      <c r="D39" s="14" t="n">
        <v>19079.7092421273</v>
      </c>
      <c r="E39" s="14" t="n">
        <v>3824.54851074985</v>
      </c>
      <c r="F39" s="14" t="n">
        <v>-1246.88857334697</v>
      </c>
      <c r="G39" s="14" t="n">
        <v>4778.08912310553</v>
      </c>
      <c r="H39" s="14" t="n">
        <v>31284.2232199925</v>
      </c>
      <c r="I39" s="15" t="n">
        <v>67.6827895317088</v>
      </c>
      <c r="J39" s="15" t="n">
        <v>76.4815521708309</v>
      </c>
      <c r="K39" s="14" t="s">
        <v>60</v>
      </c>
      <c r="L39" s="14" t="n">
        <v>-8625.73261088149</v>
      </c>
      <c r="M39" s="14" t="n">
        <v>27433.4739804956</v>
      </c>
      <c r="N39" s="14" t="n">
        <v>11759.4619857637</v>
      </c>
      <c r="O39" s="14" t="n">
        <v>-17543.4695058862</v>
      </c>
      <c r="P39" s="14" t="n">
        <v>942.54231994302</v>
      </c>
      <c r="Q39" s="14" t="n">
        <v>1467.9782211632</v>
      </c>
      <c r="R39" s="14" t="n">
        <v>17376.6290874728</v>
      </c>
      <c r="S39" s="14" t="n">
        <v>23664.9941848425</v>
      </c>
      <c r="T39" s="14" t="n">
        <v>-962.871456068956</v>
      </c>
      <c r="U39" s="14" t="n">
        <v>21545.2321009375</v>
      </c>
      <c r="V39" s="14" t="n">
        <v>0.664133315320218</v>
      </c>
      <c r="W39" s="14" t="n">
        <v>52856.0692125593</v>
      </c>
      <c r="X39" s="14" t="n">
        <v>21872.2127819301</v>
      </c>
      <c r="Y39" s="14" t="n">
        <v>71.9477921734695</v>
      </c>
      <c r="Z39" s="14" t="n">
        <v>97.659293966934</v>
      </c>
      <c r="AA39" s="14" t="n">
        <v>24.2742214408166</v>
      </c>
      <c r="AB39" s="14" t="n">
        <v>22.0742214408166</v>
      </c>
      <c r="AC39" s="14" t="n">
        <v>23.5242214408166</v>
      </c>
      <c r="AD39" s="14" t="n">
        <v>24.2742214408166</v>
      </c>
      <c r="AE39" s="14" t="n">
        <v>653.345896501052</v>
      </c>
      <c r="AF39" s="14" t="n">
        <v>0.03</v>
      </c>
      <c r="AG39" s="14" t="n">
        <v>0.698739747357483</v>
      </c>
      <c r="AH39" s="14" t="n">
        <v>8375.24202886788</v>
      </c>
      <c r="AI39" s="14" t="n">
        <v>19079.7092421273</v>
      </c>
      <c r="AJ39" s="14" t="n">
        <v>22.221</v>
      </c>
      <c r="AK39" s="14" t="n">
        <v>0</v>
      </c>
      <c r="AL39" s="14" t="n">
        <v>-28773.005028712</v>
      </c>
      <c r="AM39" s="14" t="n">
        <v>701.5</v>
      </c>
      <c r="AN39" s="14" t="n">
        <v>34818.3789130435</v>
      </c>
    </row>
    <row r="40" customFormat="false" ht="15" hidden="false" customHeight="false" outlineLevel="0" collapsed="false">
      <c r="A40" s="0" t="s">
        <v>2183</v>
      </c>
      <c r="B40" s="14" t="n">
        <v>2320.7893140299</v>
      </c>
      <c r="C40" s="14" t="n">
        <v>7046.73132592086</v>
      </c>
      <c r="D40" s="14" t="n">
        <v>18779.4288555442</v>
      </c>
      <c r="E40" s="14" t="n">
        <v>3670.7324804495</v>
      </c>
      <c r="F40" s="14" t="n">
        <v>-1388.3918979822</v>
      </c>
      <c r="G40" s="14" t="n">
        <v>4777.25512539486</v>
      </c>
      <c r="H40" s="14" t="n">
        <v>29909.2893046598</v>
      </c>
      <c r="I40" s="15" t="n">
        <v>63.3248385471674</v>
      </c>
      <c r="J40" s="15" t="n">
        <v>71.5570675582992</v>
      </c>
      <c r="K40" s="14" t="s">
        <v>60</v>
      </c>
      <c r="L40" s="14" t="n">
        <v>-8815.38103489192</v>
      </c>
      <c r="M40" s="14" t="n">
        <v>27427.7346265184</v>
      </c>
      <c r="N40" s="14" t="n">
        <v>11573.3860139619</v>
      </c>
      <c r="O40" s="14" t="n">
        <v>-17877.8169445439</v>
      </c>
      <c r="P40" s="14" t="n">
        <v>900.122302811466</v>
      </c>
      <c r="Q40" s="14" t="n">
        <v>1295.90908842924</v>
      </c>
      <c r="R40" s="14" t="n">
        <v>17374.6376123676</v>
      </c>
      <c r="S40" s="14" t="n">
        <v>23658.9885771109</v>
      </c>
      <c r="T40" s="14" t="n">
        <v>-1001.2778148425</v>
      </c>
      <c r="U40" s="14" t="n">
        <v>20157.9803919566</v>
      </c>
      <c r="V40" s="14" t="n">
        <v>0.664133315320218</v>
      </c>
      <c r="W40" s="14" t="n">
        <v>51969.5079178974</v>
      </c>
      <c r="X40" s="14" t="n">
        <v>21829.4821506827</v>
      </c>
      <c r="Y40" s="14" t="n">
        <v>67.3152267324269</v>
      </c>
      <c r="Z40" s="14" t="n">
        <v>91.3712195651922</v>
      </c>
      <c r="AA40" s="14" t="n">
        <v>24.2742214408166</v>
      </c>
      <c r="AB40" s="14" t="n">
        <v>22.0742214408166</v>
      </c>
      <c r="AC40" s="14" t="n">
        <v>23.5242214408166</v>
      </c>
      <c r="AD40" s="14" t="n">
        <v>24.2742214408166</v>
      </c>
      <c r="AE40" s="14" t="n">
        <v>622.63774895572</v>
      </c>
      <c r="AF40" s="14" t="n">
        <v>0.03</v>
      </c>
      <c r="AG40" s="14" t="n">
        <v>0.698779476777363</v>
      </c>
      <c r="AH40" s="14" t="n">
        <v>8334.70570614714</v>
      </c>
      <c r="AI40" s="14" t="n">
        <v>18779.4288555442</v>
      </c>
      <c r="AJ40" s="14" t="n">
        <v>22.221</v>
      </c>
      <c r="AK40" s="14" t="n">
        <v>0</v>
      </c>
      <c r="AL40" s="14" t="n">
        <v>-29212.3207143495</v>
      </c>
      <c r="AM40" s="14" t="n">
        <v>684.5</v>
      </c>
      <c r="AN40" s="14" t="n">
        <v>34818.3789130435</v>
      </c>
    </row>
    <row r="41" customFormat="false" ht="15" hidden="false" customHeight="false" outlineLevel="0" collapsed="false">
      <c r="A41" s="0" t="s">
        <v>2184</v>
      </c>
      <c r="B41" s="14" t="n">
        <v>2631.13759008929</v>
      </c>
      <c r="C41" s="14" t="n">
        <v>7735.75161867496</v>
      </c>
      <c r="D41" s="14" t="n">
        <v>19440.3428170447</v>
      </c>
      <c r="E41" s="14" t="n">
        <v>4159.93688830491</v>
      </c>
      <c r="F41" s="14" t="n">
        <v>-797.764421353132</v>
      </c>
      <c r="G41" s="14" t="n">
        <v>4648.27124491104</v>
      </c>
      <c r="H41" s="14" t="n">
        <v>34164.8728329787</v>
      </c>
      <c r="I41" s="15" t="n">
        <v>78.2297649345459</v>
      </c>
      <c r="J41" s="15" t="n">
        <v>88.3996343760369</v>
      </c>
      <c r="K41" s="14" t="s">
        <v>60</v>
      </c>
      <c r="L41" s="14" t="n">
        <v>-7641.88714986529</v>
      </c>
      <c r="M41" s="14" t="n">
        <v>27441.5150323735</v>
      </c>
      <c r="N41" s="14" t="n">
        <v>12075.6806247023</v>
      </c>
      <c r="O41" s="14" t="n">
        <v>-16292.9801072707</v>
      </c>
      <c r="P41" s="14" t="n">
        <v>1095.2347646113</v>
      </c>
      <c r="Q41" s="14" t="n">
        <v>1898.04054118822</v>
      </c>
      <c r="R41" s="14" t="n">
        <v>16724.4967518018</v>
      </c>
      <c r="S41" s="14" t="n">
        <v>23672.2068563409</v>
      </c>
      <c r="T41" s="14" t="n">
        <v>-818.714194336083</v>
      </c>
      <c r="U41" s="14" t="n">
        <v>24902.6148948388</v>
      </c>
      <c r="V41" s="14" t="n">
        <v>0.82509878873241</v>
      </c>
      <c r="W41" s="14" t="n">
        <v>54769.7444606663</v>
      </c>
      <c r="X41" s="14" t="n">
        <v>21823.0977454405</v>
      </c>
      <c r="Y41" s="14" t="n">
        <v>83.1593808150179</v>
      </c>
      <c r="Z41" s="14" t="n">
        <v>112.877493134761</v>
      </c>
      <c r="AA41" s="14" t="n">
        <v>30.1575455502983</v>
      </c>
      <c r="AB41" s="14" t="n">
        <v>27.9575455502983</v>
      </c>
      <c r="AC41" s="14" t="n">
        <v>29.4075455502983</v>
      </c>
      <c r="AD41" s="14" t="n">
        <v>30.1575455502983</v>
      </c>
      <c r="AE41" s="14" t="n">
        <v>757.548</v>
      </c>
      <c r="AF41" s="14" t="n">
        <v>0.03</v>
      </c>
      <c r="AG41" s="14" t="n">
        <v>0.700376421364544</v>
      </c>
      <c r="AH41" s="14" t="n">
        <v>8952.60213758365</v>
      </c>
      <c r="AI41" s="14" t="n">
        <v>19440.3428170447</v>
      </c>
      <c r="AJ41" s="14" t="n">
        <v>22.221</v>
      </c>
      <c r="AK41" s="14" t="n">
        <v>0</v>
      </c>
      <c r="AL41" s="14" t="n">
        <v>-27361.722465889</v>
      </c>
      <c r="AM41" s="14" t="n">
        <v>684.5</v>
      </c>
      <c r="AN41" s="14" t="n">
        <v>34565.685</v>
      </c>
    </row>
    <row r="42" customFormat="false" ht="15" hidden="false" customHeight="false" outlineLevel="0" collapsed="false">
      <c r="A42" s="0" t="s">
        <v>2185</v>
      </c>
      <c r="B42" s="14" t="n">
        <v>2355.37304551779</v>
      </c>
      <c r="C42" s="14" t="n">
        <v>7309.3174062443</v>
      </c>
      <c r="D42" s="14" t="n">
        <v>19024.8843100935</v>
      </c>
      <c r="E42" s="14" t="n">
        <v>3857.16859747914</v>
      </c>
      <c r="F42" s="14" t="n">
        <v>-1081.71617062652</v>
      </c>
      <c r="G42" s="14" t="n">
        <v>4646.51207185589</v>
      </c>
      <c r="H42" s="14" t="n">
        <v>31751.664454091</v>
      </c>
      <c r="I42" s="15" t="n">
        <v>70.4563381203979</v>
      </c>
      <c r="J42" s="15" t="n">
        <v>79.6156620760497</v>
      </c>
      <c r="K42" s="14" t="s">
        <v>60</v>
      </c>
      <c r="L42" s="14" t="n">
        <v>-8102.92653767793</v>
      </c>
      <c r="M42" s="14" t="n">
        <v>27432.9863481249</v>
      </c>
      <c r="N42" s="14" t="n">
        <v>11759.9321594194</v>
      </c>
      <c r="O42" s="14" t="n">
        <v>-17000.1523804271</v>
      </c>
      <c r="P42" s="14" t="n">
        <v>927.018392422691</v>
      </c>
      <c r="Q42" s="14" t="n">
        <v>1602.34239897178</v>
      </c>
      <c r="R42" s="14" t="n">
        <v>16718.9814609104</v>
      </c>
      <c r="S42" s="14" t="n">
        <v>23663.8976862019</v>
      </c>
      <c r="T42" s="14" t="n">
        <v>-975.796120115097</v>
      </c>
      <c r="U42" s="14" t="n">
        <v>22428.1263861758</v>
      </c>
      <c r="V42" s="14" t="n">
        <v>0.82509878873241</v>
      </c>
      <c r="W42" s="14" t="n">
        <v>53259.1234046399</v>
      </c>
      <c r="X42" s="14" t="n">
        <v>21751.8294322891</v>
      </c>
      <c r="Y42" s="14" t="n">
        <v>74.8961147651165</v>
      </c>
      <c r="Z42" s="14" t="n">
        <v>101.661238904908</v>
      </c>
      <c r="AA42" s="14" t="n">
        <v>30.1575455502983</v>
      </c>
      <c r="AB42" s="14" t="n">
        <v>27.9575455502983</v>
      </c>
      <c r="AC42" s="14" t="n">
        <v>29.4075455502983</v>
      </c>
      <c r="AD42" s="14" t="n">
        <v>30.1575455502983</v>
      </c>
      <c r="AE42" s="14" t="n">
        <v>653.683373262198</v>
      </c>
      <c r="AF42" s="14" t="n">
        <v>0.03</v>
      </c>
      <c r="AG42" s="14" t="n">
        <v>0.699294850981936</v>
      </c>
      <c r="AH42" s="14" t="n">
        <v>8789.36485515094</v>
      </c>
      <c r="AI42" s="14" t="n">
        <v>19024.8843100935</v>
      </c>
      <c r="AJ42" s="14" t="n">
        <v>22.221</v>
      </c>
      <c r="AK42" s="14" t="n">
        <v>79.0109965753425</v>
      </c>
      <c r="AL42" s="14" t="n">
        <v>-28244.0658635298</v>
      </c>
      <c r="AM42" s="14" t="n">
        <v>684.5</v>
      </c>
      <c r="AN42" s="14" t="n">
        <v>34565.685</v>
      </c>
    </row>
    <row r="43" customFormat="false" ht="15" hidden="false" customHeight="false" outlineLevel="0" collapsed="false">
      <c r="A43" s="0" t="s">
        <v>2186</v>
      </c>
      <c r="B43" s="14" t="n">
        <v>2199.45285716163</v>
      </c>
      <c r="C43" s="14" t="n">
        <v>7173.70407062787</v>
      </c>
      <c r="D43" s="14" t="n">
        <v>19024.8843100935</v>
      </c>
      <c r="E43" s="14" t="n">
        <v>3760.88312919147</v>
      </c>
      <c r="F43" s="14" t="n">
        <v>-1171.54658472926</v>
      </c>
      <c r="G43" s="14" t="n">
        <v>4645.48155109562</v>
      </c>
      <c r="H43" s="14" t="n">
        <v>31572.3504557025</v>
      </c>
      <c r="I43" s="15" t="n">
        <v>69.8930361538114</v>
      </c>
      <c r="J43" s="15" t="n">
        <v>78.9791308538069</v>
      </c>
      <c r="K43" s="14" t="s">
        <v>60</v>
      </c>
      <c r="L43" s="14" t="n">
        <v>-8290.92833504923</v>
      </c>
      <c r="M43" s="14" t="n">
        <v>27430.2740814126</v>
      </c>
      <c r="N43" s="14" t="n">
        <v>11759.9321594194</v>
      </c>
      <c r="O43" s="14" t="n">
        <v>-17187.0638523758</v>
      </c>
      <c r="P43" s="14" t="n">
        <v>831.907077525431</v>
      </c>
      <c r="Q43" s="14" t="n">
        <v>1603.50853306767</v>
      </c>
      <c r="R43" s="14" t="n">
        <v>16715.8630571432</v>
      </c>
      <c r="S43" s="14" t="n">
        <v>23663.8976862019</v>
      </c>
      <c r="T43" s="14" t="n">
        <v>-1064.67062747811</v>
      </c>
      <c r="U43" s="14" t="n">
        <v>22248.8123877873</v>
      </c>
      <c r="V43" s="14" t="n">
        <v>0.82509878873241</v>
      </c>
      <c r="W43" s="14" t="n">
        <v>53259.1234046399</v>
      </c>
      <c r="X43" s="14" t="n">
        <v>21751.8294322891</v>
      </c>
      <c r="Y43" s="14" t="n">
        <v>74.297316560975</v>
      </c>
      <c r="Z43" s="14" t="n">
        <v>100.848452187226</v>
      </c>
      <c r="AA43" s="14" t="n">
        <v>30.1575455502983</v>
      </c>
      <c r="AB43" s="14" t="n">
        <v>27.9575455502983</v>
      </c>
      <c r="AC43" s="14" t="n">
        <v>29.4075455502983</v>
      </c>
      <c r="AD43" s="14" t="n">
        <v>30.1575455502983</v>
      </c>
      <c r="AE43" s="14" t="n">
        <v>653.683373262198</v>
      </c>
      <c r="AF43" s="14" t="n">
        <v>0.03</v>
      </c>
      <c r="AG43" s="14" t="n">
        <v>0.699294850981936</v>
      </c>
      <c r="AH43" s="14" t="n">
        <v>8697.3719440208</v>
      </c>
      <c r="AI43" s="14" t="n">
        <v>19024.8843100935</v>
      </c>
      <c r="AJ43" s="14" t="n">
        <v>22.221</v>
      </c>
      <c r="AK43" s="14" t="n">
        <v>370.544520547945</v>
      </c>
      <c r="AL43" s="14" t="n">
        <v>-28429.859673292</v>
      </c>
      <c r="AM43" s="14" t="n">
        <v>684.5</v>
      </c>
      <c r="AN43" s="14" t="n">
        <v>34565.685</v>
      </c>
    </row>
    <row r="44" customFormat="false" ht="15" hidden="false" customHeight="false" outlineLevel="0" collapsed="false">
      <c r="A44" s="0" t="s">
        <v>2187</v>
      </c>
      <c r="B44" s="14" t="n">
        <v>2423.40833661368</v>
      </c>
      <c r="C44" s="14" t="n">
        <v>7348.93902935504</v>
      </c>
      <c r="D44" s="14" t="n">
        <v>18644.0890830179</v>
      </c>
      <c r="E44" s="14" t="n">
        <v>3907.98364155443</v>
      </c>
      <c r="F44" s="14" t="n">
        <v>-1032.81245810726</v>
      </c>
      <c r="G44" s="14" t="n">
        <v>4646.83853848749</v>
      </c>
      <c r="H44" s="14" t="n">
        <v>31869.56809736</v>
      </c>
      <c r="I44" s="15" t="n">
        <v>70.826723894615</v>
      </c>
      <c r="J44" s="15" t="n">
        <v>80.034198000915</v>
      </c>
      <c r="K44" s="14" t="s">
        <v>60</v>
      </c>
      <c r="L44" s="14" t="n">
        <v>-8011.99130083422</v>
      </c>
      <c r="M44" s="14" t="n">
        <v>27433.7787805871</v>
      </c>
      <c r="N44" s="14" t="n">
        <v>11470.5277868419</v>
      </c>
      <c r="O44" s="14" t="n">
        <v>-17148.3470370048</v>
      </c>
      <c r="P44" s="14" t="n">
        <v>968.519919991184</v>
      </c>
      <c r="Q44" s="14" t="n">
        <v>1328.62123121385</v>
      </c>
      <c r="R44" s="14" t="n">
        <v>16720.3421667323</v>
      </c>
      <c r="S44" s="14" t="n">
        <v>23656.2817816604</v>
      </c>
      <c r="T44" s="14" t="n">
        <v>-937.016004190439</v>
      </c>
      <c r="U44" s="14" t="n">
        <v>22546.0300294447</v>
      </c>
      <c r="V44" s="14" t="n">
        <v>0.82509878873241</v>
      </c>
      <c r="W44" s="14" t="n">
        <v>53447.7923112422</v>
      </c>
      <c r="X44" s="14" t="n">
        <v>21760.7304830616</v>
      </c>
      <c r="Y44" s="14" t="n">
        <v>75.2898402438055</v>
      </c>
      <c r="Z44" s="14" t="n">
        <v>102.195667427368</v>
      </c>
      <c r="AA44" s="14" t="n">
        <v>30.1575455502983</v>
      </c>
      <c r="AB44" s="14" t="n">
        <v>27.9575455502983</v>
      </c>
      <c r="AC44" s="14" t="n">
        <v>29.4075455502983</v>
      </c>
      <c r="AD44" s="14" t="n">
        <v>30.1575455502983</v>
      </c>
      <c r="AE44" s="14" t="n">
        <v>653.683373262198</v>
      </c>
      <c r="AF44" s="14" t="n">
        <v>0.03</v>
      </c>
      <c r="AG44" s="14" t="n">
        <v>0.699431098501447</v>
      </c>
      <c r="AH44" s="14" t="n">
        <v>8829.50567689751</v>
      </c>
      <c r="AI44" s="14" t="n">
        <v>18644.0890830179</v>
      </c>
      <c r="AJ44" s="14" t="n">
        <v>22.221</v>
      </c>
      <c r="AK44" s="14" t="n">
        <v>0</v>
      </c>
      <c r="AL44" s="14" t="n">
        <v>-28369.0621393873</v>
      </c>
      <c r="AM44" s="14" t="n">
        <v>684.5</v>
      </c>
      <c r="AN44" s="14" t="n">
        <v>34565.685</v>
      </c>
    </row>
    <row r="45" customFormat="false" ht="15" hidden="false" customHeight="false" outlineLevel="0" collapsed="false">
      <c r="A45" s="0" t="s">
        <v>2188</v>
      </c>
      <c r="B45" s="14" t="n">
        <v>2355.37304551779</v>
      </c>
      <c r="C45" s="14" t="n">
        <v>7337.96332387559</v>
      </c>
      <c r="D45" s="14" t="n">
        <v>18644.0890830179</v>
      </c>
      <c r="E45" s="14" t="n">
        <v>3900.19089066402</v>
      </c>
      <c r="F45" s="14" t="n">
        <v>-1039.86111249767</v>
      </c>
      <c r="G45" s="14" t="n">
        <v>4646.53347020667</v>
      </c>
      <c r="H45" s="14" t="n">
        <v>31823.061575723</v>
      </c>
      <c r="I45" s="15" t="n">
        <v>70.680627018004</v>
      </c>
      <c r="J45" s="15" t="n">
        <v>79.8691085303445</v>
      </c>
      <c r="K45" s="14" t="s">
        <v>60</v>
      </c>
      <c r="L45" s="14" t="n">
        <v>-8060.47716284568</v>
      </c>
      <c r="M45" s="14" t="n">
        <v>27433.5592664775</v>
      </c>
      <c r="N45" s="14" t="n">
        <v>11470.5277868419</v>
      </c>
      <c r="O45" s="14" t="n">
        <v>-17196.5546561677</v>
      </c>
      <c r="P45" s="14" t="n">
        <v>927.018392422691</v>
      </c>
      <c r="Q45" s="14" t="n">
        <v>1328.93727520015</v>
      </c>
      <c r="R45" s="14" t="n">
        <v>16718.9814609104</v>
      </c>
      <c r="S45" s="14" t="n">
        <v>23656.2817816604</v>
      </c>
      <c r="T45" s="14" t="n">
        <v>-975.796120115097</v>
      </c>
      <c r="U45" s="14" t="n">
        <v>22499.5235078078</v>
      </c>
      <c r="V45" s="14" t="n">
        <v>0.82509878873241</v>
      </c>
      <c r="W45" s="14" t="n">
        <v>53447.7923112422</v>
      </c>
      <c r="X45" s="14" t="n">
        <v>21760.7304830616</v>
      </c>
      <c r="Y45" s="14" t="n">
        <v>75.1345371336894</v>
      </c>
      <c r="Z45" s="14" t="n">
        <v>101.984864682397</v>
      </c>
      <c r="AA45" s="14" t="n">
        <v>30.1575455502983</v>
      </c>
      <c r="AB45" s="14" t="n">
        <v>27.9575455502983</v>
      </c>
      <c r="AC45" s="14" t="n">
        <v>29.4075455502983</v>
      </c>
      <c r="AD45" s="14" t="n">
        <v>30.1575455502983</v>
      </c>
      <c r="AE45" s="14" t="n">
        <v>653.683373262198</v>
      </c>
      <c r="AF45" s="14" t="n">
        <v>0.03</v>
      </c>
      <c r="AG45" s="14" t="n">
        <v>0.699431098501447</v>
      </c>
      <c r="AH45" s="14" t="n">
        <v>8789.36485515094</v>
      </c>
      <c r="AI45" s="14" t="n">
        <v>18644.0890830179</v>
      </c>
      <c r="AJ45" s="14" t="n">
        <v>22.221</v>
      </c>
      <c r="AK45" s="14" t="n">
        <v>79.0109965753425</v>
      </c>
      <c r="AL45" s="14" t="n">
        <v>-28416.9844452134</v>
      </c>
      <c r="AM45" s="14" t="n">
        <v>684.5</v>
      </c>
      <c r="AN45" s="14" t="n">
        <v>34565.685</v>
      </c>
    </row>
    <row r="46" customFormat="false" ht="15" hidden="false" customHeight="false" outlineLevel="0" collapsed="false">
      <c r="A46" s="0" t="s">
        <v>2189</v>
      </c>
      <c r="B46" s="14" t="n">
        <v>2423.40833661368</v>
      </c>
      <c r="C46" s="14" t="n">
        <v>7320.29311172376</v>
      </c>
      <c r="D46" s="14" t="n">
        <v>19024.8843100935</v>
      </c>
      <c r="E46" s="14" t="n">
        <v>3864.96134836955</v>
      </c>
      <c r="F46" s="14" t="n">
        <v>-1074.66751623611</v>
      </c>
      <c r="G46" s="14" t="n">
        <v>4646.81714013671</v>
      </c>
      <c r="H46" s="14" t="n">
        <v>18766.3071393628</v>
      </c>
      <c r="I46" s="15" t="n">
        <v>25.131383528819</v>
      </c>
      <c r="J46" s="15" t="n">
        <v>28.3984633875655</v>
      </c>
      <c r="K46" s="14" t="s">
        <v>441</v>
      </c>
      <c r="L46" s="14" t="n">
        <v>-19622.3175099199</v>
      </c>
      <c r="M46" s="14" t="n">
        <v>27433.2058622345</v>
      </c>
      <c r="N46" s="14" t="n">
        <v>11759.9321594194</v>
      </c>
      <c r="O46" s="14" t="n">
        <v>-32947.6879003456</v>
      </c>
      <c r="P46" s="14" t="n">
        <v>968.519919991184</v>
      </c>
      <c r="Q46" s="14" t="n">
        <v>1602.02635498548</v>
      </c>
      <c r="R46" s="14" t="n">
        <v>16720.3421667323</v>
      </c>
      <c r="S46" s="14" t="n">
        <v>23663.8976862019</v>
      </c>
      <c r="T46" s="14" t="n">
        <v>-937.016004190439</v>
      </c>
      <c r="U46" s="14" t="n">
        <v>7914.50711500228</v>
      </c>
      <c r="V46" s="14" t="n">
        <v>0.82509878873241</v>
      </c>
      <c r="W46" s="14" t="n">
        <v>53259.1234046399</v>
      </c>
      <c r="X46" s="14" t="n">
        <v>21751.8294322891</v>
      </c>
      <c r="Y46" s="14" t="n">
        <v>26.7150271387104</v>
      </c>
      <c r="Z46" s="14" t="n">
        <v>36.2619978995823</v>
      </c>
      <c r="AA46" s="14" t="n">
        <v>30.1575455502983</v>
      </c>
      <c r="AB46" s="14" t="n">
        <v>27.9575455502983</v>
      </c>
      <c r="AC46" s="14" t="n">
        <v>29.4075455502983</v>
      </c>
      <c r="AD46" s="14" t="n">
        <v>30.1575455502983</v>
      </c>
      <c r="AE46" s="14" t="n">
        <v>653.683373262198</v>
      </c>
      <c r="AF46" s="14" t="n">
        <v>0.03</v>
      </c>
      <c r="AG46" s="14" t="n">
        <v>0.699294850981936</v>
      </c>
      <c r="AH46" s="14" t="n">
        <v>5633.56281460585</v>
      </c>
      <c r="AI46" s="14" t="n">
        <v>19024.8843100935</v>
      </c>
      <c r="AJ46" s="14" t="n">
        <v>22.221</v>
      </c>
      <c r="AK46" s="14" t="n">
        <v>0</v>
      </c>
      <c r="AL46" s="14" t="n">
        <v>-51412.930539267</v>
      </c>
      <c r="AM46" s="14" t="n">
        <v>684.5</v>
      </c>
      <c r="AN46" s="14" t="n">
        <v>0</v>
      </c>
    </row>
    <row r="47" customFormat="false" ht="15" hidden="false" customHeight="false" outlineLevel="0" collapsed="false">
      <c r="A47" s="0" t="s">
        <v>2190</v>
      </c>
      <c r="B47" s="14" t="n">
        <v>2479.67370701691</v>
      </c>
      <c r="C47" s="14" t="n">
        <v>8393.32162979191</v>
      </c>
      <c r="D47" s="14" t="n">
        <v>22056.4594303697</v>
      </c>
      <c r="E47" s="14" t="n">
        <v>4422.60231006806</v>
      </c>
      <c r="F47" s="14" t="n">
        <v>-987.856471773874</v>
      </c>
      <c r="G47" s="14" t="n">
        <v>5074.72591665026</v>
      </c>
      <c r="H47" s="14" t="n">
        <v>35594.0981228976</v>
      </c>
      <c r="I47" s="15" t="n">
        <v>82.8573802560331</v>
      </c>
      <c r="J47" s="15" t="n">
        <v>93.6288396893174</v>
      </c>
      <c r="K47" s="14" t="s">
        <v>58</v>
      </c>
      <c r="L47" s="14" t="n">
        <v>-11284.5500166165</v>
      </c>
      <c r="M47" s="14" t="n">
        <v>31957.4703538952</v>
      </c>
      <c r="N47" s="14" t="n">
        <v>13557.4674826488</v>
      </c>
      <c r="O47" s="14" t="n">
        <v>-19039.270023802</v>
      </c>
      <c r="P47" s="14" t="n">
        <v>991.35030077364</v>
      </c>
      <c r="Q47" s="14" t="n">
        <v>2245.8847448178</v>
      </c>
      <c r="R47" s="14" t="n">
        <v>17638.8037004686</v>
      </c>
      <c r="S47" s="14" t="n">
        <v>23724.5291886074</v>
      </c>
      <c r="T47" s="14" t="n">
        <v>-916.436238224112</v>
      </c>
      <c r="U47" s="14" t="n">
        <v>26375.7079346667</v>
      </c>
      <c r="V47" s="14" t="n">
        <v>0.82509878873241</v>
      </c>
      <c r="W47" s="14" t="n">
        <v>57350.3626306272</v>
      </c>
      <c r="X47" s="14" t="n">
        <v>23038.7131733198</v>
      </c>
      <c r="Y47" s="14" t="n">
        <v>88.0786033782833</v>
      </c>
      <c r="Z47" s="14" t="n">
        <v>119.554665399289</v>
      </c>
      <c r="AA47" s="14" t="n">
        <v>30.1575455502983</v>
      </c>
      <c r="AB47" s="14" t="n">
        <v>27.9575455502983</v>
      </c>
      <c r="AC47" s="14" t="n">
        <v>29.4075455502983</v>
      </c>
      <c r="AD47" s="14" t="n">
        <v>30.1575455502983</v>
      </c>
      <c r="AE47" s="14" t="n">
        <v>653.683373262198</v>
      </c>
      <c r="AF47" s="14" t="n">
        <v>0.03</v>
      </c>
      <c r="AG47" s="14" t="n">
        <v>0.695354491473753</v>
      </c>
      <c r="AH47" s="14" t="n">
        <v>8293.60224057347</v>
      </c>
      <c r="AI47" s="14" t="n">
        <v>22056.4594303697</v>
      </c>
      <c r="AJ47" s="14" t="n">
        <v>22.221</v>
      </c>
      <c r="AK47" s="14" t="n">
        <v>0</v>
      </c>
      <c r="AL47" s="14" t="n">
        <v>-29294.2581791006</v>
      </c>
      <c r="AM47" s="14" t="n">
        <v>832.5</v>
      </c>
      <c r="AN47" s="14" t="n">
        <v>36652.4389568367</v>
      </c>
    </row>
    <row r="48" customFormat="false" ht="15" hidden="false" customHeight="false" outlineLevel="0" collapsed="false">
      <c r="A48" s="0" t="s">
        <v>2191</v>
      </c>
      <c r="B48" s="14" t="n">
        <v>2479.67370701691</v>
      </c>
      <c r="C48" s="14" t="n">
        <v>8393.32162979191</v>
      </c>
      <c r="D48" s="14" t="n">
        <v>22056.4594303697</v>
      </c>
      <c r="E48" s="14" t="n">
        <v>4422.60231006806</v>
      </c>
      <c r="F48" s="14" t="n">
        <v>-987.856471773874</v>
      </c>
      <c r="G48" s="14" t="n">
        <v>5074.72591665026</v>
      </c>
      <c r="H48" s="14" t="n">
        <v>21736.5898351814</v>
      </c>
      <c r="I48" s="15" t="n">
        <v>35.1116227505355</v>
      </c>
      <c r="J48" s="15" t="n">
        <v>39.6761337081052</v>
      </c>
      <c r="K48" s="14" t="s">
        <v>441</v>
      </c>
      <c r="L48" s="14" t="n">
        <v>-24490.8842068843</v>
      </c>
      <c r="M48" s="14" t="n">
        <v>31957.4703538952</v>
      </c>
      <c r="N48" s="14" t="n">
        <v>13557.4674826488</v>
      </c>
      <c r="O48" s="14" t="n">
        <v>-36177.7132163333</v>
      </c>
      <c r="P48" s="14" t="n">
        <v>991.35030077364</v>
      </c>
      <c r="Q48" s="14" t="n">
        <v>2245.8847448178</v>
      </c>
      <c r="R48" s="14" t="n">
        <v>17638.8037004686</v>
      </c>
      <c r="S48" s="14" t="n">
        <v>23724.5291886074</v>
      </c>
      <c r="T48" s="14" t="n">
        <v>-916.436238224112</v>
      </c>
      <c r="U48" s="14" t="n">
        <v>11057.53639706</v>
      </c>
      <c r="V48" s="14" t="n">
        <v>0.82509878873241</v>
      </c>
      <c r="W48" s="14" t="n">
        <v>57350.3626306272</v>
      </c>
      <c r="X48" s="14" t="n">
        <v>23038.7131733198</v>
      </c>
      <c r="Y48" s="14" t="n">
        <v>37.3241669559924</v>
      </c>
      <c r="Z48" s="14" t="n">
        <v>50.6624551318795</v>
      </c>
      <c r="AA48" s="14" t="n">
        <v>30.1575455502983</v>
      </c>
      <c r="AB48" s="14" t="n">
        <v>27.9575455502983</v>
      </c>
      <c r="AC48" s="14" t="n">
        <v>29.4075455502983</v>
      </c>
      <c r="AD48" s="14" t="n">
        <v>30.1575455502983</v>
      </c>
      <c r="AE48" s="14" t="n">
        <v>653.683373262198</v>
      </c>
      <c r="AF48" s="14" t="n">
        <v>0.03</v>
      </c>
      <c r="AG48" s="14" t="n">
        <v>0.695354491473753</v>
      </c>
      <c r="AH48" s="14" t="n">
        <v>4739.44319428154</v>
      </c>
      <c r="AI48" s="14" t="n">
        <v>22056.4594303697</v>
      </c>
      <c r="AJ48" s="14" t="n">
        <v>22.221</v>
      </c>
      <c r="AK48" s="14" t="n">
        <v>0</v>
      </c>
      <c r="AL48" s="14" t="n">
        <v>-53377.6936914434</v>
      </c>
      <c r="AM48" s="14" t="n">
        <v>832.5</v>
      </c>
      <c r="AN48" s="14" t="n">
        <v>0</v>
      </c>
    </row>
    <row r="49" customFormat="false" ht="15" hidden="false" customHeight="false" outlineLevel="0" collapsed="false">
      <c r="A49" s="0" t="s">
        <v>2192</v>
      </c>
      <c r="B49" s="14" t="n">
        <v>2423.40833661368</v>
      </c>
      <c r="C49" s="14" t="n">
        <v>7649.20284146415</v>
      </c>
      <c r="D49" s="14" t="n">
        <v>22340.0416664072</v>
      </c>
      <c r="E49" s="14" t="n">
        <v>4098.48725648523</v>
      </c>
      <c r="F49" s="14" t="n">
        <v>-854.682158800516</v>
      </c>
      <c r="G49" s="14" t="n">
        <v>4647.20130162718</v>
      </c>
      <c r="H49" s="14" t="n">
        <v>90286.7281803372</v>
      </c>
      <c r="I49" s="15" t="n">
        <v>240.059252277537</v>
      </c>
      <c r="J49" s="15" t="n">
        <v>271.266955073617</v>
      </c>
      <c r="K49" s="14" t="s">
        <v>60</v>
      </c>
      <c r="L49" s="14" t="n">
        <v>-7827.33053170423</v>
      </c>
      <c r="M49" s="14" t="n">
        <v>27439.7840568293</v>
      </c>
      <c r="N49" s="14" t="n">
        <v>14279.4517502178</v>
      </c>
      <c r="O49" s="14" t="n">
        <v>-14850.1526631466</v>
      </c>
      <c r="P49" s="14" t="n">
        <v>968.519919991184</v>
      </c>
      <c r="Q49" s="14" t="n">
        <v>3984.18444921041</v>
      </c>
      <c r="R49" s="14" t="n">
        <v>16720.3421667323</v>
      </c>
      <c r="S49" s="14" t="n">
        <v>23730.2008333281</v>
      </c>
      <c r="T49" s="14" t="n">
        <v>-937.016004190439</v>
      </c>
      <c r="U49" s="14" t="n">
        <v>88629.5372577198</v>
      </c>
      <c r="V49" s="14" t="n">
        <v>0.82509878873241</v>
      </c>
      <c r="W49" s="14" t="n">
        <v>101287.14737262</v>
      </c>
      <c r="X49" s="14" t="n">
        <v>24017.9445504047</v>
      </c>
      <c r="Y49" s="14" t="n">
        <v>255.186485540627</v>
      </c>
      <c r="Z49" s="14" t="n">
        <v>346.380774933501</v>
      </c>
      <c r="AA49" s="14" t="n">
        <v>30.1575455502983</v>
      </c>
      <c r="AB49" s="14" t="n">
        <v>27.9575455502983</v>
      </c>
      <c r="AC49" s="14" t="n">
        <v>29.4075455502983</v>
      </c>
      <c r="AD49" s="14" t="n">
        <v>30.1575455502983</v>
      </c>
      <c r="AE49" s="14" t="n">
        <v>653.683373262198</v>
      </c>
      <c r="AF49" s="14" t="n">
        <v>0.03</v>
      </c>
      <c r="AG49" s="14" t="n">
        <v>0.725746992624482</v>
      </c>
      <c r="AH49" s="14" t="n">
        <v>8829.50567689751</v>
      </c>
      <c r="AI49" s="14" t="n">
        <v>22340.0416664072</v>
      </c>
      <c r="AJ49" s="14" t="n">
        <v>22.221</v>
      </c>
      <c r="AK49" s="14" t="n">
        <v>0</v>
      </c>
      <c r="AL49" s="14" t="n">
        <v>-22857.0587695408</v>
      </c>
      <c r="AM49" s="14" t="n">
        <v>684.5</v>
      </c>
      <c r="AN49" s="14" t="n">
        <v>34565.685</v>
      </c>
    </row>
    <row r="50" customFormat="false" ht="15" hidden="false" customHeight="false" outlineLevel="0" collapsed="false">
      <c r="A50" s="0" t="s">
        <v>2193</v>
      </c>
      <c r="B50" s="14" t="n">
        <v>2423.40833661368</v>
      </c>
      <c r="C50" s="14" t="n">
        <v>7109.17582547376</v>
      </c>
      <c r="D50" s="14" t="n">
        <v>18218.6773729807</v>
      </c>
      <c r="E50" s="14" t="n">
        <v>3715.06807513205</v>
      </c>
      <c r="F50" s="14" t="n">
        <v>-1215.91195809817</v>
      </c>
      <c r="G50" s="14" t="n">
        <v>4646.61300021128</v>
      </c>
      <c r="H50" s="14" t="n">
        <v>20379.9261220128</v>
      </c>
      <c r="I50" s="15" t="n">
        <v>34.5177332406372</v>
      </c>
      <c r="J50" s="15" t="n">
        <v>39.00503856192</v>
      </c>
      <c r="K50" s="14" t="s">
        <v>60</v>
      </c>
      <c r="L50" s="14" t="n">
        <v>-8200.20280659431</v>
      </c>
      <c r="M50" s="14" t="n">
        <v>27428.9835165095</v>
      </c>
      <c r="N50" s="14" t="n">
        <v>11147.2148872137</v>
      </c>
      <c r="O50" s="14" t="n">
        <v>-17566.5439641126</v>
      </c>
      <c r="P50" s="14" t="n">
        <v>968.519919991184</v>
      </c>
      <c r="Q50" s="14" t="n">
        <v>1023.39312963409</v>
      </c>
      <c r="R50" s="14" t="n">
        <v>16720.3421667323</v>
      </c>
      <c r="S50" s="14" t="n">
        <v>23647.7735474596</v>
      </c>
      <c r="T50" s="14" t="n">
        <v>-937.016004190439</v>
      </c>
      <c r="U50" s="14" t="n">
        <v>10870.5055976523</v>
      </c>
      <c r="V50" s="14" t="n">
        <v>0.82509878873241</v>
      </c>
      <c r="W50" s="14" t="n">
        <v>44015.0323908702</v>
      </c>
      <c r="X50" s="14" t="n">
        <v>21317.2844705841</v>
      </c>
      <c r="Y50" s="14" t="n">
        <v>36.6928537473051</v>
      </c>
      <c r="Z50" s="14" t="n">
        <v>49.8055337397157</v>
      </c>
      <c r="AA50" s="14" t="n">
        <v>30.1575455502983</v>
      </c>
      <c r="AB50" s="14" t="n">
        <v>27.9575455502983</v>
      </c>
      <c r="AC50" s="14" t="n">
        <v>29.4075455502983</v>
      </c>
      <c r="AD50" s="14" t="n">
        <v>30.1575455502983</v>
      </c>
      <c r="AE50" s="14" t="n">
        <v>653.683373262198</v>
      </c>
      <c r="AF50" s="14" t="n">
        <v>0.03</v>
      </c>
      <c r="AG50" s="14" t="n">
        <v>0.692408630796507</v>
      </c>
      <c r="AH50" s="14" t="n">
        <v>8829.50567689751</v>
      </c>
      <c r="AI50" s="14" t="n">
        <v>18218.6773729807</v>
      </c>
      <c r="AJ50" s="14" t="n">
        <v>20.52</v>
      </c>
      <c r="AK50" s="14" t="n">
        <v>0</v>
      </c>
      <c r="AL50" s="14" t="n">
        <v>-29452.8032112789</v>
      </c>
      <c r="AM50" s="14" t="n">
        <v>684.5</v>
      </c>
      <c r="AN50" s="14" t="n">
        <v>34565.685</v>
      </c>
    </row>
    <row r="51" customFormat="false" ht="15" hidden="false" customHeight="false" outlineLevel="0" collapsed="false">
      <c r="A51" s="0" t="s">
        <v>2194</v>
      </c>
      <c r="B51" s="14" t="n">
        <v>2423.40833661368</v>
      </c>
      <c r="C51" s="14" t="n">
        <v>7636.96904109876</v>
      </c>
      <c r="D51" s="14" t="n">
        <v>20234.1947157627</v>
      </c>
      <c r="E51" s="14" t="n">
        <v>4089.8012582258</v>
      </c>
      <c r="F51" s="14" t="n">
        <v>-862.800853443018</v>
      </c>
      <c r="G51" s="14" t="n">
        <v>4647.12335002487</v>
      </c>
      <c r="H51" s="14" t="n">
        <v>48901.6657992991</v>
      </c>
      <c r="I51" s="15" t="n">
        <v>123.591928777692</v>
      </c>
      <c r="J51" s="15" t="n">
        <v>139.658879518792</v>
      </c>
      <c r="K51" s="14" t="s">
        <v>60</v>
      </c>
      <c r="L51" s="14" t="n">
        <v>-7835.79747927471</v>
      </c>
      <c r="M51" s="14" t="n">
        <v>27439.539380822</v>
      </c>
      <c r="N51" s="14" t="n">
        <v>12679.008067728</v>
      </c>
      <c r="O51" s="14" t="n">
        <v>-16030.0459569918</v>
      </c>
      <c r="P51" s="14" t="n">
        <v>968.519919991184</v>
      </c>
      <c r="Q51" s="14" t="n">
        <v>2469.97619301257</v>
      </c>
      <c r="R51" s="14" t="n">
        <v>16720.3421667323</v>
      </c>
      <c r="S51" s="14" t="n">
        <v>23688.0838943153</v>
      </c>
      <c r="T51" s="14" t="n">
        <v>-937.016004190439</v>
      </c>
      <c r="U51" s="14" t="n">
        <v>39578.1277313839</v>
      </c>
      <c r="V51" s="14" t="n">
        <v>0.82509878873241</v>
      </c>
      <c r="W51" s="14" t="n">
        <v>67125.2599252943</v>
      </c>
      <c r="X51" s="14" t="n">
        <v>22403.6468748466</v>
      </c>
      <c r="Y51" s="14" t="n">
        <v>131.380022418398</v>
      </c>
      <c r="Z51" s="14" t="n">
        <v>178.330423257545</v>
      </c>
      <c r="AA51" s="14" t="n">
        <v>30.1575455502983</v>
      </c>
      <c r="AB51" s="14" t="n">
        <v>27.9575455502983</v>
      </c>
      <c r="AC51" s="14" t="n">
        <v>29.4075455502983</v>
      </c>
      <c r="AD51" s="14" t="n">
        <v>30.1575455502983</v>
      </c>
      <c r="AE51" s="14" t="n">
        <v>653.683373262198</v>
      </c>
      <c r="AF51" s="14" t="n">
        <v>0.03</v>
      </c>
      <c r="AG51" s="14" t="n">
        <v>0.708234061385979</v>
      </c>
      <c r="AH51" s="14" t="n">
        <v>8829.50567689751</v>
      </c>
      <c r="AI51" s="14" t="n">
        <v>20234.1947157627</v>
      </c>
      <c r="AJ51" s="14" t="n">
        <v>24.7725</v>
      </c>
      <c r="AK51" s="14" t="n">
        <v>0</v>
      </c>
      <c r="AL51" s="14" t="n">
        <v>-26311.1540773411</v>
      </c>
      <c r="AM51" s="14" t="n">
        <v>684.5</v>
      </c>
      <c r="AN51" s="14" t="n">
        <v>34565.685</v>
      </c>
    </row>
    <row r="52" customFormat="false" ht="15" hidden="false" customHeight="false" outlineLevel="0" collapsed="false">
      <c r="A52" s="0" t="s">
        <v>2195</v>
      </c>
      <c r="B52" s="14" t="n">
        <v>2423.40833661368</v>
      </c>
      <c r="C52" s="14" t="n">
        <v>7112.46478688001</v>
      </c>
      <c r="D52" s="14" t="n">
        <v>17529.2855738237</v>
      </c>
      <c r="E52" s="14" t="n">
        <v>3717.40323773049</v>
      </c>
      <c r="F52" s="14" t="n">
        <v>-1213.72283942942</v>
      </c>
      <c r="G52" s="14" t="n">
        <v>4646.62748568471</v>
      </c>
      <c r="H52" s="14" t="n">
        <v>13705.9350084396</v>
      </c>
      <c r="I52" s="15" t="n">
        <v>13.325430560764</v>
      </c>
      <c r="J52" s="15" t="n">
        <v>15.0577365336633</v>
      </c>
      <c r="K52" s="14" t="s">
        <v>60</v>
      </c>
      <c r="L52" s="14" t="n">
        <v>-8197.91894649141</v>
      </c>
      <c r="M52" s="14" t="n">
        <v>27429.0492957376</v>
      </c>
      <c r="N52" s="14" t="n">
        <v>10623.2771198543</v>
      </c>
      <c r="O52" s="14" t="n">
        <v>-17990.6433108654</v>
      </c>
      <c r="P52" s="14" t="n">
        <v>968.519919991184</v>
      </c>
      <c r="Q52" s="14" t="n">
        <v>527.842220282041</v>
      </c>
      <c r="R52" s="14" t="n">
        <v>16720.3421667323</v>
      </c>
      <c r="S52" s="14" t="n">
        <v>23633.9857114765</v>
      </c>
      <c r="T52" s="14" t="n">
        <v>-937.016004190439</v>
      </c>
      <c r="U52" s="14" t="n">
        <v>4196.5144840791</v>
      </c>
      <c r="V52" s="14" t="n">
        <v>0.82509878873241</v>
      </c>
      <c r="W52" s="14" t="n">
        <v>38988.544343422</v>
      </c>
      <c r="X52" s="14" t="n">
        <v>20999.404418659</v>
      </c>
      <c r="Y52" s="14" t="n">
        <v>14.1651269878392</v>
      </c>
      <c r="Z52" s="14" t="n">
        <v>19.2272237798347</v>
      </c>
      <c r="AA52" s="14" t="n">
        <v>30.1575455502983</v>
      </c>
      <c r="AB52" s="14" t="n">
        <v>27.9575455502983</v>
      </c>
      <c r="AC52" s="14" t="n">
        <v>29.4075455502983</v>
      </c>
      <c r="AD52" s="14" t="n">
        <v>30.1575455502983</v>
      </c>
      <c r="AE52" s="14" t="n">
        <v>653.683373262198</v>
      </c>
      <c r="AF52" s="14" t="n">
        <v>0.03</v>
      </c>
      <c r="AG52" s="14" t="n">
        <v>0.686533385480566</v>
      </c>
      <c r="AH52" s="14" t="n">
        <v>8829.50567689751</v>
      </c>
      <c r="AI52" s="14" t="n">
        <v>17529.2855738237</v>
      </c>
      <c r="AJ52" s="14" t="n">
        <v>20.79</v>
      </c>
      <c r="AK52" s="14" t="n">
        <v>0</v>
      </c>
      <c r="AL52" s="14" t="n">
        <v>-30414.2378052052</v>
      </c>
      <c r="AM52" s="14" t="n">
        <v>684.5</v>
      </c>
      <c r="AN52" s="14" t="n">
        <v>34565.685</v>
      </c>
    </row>
    <row r="53" customFormat="false" ht="15" hidden="false" customHeight="false" outlineLevel="0" collapsed="false">
      <c r="A53" s="0" t="s">
        <v>2196</v>
      </c>
      <c r="B53" s="14" t="n">
        <v>2423.40833661368</v>
      </c>
      <c r="C53" s="14" t="n">
        <v>7632.03559898938</v>
      </c>
      <c r="D53" s="14" t="n">
        <v>21268.2824144982</v>
      </c>
      <c r="E53" s="14" t="n">
        <v>4086.29851432815</v>
      </c>
      <c r="F53" s="14" t="n">
        <v>-866.084531446143</v>
      </c>
      <c r="G53" s="14" t="n">
        <v>4647.10162181471</v>
      </c>
      <c r="H53" s="14" t="n">
        <v>61430.6220732547</v>
      </c>
      <c r="I53" s="15" t="n">
        <v>160.845605097829</v>
      </c>
      <c r="J53" s="15" t="n">
        <v>181.755533760547</v>
      </c>
      <c r="K53" s="14" t="s">
        <v>60</v>
      </c>
      <c r="L53" s="14" t="n">
        <v>-7839.22326942907</v>
      </c>
      <c r="M53" s="14" t="n">
        <v>27439.4407119798</v>
      </c>
      <c r="N53" s="14" t="n">
        <v>13464.914718767</v>
      </c>
      <c r="O53" s="14" t="n">
        <v>-15455.2490341856</v>
      </c>
      <c r="P53" s="14" t="n">
        <v>968.519919991184</v>
      </c>
      <c r="Q53" s="14" t="n">
        <v>3213.30255704064</v>
      </c>
      <c r="R53" s="14" t="n">
        <v>16720.3421667323</v>
      </c>
      <c r="S53" s="14" t="n">
        <v>23708.76564829</v>
      </c>
      <c r="T53" s="14" t="n">
        <v>-937.016004190439</v>
      </c>
      <c r="U53" s="14" t="n">
        <v>55354.1927718486</v>
      </c>
      <c r="V53" s="14" t="n">
        <v>0.82509878873241</v>
      </c>
      <c r="W53" s="14" t="n">
        <v>77207.2186323934</v>
      </c>
      <c r="X53" s="14" t="n">
        <v>22880.4669527343</v>
      </c>
      <c r="Y53" s="14" t="n">
        <v>170.981223552746</v>
      </c>
      <c r="Z53" s="14" t="n">
        <v>232.083641058842</v>
      </c>
      <c r="AA53" s="14" t="n">
        <v>30.1575455502983</v>
      </c>
      <c r="AB53" s="14" t="n">
        <v>27.9575455502983</v>
      </c>
      <c r="AC53" s="14" t="n">
        <v>29.4075455502983</v>
      </c>
      <c r="AD53" s="14" t="n">
        <v>30.1575455502983</v>
      </c>
      <c r="AE53" s="14" t="n">
        <v>653.683373262198</v>
      </c>
      <c r="AF53" s="14" t="n">
        <v>0.03</v>
      </c>
      <c r="AG53" s="14" t="n">
        <v>0.71415466131794</v>
      </c>
      <c r="AH53" s="14" t="n">
        <v>8829.50567689751</v>
      </c>
      <c r="AI53" s="14" t="n">
        <v>21268.2824144982</v>
      </c>
      <c r="AJ53" s="14" t="n">
        <v>24.3675</v>
      </c>
      <c r="AK53" s="14" t="n">
        <v>0</v>
      </c>
      <c r="AL53" s="14" t="n">
        <v>-24929.9281349701</v>
      </c>
      <c r="AM53" s="14" t="n">
        <v>684.5</v>
      </c>
      <c r="AN53" s="14" t="n">
        <v>34565.685</v>
      </c>
    </row>
    <row r="54" customFormat="false" ht="15" hidden="false" customHeight="false" outlineLevel="0" collapsed="false">
      <c r="A54" s="0" t="s">
        <v>2197</v>
      </c>
      <c r="B54" s="14" t="n">
        <v>2425.32952419152</v>
      </c>
      <c r="C54" s="14" t="n">
        <v>7324.95218380129</v>
      </c>
      <c r="D54" s="14" t="n">
        <v>19028.3078080523</v>
      </c>
      <c r="E54" s="14" t="n">
        <v>3868.2692895446</v>
      </c>
      <c r="F54" s="14" t="n">
        <v>-1071.56608997986</v>
      </c>
      <c r="G54" s="14" t="n">
        <v>4646.83729217241</v>
      </c>
      <c r="H54" s="14" t="n">
        <v>31884.7774877648</v>
      </c>
      <c r="I54" s="15" t="n">
        <v>70.8737358600681</v>
      </c>
      <c r="J54" s="15" t="n">
        <v>80.0873215218769</v>
      </c>
      <c r="K54" s="14" t="s">
        <v>60</v>
      </c>
      <c r="L54" s="14" t="n">
        <v>-8050.05808914412</v>
      </c>
      <c r="M54" s="14" t="n">
        <v>27433.299043676</v>
      </c>
      <c r="N54" s="14" t="n">
        <v>11762.5340178681</v>
      </c>
      <c r="O54" s="14" t="n">
        <v>-16945.6706331883</v>
      </c>
      <c r="P54" s="14" t="n">
        <v>969.691844413664</v>
      </c>
      <c r="Q54" s="14" t="n">
        <v>1604.46233971616</v>
      </c>
      <c r="R54" s="14" t="n">
        <v>16720.3805904838</v>
      </c>
      <c r="S54" s="14" t="n">
        <v>23663.966156161</v>
      </c>
      <c r="T54" s="14" t="n">
        <v>-935.920513319546</v>
      </c>
      <c r="U54" s="14" t="n">
        <v>22560.9951884492</v>
      </c>
      <c r="V54" s="14" t="n">
        <v>0.953955874711187</v>
      </c>
      <c r="W54" s="14" t="n">
        <v>53328.4441014675</v>
      </c>
      <c r="X54" s="14" t="n">
        <v>21755.0559571894</v>
      </c>
      <c r="Y54" s="14" t="n">
        <v>75.3398146485764</v>
      </c>
      <c r="Z54" s="14" t="n">
        <v>102.263500851285</v>
      </c>
      <c r="AA54" s="14" t="n">
        <v>34.8673009068098</v>
      </c>
      <c r="AB54" s="14" t="n">
        <v>32.6673009068098</v>
      </c>
      <c r="AC54" s="14" t="n">
        <v>34.1173009068098</v>
      </c>
      <c r="AD54" s="14" t="n">
        <v>34.8673009068098</v>
      </c>
      <c r="AE54" s="14" t="n">
        <v>653.269421736173</v>
      </c>
      <c r="AF54" s="14" t="n">
        <v>0.03</v>
      </c>
      <c r="AG54" s="14" t="n">
        <v>0.699339352532185</v>
      </c>
      <c r="AH54" s="14" t="n">
        <v>8830.63704054368</v>
      </c>
      <c r="AI54" s="14" t="n">
        <v>19028.3078080523</v>
      </c>
      <c r="AJ54" s="14" t="n">
        <v>22.221</v>
      </c>
      <c r="AK54" s="14" t="n">
        <v>0</v>
      </c>
      <c r="AL54" s="14" t="n">
        <v>-28185.5560427778</v>
      </c>
      <c r="AM54" s="14" t="n">
        <v>684.5</v>
      </c>
      <c r="AN54" s="14" t="n">
        <v>34565.685</v>
      </c>
    </row>
    <row r="55" customFormat="false" ht="15" hidden="false" customHeight="false" outlineLevel="0" collapsed="false">
      <c r="A55" s="0" t="s">
        <v>2198</v>
      </c>
      <c r="B55" s="14" t="n">
        <v>2423.40833661368</v>
      </c>
      <c r="C55" s="14" t="n">
        <v>7320.29311172376</v>
      </c>
      <c r="D55" s="14" t="n">
        <v>19024.8843100935</v>
      </c>
      <c r="E55" s="14" t="n">
        <v>3864.96134836955</v>
      </c>
      <c r="F55" s="14" t="n">
        <v>-1074.66751623611</v>
      </c>
      <c r="G55" s="14" t="n">
        <v>4646.81714013671</v>
      </c>
      <c r="H55" s="14" t="n">
        <v>31798.1884260569</v>
      </c>
      <c r="I55" s="15" t="n">
        <v>70.6024898159561</v>
      </c>
      <c r="J55" s="15" t="n">
        <v>79.7808134920304</v>
      </c>
      <c r="K55" s="14" t="s">
        <v>60</v>
      </c>
      <c r="L55" s="14" t="n">
        <v>-8306.63455587481</v>
      </c>
      <c r="M55" s="14" t="n">
        <v>27433.2058622345</v>
      </c>
      <c r="N55" s="14" t="n">
        <v>11759.9321594194</v>
      </c>
      <c r="O55" s="14" t="n">
        <v>-17202.3740230603</v>
      </c>
      <c r="P55" s="14" t="n">
        <v>968.519919991184</v>
      </c>
      <c r="Q55" s="14" t="n">
        <v>1602.02635498548</v>
      </c>
      <c r="R55" s="14" t="n">
        <v>16720.3421667323</v>
      </c>
      <c r="S55" s="14" t="n">
        <v>23663.8976862019</v>
      </c>
      <c r="T55" s="14" t="n">
        <v>-937.016004190439</v>
      </c>
      <c r="U55" s="14" t="n">
        <v>22474.6503581417</v>
      </c>
      <c r="V55" s="14" t="n">
        <v>0.82509878873241</v>
      </c>
      <c r="W55" s="14" t="n">
        <v>53259.1234046399</v>
      </c>
      <c r="X55" s="14" t="n">
        <v>21751.8294322891</v>
      </c>
      <c r="Y55" s="14" t="n">
        <v>75.0514761485726</v>
      </c>
      <c r="Z55" s="14" t="n">
        <v>101.872120747974</v>
      </c>
      <c r="AA55" s="14" t="n">
        <v>30.1575455502983</v>
      </c>
      <c r="AB55" s="14" t="n">
        <v>27.9575455502983</v>
      </c>
      <c r="AC55" s="14" t="n">
        <v>29.4075455502983</v>
      </c>
      <c r="AD55" s="14" t="n">
        <v>30.1575455502983</v>
      </c>
      <c r="AE55" s="14" t="n">
        <v>653.683373262198</v>
      </c>
      <c r="AF55" s="14" t="n">
        <v>0.03</v>
      </c>
      <c r="AG55" s="14" t="n">
        <v>0.699294850981936</v>
      </c>
      <c r="AH55" s="14" t="n">
        <v>8746.17234356418</v>
      </c>
      <c r="AI55" s="14" t="n">
        <v>19024.8843100935</v>
      </c>
      <c r="AJ55" s="14" t="n">
        <v>22.221</v>
      </c>
      <c r="AK55" s="14" t="n">
        <v>0</v>
      </c>
      <c r="AL55" s="14" t="n">
        <v>-28444.7736070999</v>
      </c>
      <c r="AM55" s="14" t="n">
        <v>684.5</v>
      </c>
      <c r="AN55" s="14" t="n">
        <v>34565.685</v>
      </c>
    </row>
    <row r="56" customFormat="false" ht="15" hidden="false" customHeight="false" outlineLevel="0" collapsed="false">
      <c r="A56" s="0" t="s">
        <v>2199</v>
      </c>
      <c r="B56" s="14" t="n">
        <v>2423.40833661368</v>
      </c>
      <c r="C56" s="14" t="n">
        <v>7320.29311172376</v>
      </c>
      <c r="D56" s="14" t="n">
        <v>19024.8843100935</v>
      </c>
      <c r="E56" s="14" t="n">
        <v>3864.96134836955</v>
      </c>
      <c r="F56" s="14" t="n">
        <v>-1074.66751623611</v>
      </c>
      <c r="G56" s="14" t="n">
        <v>4646.81714013671</v>
      </c>
      <c r="H56" s="14" t="n">
        <v>31798.1884260569</v>
      </c>
      <c r="I56" s="15" t="n">
        <v>70.6024898159561</v>
      </c>
      <c r="J56" s="15" t="n">
        <v>79.7808134920304</v>
      </c>
      <c r="K56" s="14" t="s">
        <v>60</v>
      </c>
      <c r="L56" s="14" t="n">
        <v>-8558.82843608314</v>
      </c>
      <c r="M56" s="14" t="n">
        <v>27433.2058622345</v>
      </c>
      <c r="N56" s="14" t="n">
        <v>11759.9321594194</v>
      </c>
      <c r="O56" s="14" t="n">
        <v>-17452.8032848563</v>
      </c>
      <c r="P56" s="14" t="n">
        <v>968.519919991184</v>
      </c>
      <c r="Q56" s="14" t="n">
        <v>1602.02635498548</v>
      </c>
      <c r="R56" s="14" t="n">
        <v>16720.3421667323</v>
      </c>
      <c r="S56" s="14" t="n">
        <v>23663.8976862019</v>
      </c>
      <c r="T56" s="14" t="n">
        <v>-937.016004190439</v>
      </c>
      <c r="U56" s="14" t="n">
        <v>22474.6503581417</v>
      </c>
      <c r="V56" s="14" t="n">
        <v>0.82509878873241</v>
      </c>
      <c r="W56" s="14" t="n">
        <v>53259.1234046399</v>
      </c>
      <c r="X56" s="14" t="n">
        <v>21751.8294322891</v>
      </c>
      <c r="Y56" s="14" t="n">
        <v>75.0514761485726</v>
      </c>
      <c r="Z56" s="14" t="n">
        <v>101.872120747974</v>
      </c>
      <c r="AA56" s="14" t="n">
        <v>30.1575455502983</v>
      </c>
      <c r="AB56" s="14" t="n">
        <v>27.9575455502983</v>
      </c>
      <c r="AC56" s="14" t="n">
        <v>29.4075455502983</v>
      </c>
      <c r="AD56" s="14" t="n">
        <v>30.1575455502983</v>
      </c>
      <c r="AE56" s="14" t="n">
        <v>653.683373262198</v>
      </c>
      <c r="AF56" s="14" t="n">
        <v>0.03</v>
      </c>
      <c r="AG56" s="14" t="n">
        <v>0.699294850981936</v>
      </c>
      <c r="AH56" s="14" t="n">
        <v>8662.83901023085</v>
      </c>
      <c r="AI56" s="14" t="n">
        <v>19024.8843100935</v>
      </c>
      <c r="AJ56" s="14" t="n">
        <v>22.221</v>
      </c>
      <c r="AK56" s="14" t="n">
        <v>0</v>
      </c>
      <c r="AL56" s="14" t="n">
        <v>-28693.4036564959</v>
      </c>
      <c r="AM56" s="14" t="n">
        <v>684.5</v>
      </c>
      <c r="AN56" s="14" t="n">
        <v>34565.685</v>
      </c>
    </row>
    <row r="57" customFormat="false" ht="15" hidden="false" customHeight="false" outlineLevel="0" collapsed="false">
      <c r="A57" s="0" t="s">
        <v>2200</v>
      </c>
      <c r="B57" s="14" t="n">
        <v>2423.40833661368</v>
      </c>
      <c r="C57" s="14" t="n">
        <v>7320.29311172376</v>
      </c>
      <c r="D57" s="14" t="n">
        <v>19024.8843100935</v>
      </c>
      <c r="E57" s="14" t="n">
        <v>3864.96134836955</v>
      </c>
      <c r="F57" s="14" t="n">
        <v>-1074.66751623611</v>
      </c>
      <c r="G57" s="14" t="n">
        <v>4646.81714013671</v>
      </c>
      <c r="H57" s="14" t="n">
        <v>31798.1884260569</v>
      </c>
      <c r="I57" s="15" t="n">
        <v>70.6024898159561</v>
      </c>
      <c r="J57" s="15" t="n">
        <v>79.7808134920304</v>
      </c>
      <c r="K57" s="14" t="s">
        <v>60</v>
      </c>
      <c r="L57" s="14" t="n">
        <v>-8186.72562879147</v>
      </c>
      <c r="M57" s="14" t="n">
        <v>27433.2058622345</v>
      </c>
      <c r="N57" s="14" t="n">
        <v>11759.9321594194</v>
      </c>
      <c r="O57" s="14" t="n">
        <v>-17083.3041072184</v>
      </c>
      <c r="P57" s="14" t="n">
        <v>968.519919991184</v>
      </c>
      <c r="Q57" s="14" t="n">
        <v>1602.02635498548</v>
      </c>
      <c r="R57" s="14" t="n">
        <v>16720.3421667323</v>
      </c>
      <c r="S57" s="14" t="n">
        <v>23663.8976862019</v>
      </c>
      <c r="T57" s="14" t="n">
        <v>-937.016004190439</v>
      </c>
      <c r="U57" s="14" t="n">
        <v>22474.6503581417</v>
      </c>
      <c r="V57" s="14" t="n">
        <v>0.82509878873241</v>
      </c>
      <c r="W57" s="14" t="n">
        <v>53259.1234046399</v>
      </c>
      <c r="X57" s="14" t="n">
        <v>21751.8294322891</v>
      </c>
      <c r="Y57" s="14" t="n">
        <v>75.0514761485726</v>
      </c>
      <c r="Z57" s="14" t="n">
        <v>101.872120747974</v>
      </c>
      <c r="AA57" s="14" t="n">
        <v>30.1575455502983</v>
      </c>
      <c r="AB57" s="14" t="n">
        <v>27.9575455502983</v>
      </c>
      <c r="AC57" s="14" t="n">
        <v>29.4075455502983</v>
      </c>
      <c r="AD57" s="14" t="n">
        <v>30.1575455502983</v>
      </c>
      <c r="AE57" s="14" t="n">
        <v>653.683373262198</v>
      </c>
      <c r="AF57" s="14" t="n">
        <v>0.03</v>
      </c>
      <c r="AG57" s="14" t="n">
        <v>0.699294850981936</v>
      </c>
      <c r="AH57" s="14" t="n">
        <v>8699.50567689751</v>
      </c>
      <c r="AI57" s="14" t="n">
        <v>19024.8843100935</v>
      </c>
      <c r="AJ57" s="14" t="n">
        <v>22.221</v>
      </c>
      <c r="AK57" s="14" t="n">
        <v>0</v>
      </c>
      <c r="AL57" s="14" t="n">
        <v>-28326.55915067</v>
      </c>
      <c r="AM57" s="14" t="n">
        <v>684.5</v>
      </c>
      <c r="AN57" s="14" t="n">
        <v>34565.685</v>
      </c>
    </row>
    <row r="58" customFormat="false" ht="15" hidden="false" customHeight="false" outlineLevel="0" collapsed="false">
      <c r="A58" s="0" t="s">
        <v>2201</v>
      </c>
      <c r="B58" s="14" t="n">
        <v>2102.38738501866</v>
      </c>
      <c r="C58" s="14" t="n">
        <v>3820.7257686822</v>
      </c>
      <c r="D58" s="14" t="n">
        <v>9724.5880490698</v>
      </c>
      <c r="E58" s="14" t="n">
        <v>1648.58401950248</v>
      </c>
      <c r="F58" s="14" t="n">
        <v>-3613.02514882882</v>
      </c>
      <c r="G58" s="14" t="n">
        <v>5108.78013758402</v>
      </c>
      <c r="H58" s="14" t="n">
        <v>-11906.3828846674</v>
      </c>
      <c r="I58" s="15" t="n">
        <v>0.01</v>
      </c>
      <c r="J58" s="15" t="n">
        <v>0.0115</v>
      </c>
      <c r="K58" s="14" t="s">
        <v>50</v>
      </c>
      <c r="L58" s="14" t="n">
        <v>-1519.28105992782</v>
      </c>
      <c r="M58" s="14" t="n">
        <v>17506.7677183366</v>
      </c>
      <c r="N58" s="14" t="n">
        <v>4930.49389628132</v>
      </c>
      <c r="O58" s="14" t="n">
        <v>-14761.7297972854</v>
      </c>
      <c r="P58" s="14" t="n">
        <v>750.274237487276</v>
      </c>
      <c r="Q58" s="14" t="n">
        <v>-4467.62736389488</v>
      </c>
      <c r="R58" s="14" t="n">
        <v>10528.0310069596</v>
      </c>
      <c r="S58" s="14" t="n">
        <v>19984.5963609814</v>
      </c>
      <c r="T58" s="14" t="n">
        <v>-1418.70966445582</v>
      </c>
      <c r="U58" s="14" t="n">
        <v>-20724.8492530742</v>
      </c>
      <c r="V58" s="14" t="n">
        <v>0.82509878873241</v>
      </c>
      <c r="W58" s="14" t="n">
        <v>16947.9104151334</v>
      </c>
      <c r="X58" s="14" t="n">
        <v>11021.1084820485</v>
      </c>
      <c r="Y58" s="14" t="n">
        <v>0.0107238052947636</v>
      </c>
      <c r="Z58" s="14" t="n">
        <v>0.01520875</v>
      </c>
      <c r="AA58" s="14" t="n">
        <v>22.27279275</v>
      </c>
      <c r="AB58" s="14" t="n">
        <v>20.07279275</v>
      </c>
      <c r="AC58" s="14" t="n">
        <v>21.52279275</v>
      </c>
      <c r="AD58" s="14" t="n">
        <v>22.27279275</v>
      </c>
      <c r="AE58" s="14" t="n">
        <v>552.747125886626</v>
      </c>
      <c r="AF58" s="14" t="n">
        <v>0.02</v>
      </c>
      <c r="AG58" s="14" t="n">
        <v>0.609669890967488</v>
      </c>
      <c r="AH58" s="14" t="n">
        <v>12229.130026179</v>
      </c>
      <c r="AI58" s="14" t="n">
        <v>9724.5880490698</v>
      </c>
      <c r="AJ58" s="14" t="n">
        <v>19.365</v>
      </c>
      <c r="AK58" s="14" t="n">
        <v>0</v>
      </c>
      <c r="AL58" s="14" t="n">
        <v>-27909.2524793532</v>
      </c>
      <c r="AM58" s="14" t="n">
        <v>396.288888888889</v>
      </c>
      <c r="AN58" s="14" t="n">
        <v>14520.7152777778</v>
      </c>
    </row>
    <row r="59" customFormat="false" ht="15" hidden="false" customHeight="false" outlineLevel="0" collapsed="false">
      <c r="A59" s="0" t="s">
        <v>233</v>
      </c>
      <c r="B59" s="14" t="n">
        <v>2538.63311576242</v>
      </c>
      <c r="C59" s="14" t="n">
        <v>14376.3903039499</v>
      </c>
      <c r="D59" s="14" t="n">
        <v>37234.0577876758</v>
      </c>
      <c r="E59" s="14" t="n">
        <v>8852.26722942071</v>
      </c>
      <c r="F59" s="14" t="n">
        <v>4463.14246663523</v>
      </c>
      <c r="G59" s="14" t="n">
        <v>3814.06915062749</v>
      </c>
      <c r="H59" s="14" t="n">
        <v>363040.190840581</v>
      </c>
      <c r="I59" s="15" t="n">
        <v>943.235421476247</v>
      </c>
      <c r="J59" s="15" t="n">
        <v>1056.4236720534</v>
      </c>
      <c r="K59" s="14" t="s">
        <v>58</v>
      </c>
      <c r="L59" s="14" t="n">
        <v>-8609.49451832169</v>
      </c>
      <c r="M59" s="14" t="n">
        <v>33328.3611394123</v>
      </c>
      <c r="N59" s="14" t="n">
        <v>25791.7096396382</v>
      </c>
      <c r="O59" s="14" t="n">
        <v>-10140.9981636692</v>
      </c>
      <c r="P59" s="14" t="n">
        <v>1077.29088688143</v>
      </c>
      <c r="Q59" s="14" t="n">
        <v>15502.3820132513</v>
      </c>
      <c r="R59" s="14" t="n">
        <v>20981.3466623153</v>
      </c>
      <c r="S59" s="14" t="n">
        <v>29696.7644890868</v>
      </c>
      <c r="T59" s="14" t="n">
        <v>-657.111232504814</v>
      </c>
      <c r="U59" s="14" t="n">
        <v>367055.271050532</v>
      </c>
      <c r="V59" s="14" t="n">
        <v>0.953955874711187</v>
      </c>
      <c r="W59" s="14" t="n">
        <v>346239.098263524</v>
      </c>
      <c r="X59" s="14" t="n">
        <v>22283.3325281654</v>
      </c>
      <c r="Y59" s="14" t="n">
        <v>998.226541205337</v>
      </c>
      <c r="Z59" s="14" t="n">
        <v>1325.17785422378</v>
      </c>
      <c r="AA59" s="14" t="n">
        <v>43.041696075</v>
      </c>
      <c r="AB59" s="14" t="n">
        <v>40.641696075</v>
      </c>
      <c r="AC59" s="14" t="n">
        <v>42.291696075</v>
      </c>
      <c r="AD59" s="14" t="n">
        <v>33.8688756</v>
      </c>
      <c r="AE59" s="14" t="n">
        <v>669.55407859628</v>
      </c>
      <c r="AF59" s="14" t="n">
        <v>0.035</v>
      </c>
      <c r="AG59" s="14" t="n">
        <v>0.762365543905052</v>
      </c>
      <c r="AH59" s="14" t="n">
        <v>7002.76007485839</v>
      </c>
      <c r="AI59" s="14" t="n">
        <v>37234.0577876758</v>
      </c>
      <c r="AJ59" s="14" t="n">
        <v>26.8359375</v>
      </c>
      <c r="AK59" s="14" t="n">
        <v>0</v>
      </c>
      <c r="AL59" s="14" t="n">
        <v>-12269.67403822</v>
      </c>
      <c r="AM59" s="14" t="n">
        <v>909.833333333333</v>
      </c>
      <c r="AN59" s="14" t="n">
        <v>48826.7378892783</v>
      </c>
    </row>
    <row r="60" customFormat="false" ht="15" hidden="false" customHeight="false" outlineLevel="0" collapsed="false">
      <c r="A60" s="0" t="s">
        <v>234</v>
      </c>
      <c r="B60" s="14" t="n">
        <v>2027.3954725164</v>
      </c>
      <c r="C60" s="14" t="n">
        <v>3424.4744413531</v>
      </c>
      <c r="D60" s="14" t="n">
        <v>8488.65871901012</v>
      </c>
      <c r="E60" s="14" t="n">
        <v>1375.17060364541</v>
      </c>
      <c r="F60" s="14" t="n">
        <v>-3850.41273748842</v>
      </c>
      <c r="G60" s="14" t="n">
        <v>5088.60436347971</v>
      </c>
      <c r="H60" s="14" t="n">
        <v>-21541.1860088107</v>
      </c>
      <c r="I60" s="15" t="n">
        <v>0.01</v>
      </c>
      <c r="J60" s="15" t="n">
        <v>0.0115</v>
      </c>
      <c r="K60" s="14" t="s">
        <v>60</v>
      </c>
      <c r="L60" s="14" t="n">
        <v>-3758.99698091081</v>
      </c>
      <c r="M60" s="14" t="n">
        <v>15940.918617716</v>
      </c>
      <c r="N60" s="14" t="n">
        <v>3986.53119203715</v>
      </c>
      <c r="O60" s="14" t="n">
        <v>-18553.8994543544</v>
      </c>
      <c r="P60" s="14" t="n">
        <v>706.029009110945</v>
      </c>
      <c r="Q60" s="14" t="n">
        <v>-5338.37679651563</v>
      </c>
      <c r="R60" s="14" t="n">
        <v>14202.2145020429</v>
      </c>
      <c r="S60" s="14" t="n">
        <v>20734.3222188246</v>
      </c>
      <c r="T60" s="14" t="n">
        <v>-1455.06223763526</v>
      </c>
      <c r="U60" s="14" t="n">
        <v>-32044.7442370016</v>
      </c>
      <c r="V60" s="14" t="n">
        <v>0.953955874711187</v>
      </c>
      <c r="W60" s="14" t="n">
        <v>10265.1505361503</v>
      </c>
      <c r="X60" s="14" t="n">
        <v>6658.88972559974</v>
      </c>
      <c r="Y60" s="14" t="n">
        <v>0.0107238052947636</v>
      </c>
      <c r="Z60" s="14" t="n">
        <v>0.01520875</v>
      </c>
      <c r="AA60" s="14" t="n">
        <v>22.27279275</v>
      </c>
      <c r="AB60" s="14" t="n">
        <v>18.89779275</v>
      </c>
      <c r="AC60" s="14" t="n">
        <v>21.52279275</v>
      </c>
      <c r="AD60" s="14" t="n">
        <v>17.526132</v>
      </c>
      <c r="AE60" s="14" t="n">
        <v>516.01034159234</v>
      </c>
      <c r="AF60" s="14" t="n">
        <v>0.02</v>
      </c>
      <c r="AG60" s="14" t="n">
        <v>0.535074431986399</v>
      </c>
      <c r="AH60" s="14" t="n">
        <v>9373.59494576528</v>
      </c>
      <c r="AI60" s="14" t="n">
        <v>8488.65871901012</v>
      </c>
      <c r="AJ60" s="14" t="n">
        <v>18.2126936853904</v>
      </c>
      <c r="AK60" s="14" t="n">
        <v>0</v>
      </c>
      <c r="AL60" s="14" t="n">
        <v>-31262.3400586268</v>
      </c>
      <c r="AM60" s="14" t="n">
        <v>396.288888888889</v>
      </c>
      <c r="AN60" s="14" t="n">
        <v>15971.1630776632</v>
      </c>
    </row>
    <row r="61" customFormat="false" ht="15" hidden="false" customHeight="false" outlineLevel="0" collapsed="false">
      <c r="A61" s="0" t="s">
        <v>2202</v>
      </c>
      <c r="B61" s="14" t="n">
        <v>2400.63703930642</v>
      </c>
      <c r="C61" s="14" t="n">
        <v>8242.01885850092</v>
      </c>
      <c r="D61" s="14" t="n">
        <v>22266.6123981889</v>
      </c>
      <c r="E61" s="14" t="n">
        <v>4575.85815565856</v>
      </c>
      <c r="F61" s="14" t="n">
        <v>-667.537379064514</v>
      </c>
      <c r="G61" s="14" t="n">
        <v>4913.71478038304</v>
      </c>
      <c r="H61" s="14" t="n">
        <v>45499.7639351377</v>
      </c>
      <c r="I61" s="15" t="n">
        <v>117.214235706105</v>
      </c>
      <c r="J61" s="15" t="n">
        <v>132.452086347899</v>
      </c>
      <c r="K61" s="14" t="s">
        <v>50</v>
      </c>
      <c r="L61" s="14" t="n">
        <v>-4456.76170039065</v>
      </c>
      <c r="M61" s="14" t="n">
        <v>27831.14037717</v>
      </c>
      <c r="N61" s="14" t="n">
        <v>14579.6260754622</v>
      </c>
      <c r="O61" s="14" t="n">
        <v>-11256.2011969825</v>
      </c>
      <c r="P61" s="14" t="n">
        <v>957.718280630184</v>
      </c>
      <c r="Q61" s="14" t="n">
        <v>4017.7676769998</v>
      </c>
      <c r="R61" s="14" t="n">
        <v>12977.3867407861</v>
      </c>
      <c r="S61" s="14" t="n">
        <v>24643.7322479638</v>
      </c>
      <c r="T61" s="14" t="n">
        <v>-1013.50365040178</v>
      </c>
      <c r="U61" s="14" t="n">
        <v>37504.9489180881</v>
      </c>
      <c r="V61" s="14" t="n">
        <v>0.919988787970092</v>
      </c>
      <c r="W61" s="14" t="n">
        <v>66959.5998803829</v>
      </c>
      <c r="X61" s="14" t="n">
        <v>25666.488695079</v>
      </c>
      <c r="Y61" s="14" t="n">
        <v>124.600441688415</v>
      </c>
      <c r="Z61" s="14" t="n">
        <v>169.128069057632</v>
      </c>
      <c r="AA61" s="14" t="n">
        <v>33.6257962777954</v>
      </c>
      <c r="AB61" s="14" t="n">
        <v>30.8132962777954</v>
      </c>
      <c r="AC61" s="14" t="n">
        <v>33.6257962777954</v>
      </c>
      <c r="AD61" s="14" t="n">
        <v>26.4596429726914</v>
      </c>
      <c r="AE61" s="14" t="n">
        <v>650.542115888531</v>
      </c>
      <c r="AF61" s="14" t="n">
        <v>0.03</v>
      </c>
      <c r="AG61" s="14" t="n">
        <v>0.740304014796917</v>
      </c>
      <c r="AH61" s="14" t="n">
        <v>11212.0647125227</v>
      </c>
      <c r="AI61" s="14" t="n">
        <v>22266.6123981889</v>
      </c>
      <c r="AJ61" s="14" t="n">
        <v>22.7952741792209</v>
      </c>
      <c r="AK61" s="14" t="n">
        <v>0</v>
      </c>
      <c r="AL61" s="14" t="n">
        <v>-17345.6788533819</v>
      </c>
      <c r="AM61" s="14" t="n">
        <v>684.5</v>
      </c>
      <c r="AN61" s="14" t="n">
        <v>47143.3709088675</v>
      </c>
    </row>
    <row r="62" customFormat="false" ht="15" hidden="false" customHeight="false" outlineLevel="0" collapsed="false">
      <c r="A62" s="0" t="s">
        <v>2203</v>
      </c>
      <c r="B62" s="14" t="n">
        <v>2400.63703930642</v>
      </c>
      <c r="C62" s="14" t="n">
        <v>8242.01885850092</v>
      </c>
      <c r="D62" s="14" t="n">
        <v>22266.6123981889</v>
      </c>
      <c r="E62" s="14" t="n">
        <v>4606.04613482523</v>
      </c>
      <c r="F62" s="14" t="n">
        <v>-637.349399897847</v>
      </c>
      <c r="G62" s="14" t="n">
        <v>4913.71478038304</v>
      </c>
      <c r="H62" s="14" t="n">
        <v>48823.1672547518</v>
      </c>
      <c r="I62" s="15" t="n">
        <v>127.472733101188</v>
      </c>
      <c r="J62" s="15" t="n">
        <v>144.044188404343</v>
      </c>
      <c r="K62" s="14" t="s">
        <v>50</v>
      </c>
      <c r="L62" s="14" t="n">
        <v>-4408.08477405391</v>
      </c>
      <c r="M62" s="14" t="n">
        <v>27831.14037717</v>
      </c>
      <c r="N62" s="14" t="n">
        <v>14579.6260754622</v>
      </c>
      <c r="O62" s="14" t="n">
        <v>-11207.9686860633</v>
      </c>
      <c r="P62" s="14" t="n">
        <v>975.503588963517</v>
      </c>
      <c r="Q62" s="14" t="n">
        <v>4017.7676769998</v>
      </c>
      <c r="R62" s="14" t="n">
        <v>12977.3867407861</v>
      </c>
      <c r="S62" s="14" t="n">
        <v>24643.7322479638</v>
      </c>
      <c r="T62" s="14" t="n">
        <v>-995.718342068442</v>
      </c>
      <c r="U62" s="14" t="n">
        <v>40839.6499168688</v>
      </c>
      <c r="V62" s="14" t="n">
        <v>0.919988787970092</v>
      </c>
      <c r="W62" s="14" t="n">
        <v>68206.2081456691</v>
      </c>
      <c r="X62" s="14" t="n">
        <v>25511.238695079</v>
      </c>
      <c r="Y62" s="14" t="n">
        <v>135.505374001344</v>
      </c>
      <c r="Z62" s="14" t="n">
        <v>183.930024173505</v>
      </c>
      <c r="AA62" s="14" t="n">
        <v>33.6257962777954</v>
      </c>
      <c r="AB62" s="14" t="n">
        <v>30.8132962777954</v>
      </c>
      <c r="AC62" s="14" t="n">
        <v>33.6257962777954</v>
      </c>
      <c r="AD62" s="14" t="n">
        <v>26.4596429726914</v>
      </c>
      <c r="AE62" s="14" t="n">
        <v>650.542115888531</v>
      </c>
      <c r="AF62" s="14" t="n">
        <v>0.03</v>
      </c>
      <c r="AG62" s="14" t="n">
        <v>0.740304014796917</v>
      </c>
      <c r="AH62" s="14" t="n">
        <v>11229.9488755487</v>
      </c>
      <c r="AI62" s="14" t="n">
        <v>22266.6123981889</v>
      </c>
      <c r="AJ62" s="14" t="n">
        <v>22.7952741792209</v>
      </c>
      <c r="AK62" s="14" t="n">
        <v>0</v>
      </c>
      <c r="AL62" s="14" t="n">
        <v>-17297.8995527619</v>
      </c>
      <c r="AM62" s="14" t="n">
        <v>684.5</v>
      </c>
      <c r="AN62" s="14" t="n">
        <v>45150.9959088675</v>
      </c>
    </row>
    <row r="63" customFormat="false" ht="15" hidden="false" customHeight="false" outlineLevel="0" collapsed="false">
      <c r="A63" s="0" t="s">
        <v>2204</v>
      </c>
      <c r="B63" s="14" t="n">
        <v>2400.63703930642</v>
      </c>
      <c r="C63" s="14" t="n">
        <v>8242.01885850092</v>
      </c>
      <c r="D63" s="14" t="n">
        <v>22266.6123981889</v>
      </c>
      <c r="E63" s="14" t="n">
        <v>4606.04613482523</v>
      </c>
      <c r="F63" s="14" t="n">
        <v>-637.349399897847</v>
      </c>
      <c r="G63" s="14" t="n">
        <v>4913.71478038304</v>
      </c>
      <c r="H63" s="14" t="n">
        <v>102754.668733471</v>
      </c>
      <c r="I63" s="15" t="n">
        <v>277.208606888699</v>
      </c>
      <c r="J63" s="15" t="n">
        <v>313.24572578423</v>
      </c>
      <c r="K63" s="14" t="s">
        <v>50</v>
      </c>
      <c r="L63" s="14" t="n">
        <v>-4408.08477405391</v>
      </c>
      <c r="M63" s="14" t="n">
        <v>27831.14037717</v>
      </c>
      <c r="N63" s="14" t="n">
        <v>14579.6260754622</v>
      </c>
      <c r="O63" s="14" t="n">
        <v>-11207.9686860633</v>
      </c>
      <c r="P63" s="14" t="n">
        <v>975.503588963517</v>
      </c>
      <c r="Q63" s="14" t="n">
        <v>4017.7676769998</v>
      </c>
      <c r="R63" s="14" t="n">
        <v>12977.3867407861</v>
      </c>
      <c r="S63" s="14" t="n">
        <v>24643.7322479638</v>
      </c>
      <c r="T63" s="14" t="n">
        <v>-995.718342068442</v>
      </c>
      <c r="U63" s="14" t="n">
        <v>102437.498540885</v>
      </c>
      <c r="V63" s="14" t="n">
        <v>0.919988787970092</v>
      </c>
      <c r="W63" s="14" t="n">
        <v>122137.709624388</v>
      </c>
      <c r="X63" s="14" t="n">
        <v>25511.238695079</v>
      </c>
      <c r="Y63" s="14" t="n">
        <v>294.676791177191</v>
      </c>
      <c r="Z63" s="14" t="n">
        <v>399.983467253883</v>
      </c>
      <c r="AA63" s="14" t="n">
        <v>33.6257962777954</v>
      </c>
      <c r="AB63" s="14" t="n">
        <v>30.8132962777954</v>
      </c>
      <c r="AC63" s="14" t="n">
        <v>33.6257962777954</v>
      </c>
      <c r="AD63" s="14" t="n">
        <v>26.4596429726914</v>
      </c>
      <c r="AE63" s="14" t="n">
        <v>650.542115888531</v>
      </c>
      <c r="AF63" s="14" t="n">
        <v>0.03</v>
      </c>
      <c r="AG63" s="14" t="n">
        <v>0.740304014796917</v>
      </c>
      <c r="AH63" s="14" t="n">
        <v>11229.9488755487</v>
      </c>
      <c r="AI63" s="14" t="n">
        <v>22266.6123981889</v>
      </c>
      <c r="AJ63" s="14" t="n">
        <v>22.7952741792209</v>
      </c>
      <c r="AK63" s="14" t="n">
        <v>0</v>
      </c>
      <c r="AL63" s="14" t="n">
        <v>-17297.8995527619</v>
      </c>
      <c r="AM63" s="14" t="n">
        <v>684.5</v>
      </c>
      <c r="AN63" s="14" t="n">
        <v>45150.9959088675</v>
      </c>
    </row>
    <row r="64" customFormat="false" ht="15" hidden="false" customHeight="false" outlineLevel="0" collapsed="false">
      <c r="A64" s="0" t="s">
        <v>2205</v>
      </c>
      <c r="B64" s="14" t="n">
        <v>2400.63703930642</v>
      </c>
      <c r="C64" s="14" t="n">
        <v>8242.01885850092</v>
      </c>
      <c r="D64" s="14" t="n">
        <v>22266.6123981889</v>
      </c>
      <c r="E64" s="14" t="n">
        <v>4606.04613482523</v>
      </c>
      <c r="F64" s="14" t="n">
        <v>-637.349399897847</v>
      </c>
      <c r="G64" s="14" t="n">
        <v>4913.71478038304</v>
      </c>
      <c r="H64" s="14" t="n">
        <v>102754.668733471</v>
      </c>
      <c r="I64" s="15" t="n">
        <v>277.208606888699</v>
      </c>
      <c r="J64" s="15" t="n">
        <v>313.24572578423</v>
      </c>
      <c r="K64" s="14" t="s">
        <v>50</v>
      </c>
      <c r="L64" s="14" t="n">
        <v>-4408.08477405391</v>
      </c>
      <c r="M64" s="14" t="n">
        <v>27831.14037717</v>
      </c>
      <c r="N64" s="14" t="n">
        <v>14579.6260754622</v>
      </c>
      <c r="O64" s="14" t="n">
        <v>-11207.9686860633</v>
      </c>
      <c r="P64" s="14" t="n">
        <v>975.503588963517</v>
      </c>
      <c r="Q64" s="14" t="n">
        <v>4017.7676769998</v>
      </c>
      <c r="R64" s="14" t="n">
        <v>12977.3867407861</v>
      </c>
      <c r="S64" s="14" t="n">
        <v>24643.7322479638</v>
      </c>
      <c r="T64" s="14" t="n">
        <v>-995.718342068442</v>
      </c>
      <c r="U64" s="14" t="n">
        <v>102437.498540885</v>
      </c>
      <c r="V64" s="14" t="n">
        <v>0.919988787970092</v>
      </c>
      <c r="W64" s="14" t="n">
        <v>122137.709624388</v>
      </c>
      <c r="X64" s="14" t="n">
        <v>25511.238695079</v>
      </c>
      <c r="Y64" s="14" t="n">
        <v>294.676791177191</v>
      </c>
      <c r="Z64" s="14" t="n">
        <v>399.983467253883</v>
      </c>
      <c r="AA64" s="14" t="n">
        <v>33.6257962777954</v>
      </c>
      <c r="AB64" s="14" t="n">
        <v>30.8132962777954</v>
      </c>
      <c r="AC64" s="14" t="n">
        <v>33.6257962777954</v>
      </c>
      <c r="AD64" s="14" t="n">
        <v>26.4596429726914</v>
      </c>
      <c r="AE64" s="14" t="n">
        <v>650.542115888531</v>
      </c>
      <c r="AF64" s="14" t="n">
        <v>0.03</v>
      </c>
      <c r="AG64" s="14" t="n">
        <v>0.740304014796917</v>
      </c>
      <c r="AH64" s="14" t="n">
        <v>11229.9488755487</v>
      </c>
      <c r="AI64" s="14" t="n">
        <v>22266.6123981889</v>
      </c>
      <c r="AJ64" s="14" t="n">
        <v>22.7952741792209</v>
      </c>
      <c r="AK64" s="14" t="n">
        <v>0</v>
      </c>
      <c r="AL64" s="14" t="n">
        <v>-17297.8995527619</v>
      </c>
      <c r="AM64" s="14" t="n">
        <v>684.5</v>
      </c>
      <c r="AN64" s="14" t="n">
        <v>45150.9959088675</v>
      </c>
    </row>
    <row r="65" customFormat="false" ht="15" hidden="false" customHeight="false" outlineLevel="0" collapsed="false">
      <c r="A65" s="0" t="s">
        <v>2206</v>
      </c>
      <c r="B65" s="14" t="n">
        <v>2400.63703930642</v>
      </c>
      <c r="C65" s="14" t="n">
        <v>8242.01885850092</v>
      </c>
      <c r="D65" s="14" t="n">
        <v>22266.6123981889</v>
      </c>
      <c r="E65" s="14" t="n">
        <v>4517.47256608134</v>
      </c>
      <c r="F65" s="14" t="n">
        <v>-725.922968641732</v>
      </c>
      <c r="G65" s="14" t="n">
        <v>4913.71478038304</v>
      </c>
      <c r="H65" s="14" t="n">
        <v>91634.0484815768</v>
      </c>
      <c r="I65" s="15" t="n">
        <v>247.257811796192</v>
      </c>
      <c r="J65" s="15" t="n">
        <v>279.401327329697</v>
      </c>
      <c r="K65" s="14" t="s">
        <v>50</v>
      </c>
      <c r="L65" s="14" t="n">
        <v>-4518.47497945888</v>
      </c>
      <c r="M65" s="14" t="n">
        <v>27831.14037717</v>
      </c>
      <c r="N65" s="14" t="n">
        <v>14200.6767563719</v>
      </c>
      <c r="O65" s="14" t="n">
        <v>-11597.9091773808</v>
      </c>
      <c r="P65" s="14" t="n">
        <v>954.629428633757</v>
      </c>
      <c r="Q65" s="14" t="n">
        <v>3638.81835790949</v>
      </c>
      <c r="R65" s="14" t="n">
        <v>12977.3867407861</v>
      </c>
      <c r="S65" s="14" t="n">
        <v>24643.7322479638</v>
      </c>
      <c r="T65" s="14" t="n">
        <v>-1016.5925023982</v>
      </c>
      <c r="U65" s="14" t="n">
        <v>91305.1538914014</v>
      </c>
      <c r="V65" s="14" t="n">
        <v>0.919988787970092</v>
      </c>
      <c r="W65" s="14" t="n">
        <v>112366.444870315</v>
      </c>
      <c r="X65" s="14" t="n">
        <v>25511.238695079</v>
      </c>
      <c r="Y65" s="14" t="n">
        <v>262.838659273123</v>
      </c>
      <c r="Z65" s="14" t="n">
        <v>356.767554867291</v>
      </c>
      <c r="AA65" s="14" t="n">
        <v>33.6257962777954</v>
      </c>
      <c r="AB65" s="14" t="n">
        <v>30.8132962777954</v>
      </c>
      <c r="AC65" s="14" t="n">
        <v>32.8757962777954</v>
      </c>
      <c r="AD65" s="14" t="n">
        <v>26.4596429726914</v>
      </c>
      <c r="AE65" s="14" t="n">
        <v>650.542115888531</v>
      </c>
      <c r="AF65" s="14" t="n">
        <v>0.03</v>
      </c>
      <c r="AG65" s="14" t="n">
        <v>0.71535211160041</v>
      </c>
      <c r="AH65" s="14" t="n">
        <v>11208.9721267401</v>
      </c>
      <c r="AI65" s="14" t="n">
        <v>22266.6123981889</v>
      </c>
      <c r="AJ65" s="14" t="n">
        <v>22.7952741792209</v>
      </c>
      <c r="AK65" s="14" t="n">
        <v>0</v>
      </c>
      <c r="AL65" s="14" t="n">
        <v>-18264.5912025311</v>
      </c>
      <c r="AM65" s="14" t="n">
        <v>684.5</v>
      </c>
      <c r="AN65" s="14" t="n">
        <v>45150.9959088675</v>
      </c>
    </row>
    <row r="66" customFormat="false" ht="15" hidden="false" customHeight="false" outlineLevel="0" collapsed="false">
      <c r="A66" s="0" t="s">
        <v>2207</v>
      </c>
      <c r="B66" s="14" t="n">
        <v>2425.32952419152</v>
      </c>
      <c r="C66" s="14" t="n">
        <v>8517.51527302704</v>
      </c>
      <c r="D66" s="14" t="n">
        <v>22648.7362066291</v>
      </c>
      <c r="E66" s="14" t="n">
        <v>4713.07502039488</v>
      </c>
      <c r="F66" s="14" t="n">
        <v>-541.975637212287</v>
      </c>
      <c r="G66" s="14" t="n">
        <v>4914.35004668609</v>
      </c>
      <c r="H66" s="14" t="n">
        <v>102450.805036379</v>
      </c>
      <c r="I66" s="15" t="n">
        <v>276.363924879488</v>
      </c>
      <c r="J66" s="15" t="n">
        <v>312.291235113822</v>
      </c>
      <c r="K66" s="14" t="s">
        <v>50</v>
      </c>
      <c r="L66" s="14" t="n">
        <v>-4310.06657295393</v>
      </c>
      <c r="M66" s="14" t="n">
        <v>27836.6503054605</v>
      </c>
      <c r="N66" s="14" t="n">
        <v>14491.0908507865</v>
      </c>
      <c r="O66" s="14" t="n">
        <v>-11177.2847632267</v>
      </c>
      <c r="P66" s="14" t="n">
        <v>969.691844413664</v>
      </c>
      <c r="Q66" s="14" t="n">
        <v>3912.45861154431</v>
      </c>
      <c r="R66" s="14" t="n">
        <v>12977.8805904838</v>
      </c>
      <c r="S66" s="14" t="n">
        <v>24651.3747241326</v>
      </c>
      <c r="T66" s="14" t="n">
        <v>-1002.52051331955</v>
      </c>
      <c r="U66" s="14" t="n">
        <v>102123.540556908</v>
      </c>
      <c r="V66" s="14" t="n">
        <v>0.953955874711187</v>
      </c>
      <c r="W66" s="14" t="n">
        <v>121720.111635619</v>
      </c>
      <c r="X66" s="14" t="n">
        <v>25545.4486130284</v>
      </c>
      <c r="Y66" s="14" t="n">
        <v>293.77888188486</v>
      </c>
      <c r="Z66" s="14" t="n">
        <v>398.764678116839</v>
      </c>
      <c r="AA66" s="14" t="n">
        <v>34.8673009068098</v>
      </c>
      <c r="AB66" s="14" t="n">
        <v>32.0548009068098</v>
      </c>
      <c r="AC66" s="14" t="n">
        <v>34.1173009068098</v>
      </c>
      <c r="AD66" s="14" t="n">
        <v>27.4365646479815</v>
      </c>
      <c r="AE66" s="14" t="n">
        <v>653.269421736173</v>
      </c>
      <c r="AF66" s="14" t="n">
        <v>0.03</v>
      </c>
      <c r="AG66" s="14" t="n">
        <v>0.718286314065127</v>
      </c>
      <c r="AH66" s="14" t="n">
        <v>11223.7433384033</v>
      </c>
      <c r="AI66" s="14" t="n">
        <v>22648.7362066291</v>
      </c>
      <c r="AJ66" s="14" t="n">
        <v>22.7952741792209</v>
      </c>
      <c r="AK66" s="14" t="n">
        <v>0</v>
      </c>
      <c r="AL66" s="14" t="n">
        <v>-17221.4900036</v>
      </c>
      <c r="AM66" s="14" t="n">
        <v>684.5</v>
      </c>
      <c r="AN66" s="14" t="n">
        <v>45176.7227372766</v>
      </c>
    </row>
    <row r="67" customFormat="false" ht="15" hidden="false" customHeight="false" outlineLevel="0" collapsed="false">
      <c r="A67" s="0" t="s">
        <v>2208</v>
      </c>
      <c r="B67" s="14" t="n">
        <v>2425.32952419152</v>
      </c>
      <c r="C67" s="14" t="n">
        <v>8517.51527302704</v>
      </c>
      <c r="D67" s="14" t="n">
        <v>22648.7362066291</v>
      </c>
      <c r="E67" s="14" t="n">
        <v>4713.07502039488</v>
      </c>
      <c r="F67" s="14" t="n">
        <v>-541.975637212287</v>
      </c>
      <c r="G67" s="14" t="n">
        <v>4914.35004668609</v>
      </c>
      <c r="H67" s="14" t="n">
        <v>86363.8708865432</v>
      </c>
      <c r="I67" s="15" t="n">
        <v>233.083153078132</v>
      </c>
      <c r="J67" s="15" t="n">
        <v>263.383962978289</v>
      </c>
      <c r="K67" s="14" t="s">
        <v>50</v>
      </c>
      <c r="L67" s="14" t="n">
        <v>-4310.06657295393</v>
      </c>
      <c r="M67" s="14" t="n">
        <v>27836.6503054605</v>
      </c>
      <c r="N67" s="14" t="n">
        <v>14491.0908507865</v>
      </c>
      <c r="O67" s="14" t="n">
        <v>-11177.2847632267</v>
      </c>
      <c r="P67" s="14" t="n">
        <v>969.691844413664</v>
      </c>
      <c r="Q67" s="14" t="n">
        <v>3912.45861154431</v>
      </c>
      <c r="R67" s="14" t="n">
        <v>12977.8805904838</v>
      </c>
      <c r="S67" s="14" t="n">
        <v>24651.3747241326</v>
      </c>
      <c r="T67" s="14" t="n">
        <v>-1002.52051331955</v>
      </c>
      <c r="U67" s="14" t="n">
        <v>86036.6064070728</v>
      </c>
      <c r="V67" s="14" t="n">
        <v>0.953955874711187</v>
      </c>
      <c r="W67" s="14" t="n">
        <v>97674.9283579183</v>
      </c>
      <c r="X67" s="14" t="n">
        <v>21839.9186130284</v>
      </c>
      <c r="Y67" s="14" t="n">
        <v>247.770790371249</v>
      </c>
      <c r="Z67" s="14" t="n">
        <v>336.314982326977</v>
      </c>
      <c r="AA67" s="14" t="n">
        <v>34.8673009068098</v>
      </c>
      <c r="AB67" s="14" t="n">
        <v>32.0548009068098</v>
      </c>
      <c r="AC67" s="14" t="n">
        <v>34.1173009068098</v>
      </c>
      <c r="AD67" s="14" t="n">
        <v>27.4365646479815</v>
      </c>
      <c r="AE67" s="14" t="n">
        <v>653.269421736173</v>
      </c>
      <c r="AF67" s="14" t="n">
        <v>0.03</v>
      </c>
      <c r="AG67" s="14" t="n">
        <v>0.718286314065127</v>
      </c>
      <c r="AH67" s="14" t="n">
        <v>11223.7433384033</v>
      </c>
      <c r="AI67" s="14" t="n">
        <v>22648.7362066291</v>
      </c>
      <c r="AJ67" s="14" t="n">
        <v>22.7952741792209</v>
      </c>
      <c r="AK67" s="14" t="n">
        <v>0</v>
      </c>
      <c r="AL67" s="14" t="n">
        <v>-17221.4900036</v>
      </c>
      <c r="AM67" s="14" t="n">
        <v>684.5</v>
      </c>
      <c r="AN67" s="14" t="n">
        <v>37561.4227372766</v>
      </c>
    </row>
    <row r="68" customFormat="false" ht="15" hidden="false" customHeight="false" outlineLevel="0" collapsed="false">
      <c r="A68" s="0" t="s">
        <v>232</v>
      </c>
      <c r="B68" s="14" t="n">
        <v>2425.32952419152</v>
      </c>
      <c r="C68" s="14" t="n">
        <v>8517.51527302704</v>
      </c>
      <c r="D68" s="14" t="n">
        <v>22648.7362066291</v>
      </c>
      <c r="E68" s="14" t="n">
        <v>4713.07502039488</v>
      </c>
      <c r="F68" s="14" t="n">
        <v>399.264362787713</v>
      </c>
      <c r="G68" s="14" t="n">
        <v>3973.11004668609</v>
      </c>
      <c r="H68" s="14" t="n">
        <v>94115.9266440129</v>
      </c>
      <c r="I68" s="15" t="n">
        <v>248.19386831554</v>
      </c>
      <c r="J68" s="15" t="n">
        <v>280.459071196561</v>
      </c>
      <c r="K68" s="14" t="s">
        <v>58</v>
      </c>
      <c r="L68" s="14" t="n">
        <v>-7264.86916034205</v>
      </c>
      <c r="M68" s="14" t="n">
        <v>25870.4503054605</v>
      </c>
      <c r="N68" s="14" t="n">
        <v>14491.0908507865</v>
      </c>
      <c r="O68" s="14" t="n">
        <v>-16281.8498127622</v>
      </c>
      <c r="P68" s="14" t="n">
        <v>969.691844413664</v>
      </c>
      <c r="Q68" s="14" t="n">
        <v>4853.69861154431</v>
      </c>
      <c r="R68" s="14" t="n">
        <v>18130.8805904838</v>
      </c>
      <c r="S68" s="14" t="n">
        <v>27426.3747241326</v>
      </c>
      <c r="T68" s="14" t="n">
        <v>-935.920513319546</v>
      </c>
      <c r="U68" s="14" t="n">
        <v>91653.0746645425</v>
      </c>
      <c r="V68" s="14" t="n">
        <v>0.953955874711187</v>
      </c>
      <c r="W68" s="14" t="n">
        <v>103661.789904876</v>
      </c>
      <c r="X68" s="14" t="n">
        <v>20844.2022130284</v>
      </c>
      <c r="Y68" s="14" t="n">
        <v>263.833701002086</v>
      </c>
      <c r="Z68" s="14" t="n">
        <v>358.118188010888</v>
      </c>
      <c r="AA68" s="14" t="n">
        <v>34.8673009068098</v>
      </c>
      <c r="AB68" s="14" t="n">
        <v>32.0548009068098</v>
      </c>
      <c r="AC68" s="14" t="n">
        <v>34.1173009068098</v>
      </c>
      <c r="AD68" s="14" t="n">
        <v>27.4365646479815</v>
      </c>
      <c r="AE68" s="14" t="n">
        <v>653.269421736173</v>
      </c>
      <c r="AF68" s="14" t="n">
        <v>0.03</v>
      </c>
      <c r="AG68" s="14" t="n">
        <v>0.718286314065127</v>
      </c>
      <c r="AH68" s="14" t="n">
        <v>7924.5525727783</v>
      </c>
      <c r="AI68" s="14" t="n">
        <v>22648.7362066291</v>
      </c>
      <c r="AJ68" s="14" t="n">
        <v>22.7952741792209</v>
      </c>
      <c r="AK68" s="14" t="n">
        <v>0</v>
      </c>
      <c r="AL68" s="14" t="n">
        <v>-21399.7713821137</v>
      </c>
      <c r="AM68" s="14" t="n">
        <v>684.5</v>
      </c>
      <c r="AN68" s="14" t="n">
        <v>35749.5357372766</v>
      </c>
    </row>
    <row r="69" customFormat="false" ht="15" hidden="false" customHeight="false" outlineLevel="0" collapsed="false">
      <c r="A69" s="0" t="s">
        <v>2209</v>
      </c>
      <c r="B69" s="14" t="n">
        <v>2425.32952419152</v>
      </c>
      <c r="C69" s="14" t="n">
        <v>8517.51527302704</v>
      </c>
      <c r="D69" s="14" t="n">
        <v>22648.7362066291</v>
      </c>
      <c r="E69" s="14" t="n">
        <v>4713.07502039488</v>
      </c>
      <c r="F69" s="14" t="n">
        <v>-275.575637212287</v>
      </c>
      <c r="G69" s="14" t="n">
        <v>4647.95004668609</v>
      </c>
      <c r="H69" s="14" t="n">
        <v>87921.5212564282</v>
      </c>
      <c r="I69" s="15" t="n">
        <v>233.708704629865</v>
      </c>
      <c r="J69" s="15" t="n">
        <v>264.090836231747</v>
      </c>
      <c r="K69" s="14" t="s">
        <v>60</v>
      </c>
      <c r="L69" s="14" t="n">
        <v>-7160.9335370009</v>
      </c>
      <c r="M69" s="14" t="n">
        <v>27457.1503054605</v>
      </c>
      <c r="N69" s="14" t="n">
        <v>14491.0908507865</v>
      </c>
      <c r="O69" s="14" t="n">
        <v>-13845.3044348716</v>
      </c>
      <c r="P69" s="14" t="n">
        <v>969.691844413664</v>
      </c>
      <c r="Q69" s="14" t="n">
        <v>4178.85861154431</v>
      </c>
      <c r="R69" s="14" t="n">
        <v>16720.3805904838</v>
      </c>
      <c r="S69" s="14" t="n">
        <v>23736.3747241326</v>
      </c>
      <c r="T69" s="14" t="n">
        <v>-935.920513319546</v>
      </c>
      <c r="U69" s="14" t="n">
        <v>86269.1162769578</v>
      </c>
      <c r="V69" s="14" t="n">
        <v>0.953955874711187</v>
      </c>
      <c r="W69" s="14" t="n">
        <v>99357.8925872735</v>
      </c>
      <c r="X69" s="14" t="n">
        <v>21559.5326130284</v>
      </c>
      <c r="Y69" s="14" t="n">
        <v>248.43576079208</v>
      </c>
      <c r="Z69" s="14" t="n">
        <v>337.217588784318</v>
      </c>
      <c r="AA69" s="14" t="n">
        <v>34.8673009068098</v>
      </c>
      <c r="AB69" s="14" t="n">
        <v>32.0548009068098</v>
      </c>
      <c r="AC69" s="14" t="n">
        <v>34.1173009068098</v>
      </c>
      <c r="AD69" s="14" t="n">
        <v>27.4365646479815</v>
      </c>
      <c r="AE69" s="14" t="n">
        <v>653.269421736173</v>
      </c>
      <c r="AF69" s="14" t="n">
        <v>0.03</v>
      </c>
      <c r="AG69" s="14" t="n">
        <v>0.718286314065127</v>
      </c>
      <c r="AH69" s="14" t="n">
        <v>8841.38090069497</v>
      </c>
      <c r="AI69" s="14" t="n">
        <v>22648.7362066291</v>
      </c>
      <c r="AJ69" s="14" t="n">
        <v>22.7952741792209</v>
      </c>
      <c r="AK69" s="14" t="n">
        <v>0</v>
      </c>
      <c r="AL69" s="14" t="n">
        <v>-22308.99921176</v>
      </c>
      <c r="AM69" s="14" t="n">
        <v>684.5</v>
      </c>
      <c r="AN69" s="14" t="n">
        <v>37048.6027372766</v>
      </c>
    </row>
    <row r="70" customFormat="false" ht="15" hidden="false" customHeight="false" outlineLevel="0" collapsed="false">
      <c r="A70" s="0" t="s">
        <v>2210</v>
      </c>
      <c r="B70" s="14" t="n">
        <v>2425.32952419152</v>
      </c>
      <c r="C70" s="14" t="n">
        <v>8102.58408534655</v>
      </c>
      <c r="D70" s="14" t="n">
        <v>22384.5389654596</v>
      </c>
      <c r="E70" s="14" t="n">
        <v>4418.47387714174</v>
      </c>
      <c r="F70" s="14" t="n">
        <v>-553.300051730292</v>
      </c>
      <c r="G70" s="14" t="n">
        <v>4647.67056545817</v>
      </c>
      <c r="H70" s="14" t="n">
        <v>94973.210940963</v>
      </c>
      <c r="I70" s="15" t="n">
        <v>252.680782790168</v>
      </c>
      <c r="J70" s="15" t="n">
        <v>285.52928455289</v>
      </c>
      <c r="K70" s="14" t="s">
        <v>60</v>
      </c>
      <c r="L70" s="14" t="n">
        <v>-7450.325523597</v>
      </c>
      <c r="M70" s="14" t="n">
        <v>27448.8516817069</v>
      </c>
      <c r="N70" s="14" t="n">
        <v>14290.3009474976</v>
      </c>
      <c r="O70" s="14" t="n">
        <v>-14278.928943062</v>
      </c>
      <c r="P70" s="14" t="n">
        <v>969.691844413664</v>
      </c>
      <c r="Q70" s="14" t="n">
        <v>3990.98886644163</v>
      </c>
      <c r="R70" s="14" t="n">
        <v>16720.3805904838</v>
      </c>
      <c r="S70" s="14" t="n">
        <v>23731.0907793092</v>
      </c>
      <c r="T70" s="14" t="n">
        <v>-935.920513319546</v>
      </c>
      <c r="U70" s="14" t="n">
        <v>93320.8059614926</v>
      </c>
      <c r="V70" s="14" t="n">
        <v>0.953955874711187</v>
      </c>
      <c r="W70" s="14" t="n">
        <v>105966.649685657</v>
      </c>
      <c r="X70" s="14" t="n">
        <v>21588.1963360117</v>
      </c>
      <c r="Y70" s="14" t="n">
        <v>268.603356513542</v>
      </c>
      <c r="Z70" s="14" t="n">
        <v>364.592343445585</v>
      </c>
      <c r="AA70" s="14" t="n">
        <v>34.8673009068098</v>
      </c>
      <c r="AB70" s="14" t="n">
        <v>32.0548009068098</v>
      </c>
      <c r="AC70" s="14" t="n">
        <v>34.1173009068098</v>
      </c>
      <c r="AD70" s="14" t="n">
        <v>27.4365646479815</v>
      </c>
      <c r="AE70" s="14" t="n">
        <v>653.269421736173</v>
      </c>
      <c r="AF70" s="14" t="n">
        <v>0.03</v>
      </c>
      <c r="AG70" s="14" t="n">
        <v>0.720643228644756</v>
      </c>
      <c r="AH70" s="14" t="n">
        <v>8841.38090069497</v>
      </c>
      <c r="AI70" s="14" t="n">
        <v>22384.5389654596</v>
      </c>
      <c r="AJ70" s="14" t="n">
        <v>22.221</v>
      </c>
      <c r="AK70" s="14" t="n">
        <v>0</v>
      </c>
      <c r="AL70" s="14" t="n">
        <v>-22516.6719720521</v>
      </c>
      <c r="AM70" s="14" t="n">
        <v>684.5</v>
      </c>
      <c r="AN70" s="14" t="n">
        <v>37058.5514176057</v>
      </c>
    </row>
    <row r="71" customFormat="false" ht="15" hidden="false" customHeight="false" outlineLevel="0" collapsed="false">
      <c r="A71" s="0" t="s">
        <v>2211</v>
      </c>
      <c r="B71" s="14" t="n">
        <v>2425.32952419152</v>
      </c>
      <c r="C71" s="14" t="n">
        <v>8140.65856246629</v>
      </c>
      <c r="D71" s="14" t="n">
        <v>24633.6289824031</v>
      </c>
      <c r="E71" s="14" t="n">
        <v>4445.50675589675</v>
      </c>
      <c r="F71" s="14" t="n">
        <v>-527.820309286511</v>
      </c>
      <c r="G71" s="14" t="n">
        <v>4647.70072268461</v>
      </c>
      <c r="H71" s="14" t="n">
        <v>153790.606759039</v>
      </c>
      <c r="I71" s="15" t="n">
        <v>406.650478460103</v>
      </c>
      <c r="J71" s="15" t="n">
        <v>459.515040659916</v>
      </c>
      <c r="K71" s="14" t="s">
        <v>60</v>
      </c>
      <c r="L71" s="14" t="n">
        <v>-7423.77977623466</v>
      </c>
      <c r="M71" s="14" t="n">
        <v>27449.6131712493</v>
      </c>
      <c r="N71" s="14" t="n">
        <v>15999.6093603747</v>
      </c>
      <c r="O71" s="14" t="n">
        <v>-12992.5185861983</v>
      </c>
      <c r="P71" s="14" t="n">
        <v>969.691844413664</v>
      </c>
      <c r="Q71" s="14" t="n">
        <v>5607.90957244398</v>
      </c>
      <c r="R71" s="14" t="n">
        <v>16720.3805904838</v>
      </c>
      <c r="S71" s="14" t="n">
        <v>23776.0725796481</v>
      </c>
      <c r="T71" s="14" t="n">
        <v>-935.920513319546</v>
      </c>
      <c r="U71" s="14" t="n">
        <v>157906.032387867</v>
      </c>
      <c r="V71" s="14" t="n">
        <v>0.953955874711187</v>
      </c>
      <c r="W71" s="14" t="n">
        <v>157013.820806255</v>
      </c>
      <c r="X71" s="14" t="n">
        <v>21809.2435106719</v>
      </c>
      <c r="Y71" s="14" t="n">
        <v>432.275388084921</v>
      </c>
      <c r="Z71" s="14" t="n">
        <v>586.754755418647</v>
      </c>
      <c r="AA71" s="14" t="n">
        <v>34.8673009068098</v>
      </c>
      <c r="AB71" s="14" t="n">
        <v>32.0548009068098</v>
      </c>
      <c r="AC71" s="14" t="n">
        <v>34.1173009068098</v>
      </c>
      <c r="AD71" s="14" t="n">
        <v>34.8673009068098</v>
      </c>
      <c r="AE71" s="14" t="n">
        <v>653.269421736173</v>
      </c>
      <c r="AF71" s="14" t="n">
        <v>0.03</v>
      </c>
      <c r="AG71" s="14" t="n">
        <v>0.735279083404202</v>
      </c>
      <c r="AH71" s="14" t="n">
        <v>8841.38090069497</v>
      </c>
      <c r="AI71" s="14" t="n">
        <v>24633.6289824031</v>
      </c>
      <c r="AJ71" s="14" t="n">
        <v>22.221</v>
      </c>
      <c r="AK71" s="14" t="n">
        <v>0</v>
      </c>
      <c r="AL71" s="14" t="n">
        <v>-18824.5396074087</v>
      </c>
      <c r="AM71" s="14" t="n">
        <v>684.5</v>
      </c>
      <c r="AN71" s="14" t="n">
        <v>37202.1645544491</v>
      </c>
    </row>
    <row r="72" customFormat="false" ht="15" hidden="false" customHeight="false" outlineLevel="0" collapsed="false">
      <c r="A72" s="0" t="s">
        <v>2212</v>
      </c>
      <c r="B72" s="14" t="n">
        <v>2425.32952419152</v>
      </c>
      <c r="C72" s="14" t="n">
        <v>8140.65856246629</v>
      </c>
      <c r="D72" s="14" t="n">
        <v>24633.6289824031</v>
      </c>
      <c r="E72" s="14" t="n">
        <v>4447.42081839675</v>
      </c>
      <c r="F72" s="14" t="n">
        <v>-525.906246786511</v>
      </c>
      <c r="G72" s="14" t="n">
        <v>4647.70072268461</v>
      </c>
      <c r="H72" s="14" t="n">
        <v>154026.218338665</v>
      </c>
      <c r="I72" s="15" t="n">
        <v>407.254954129421</v>
      </c>
      <c r="J72" s="15" t="n">
        <v>460.198098166245</v>
      </c>
      <c r="K72" s="14" t="s">
        <v>60</v>
      </c>
      <c r="L72" s="14" t="n">
        <v>-7421.86571373466</v>
      </c>
      <c r="M72" s="14" t="n">
        <v>27449.6131712493</v>
      </c>
      <c r="N72" s="14" t="n">
        <v>16022.5781103747</v>
      </c>
      <c r="O72" s="14" t="n">
        <v>-12973.6274445387</v>
      </c>
      <c r="P72" s="14" t="n">
        <v>969.691844413664</v>
      </c>
      <c r="Q72" s="14" t="n">
        <v>5630.87832244398</v>
      </c>
      <c r="R72" s="14" t="n">
        <v>16720.3805904838</v>
      </c>
      <c r="S72" s="14" t="n">
        <v>23776.0725796481</v>
      </c>
      <c r="T72" s="14" t="n">
        <v>-935.920513319546</v>
      </c>
      <c r="U72" s="14" t="n">
        <v>158141.643967494</v>
      </c>
      <c r="V72" s="14" t="n">
        <v>0.953955874711187</v>
      </c>
      <c r="W72" s="14" t="n">
        <v>157201.759247513</v>
      </c>
      <c r="X72" s="14" t="n">
        <v>21809.2435106719</v>
      </c>
      <c r="Y72" s="14" t="n">
        <v>432.91795453543</v>
      </c>
      <c r="Z72" s="14" t="n">
        <v>587.626951548479</v>
      </c>
      <c r="AA72" s="14" t="n">
        <v>34.8673009068098</v>
      </c>
      <c r="AB72" s="14" t="n">
        <v>32.6673009068098</v>
      </c>
      <c r="AC72" s="14" t="n">
        <v>34.1173009068098</v>
      </c>
      <c r="AD72" s="14" t="n">
        <v>34.8673009068098</v>
      </c>
      <c r="AE72" s="14" t="n">
        <v>653.269421736173</v>
      </c>
      <c r="AF72" s="14" t="n">
        <v>0.03</v>
      </c>
      <c r="AG72" s="14" t="n">
        <v>0.73576675769493</v>
      </c>
      <c r="AH72" s="14" t="n">
        <v>8841.38090069497</v>
      </c>
      <c r="AI72" s="14" t="n">
        <v>24633.6289824031</v>
      </c>
      <c r="AJ72" s="14" t="n">
        <v>22.221</v>
      </c>
      <c r="AK72" s="14" t="n">
        <v>0</v>
      </c>
      <c r="AL72" s="14" t="n">
        <v>-18788.6731262274</v>
      </c>
      <c r="AM72" s="14" t="n">
        <v>684.5</v>
      </c>
      <c r="AN72" s="14" t="n">
        <v>37202.1645544491</v>
      </c>
    </row>
    <row r="73" customFormat="false" ht="15" hidden="false" customHeight="false" outlineLevel="0" collapsed="false">
      <c r="A73" s="0" t="s">
        <v>2213</v>
      </c>
      <c r="B73" s="14" t="n">
        <v>2425.32952419152</v>
      </c>
      <c r="C73" s="14" t="n">
        <v>8140.65856246629</v>
      </c>
      <c r="D73" s="14" t="n">
        <v>24633.6289824031</v>
      </c>
      <c r="E73" s="14" t="n">
        <v>4447.42081839675</v>
      </c>
      <c r="F73" s="14" t="n">
        <v>-525.906246786511</v>
      </c>
      <c r="G73" s="14" t="n">
        <v>4647.70072268461</v>
      </c>
      <c r="H73" s="14" t="n">
        <v>125819.689086013</v>
      </c>
      <c r="I73" s="15" t="n">
        <v>334.889407936213</v>
      </c>
      <c r="J73" s="15" t="n">
        <v>378.425030967921</v>
      </c>
      <c r="K73" s="14" t="s">
        <v>60</v>
      </c>
      <c r="L73" s="14" t="n">
        <v>-7421.86571373466</v>
      </c>
      <c r="M73" s="14" t="n">
        <v>27449.6131712493</v>
      </c>
      <c r="N73" s="14" t="n">
        <v>16022.5781103747</v>
      </c>
      <c r="O73" s="14" t="n">
        <v>-12973.6274445387</v>
      </c>
      <c r="P73" s="14" t="n">
        <v>969.691844413664</v>
      </c>
      <c r="Q73" s="14" t="n">
        <v>5630.87832244398</v>
      </c>
      <c r="R73" s="14" t="n">
        <v>16720.3805904838</v>
      </c>
      <c r="S73" s="14" t="n">
        <v>23776.0725796481</v>
      </c>
      <c r="T73" s="14" t="n">
        <v>-935.920513319546</v>
      </c>
      <c r="U73" s="14" t="n">
        <v>129935.114714842</v>
      </c>
      <c r="V73" s="14" t="n">
        <v>0.953955874711187</v>
      </c>
      <c r="W73" s="14" t="n">
        <v>128995.229994862</v>
      </c>
      <c r="X73" s="14" t="n">
        <v>25322.0259848591</v>
      </c>
      <c r="Y73" s="14" t="n">
        <v>355.992323750232</v>
      </c>
      <c r="Z73" s="14" t="n">
        <v>483.210922042938</v>
      </c>
      <c r="AA73" s="14" t="n">
        <v>34.8673009068098</v>
      </c>
      <c r="AB73" s="14" t="n">
        <v>32.6673009068098</v>
      </c>
      <c r="AC73" s="14" t="n">
        <v>34.1173009068098</v>
      </c>
      <c r="AD73" s="14" t="n">
        <v>34.8673009068098</v>
      </c>
      <c r="AE73" s="14" t="n">
        <v>653.269421736173</v>
      </c>
      <c r="AF73" s="14" t="n">
        <v>0.03</v>
      </c>
      <c r="AG73" s="14" t="n">
        <v>0.73576675769493</v>
      </c>
      <c r="AH73" s="14" t="n">
        <v>8841.38090069497</v>
      </c>
      <c r="AI73" s="14" t="n">
        <v>24633.6289824031</v>
      </c>
      <c r="AJ73" s="14" t="n">
        <v>22.221</v>
      </c>
      <c r="AK73" s="14" t="n">
        <v>0</v>
      </c>
      <c r="AL73" s="14" t="n">
        <v>-18788.6731262274</v>
      </c>
      <c r="AM73" s="14" t="n">
        <v>684.5</v>
      </c>
      <c r="AN73" s="14" t="n">
        <v>37202.1645544491</v>
      </c>
    </row>
    <row r="74" customFormat="false" ht="15" hidden="false" customHeight="false" outlineLevel="0" collapsed="false">
      <c r="A74" s="0" t="s">
        <v>2214</v>
      </c>
      <c r="B74" s="14" t="n">
        <v>2425.32952419152</v>
      </c>
      <c r="C74" s="14" t="n">
        <v>7324.95218380129</v>
      </c>
      <c r="D74" s="14" t="n">
        <v>19028.3078080523</v>
      </c>
      <c r="E74" s="14" t="n">
        <v>3868.2692895446</v>
      </c>
      <c r="F74" s="14" t="n">
        <v>-1071.56608997986</v>
      </c>
      <c r="G74" s="14" t="n">
        <v>4646.83729217241</v>
      </c>
      <c r="H74" s="14" t="n">
        <v>33183.5120760248</v>
      </c>
      <c r="I74" s="15" t="n">
        <v>74.9694186369602</v>
      </c>
      <c r="J74" s="15" t="n">
        <v>84.715443059765</v>
      </c>
      <c r="K74" s="14" t="s">
        <v>60</v>
      </c>
      <c r="L74" s="14" t="n">
        <v>-7990.82841296473</v>
      </c>
      <c r="M74" s="14" t="n">
        <v>27433.299043676</v>
      </c>
      <c r="N74" s="14" t="n">
        <v>11762.5340178681</v>
      </c>
      <c r="O74" s="14" t="n">
        <v>-16718.6545245883</v>
      </c>
      <c r="P74" s="14" t="n">
        <v>969.691844413664</v>
      </c>
      <c r="Q74" s="14" t="n">
        <v>1604.46233971616</v>
      </c>
      <c r="R74" s="14" t="n">
        <v>16720.3805904838</v>
      </c>
      <c r="S74" s="14" t="n">
        <v>23663.966156161</v>
      </c>
      <c r="T74" s="14" t="n">
        <v>-935.920513319546</v>
      </c>
      <c r="U74" s="14" t="n">
        <v>23864.7599512566</v>
      </c>
      <c r="V74" s="14" t="n">
        <v>0.953955874711187</v>
      </c>
      <c r="W74" s="14" t="n">
        <v>53328.4441014675</v>
      </c>
      <c r="X74" s="14" t="n">
        <v>21755.0559571894</v>
      </c>
      <c r="Y74" s="14" t="n">
        <v>79.6935851606833</v>
      </c>
      <c r="Z74" s="14" t="n">
        <v>108.173149243014</v>
      </c>
      <c r="AA74" s="14" t="n">
        <v>34.8673009068098</v>
      </c>
      <c r="AB74" s="14" t="n">
        <v>32.6673009068098</v>
      </c>
      <c r="AC74" s="14" t="n">
        <v>34.1173009068098</v>
      </c>
      <c r="AD74" s="14" t="n">
        <v>34.8673009068098</v>
      </c>
      <c r="AE74" s="14" t="n">
        <v>653.269421736173</v>
      </c>
      <c r="AF74" s="14" t="n">
        <v>0.03</v>
      </c>
      <c r="AG74" s="14" t="n">
        <v>0.699339352532185</v>
      </c>
      <c r="AH74" s="14" t="n">
        <v>8841.38090069497</v>
      </c>
      <c r="AI74" s="14" t="n">
        <v>19028.3078080523</v>
      </c>
      <c r="AJ74" s="14" t="n">
        <v>22.221</v>
      </c>
      <c r="AK74" s="14" t="n">
        <v>0</v>
      </c>
      <c r="AL74" s="14" t="n">
        <v>-27749.4577772737</v>
      </c>
      <c r="AM74" s="14" t="n">
        <v>684.5</v>
      </c>
      <c r="AN74" s="14" t="n">
        <v>36892.6010399923</v>
      </c>
    </row>
    <row r="75" customFormat="false" ht="15" hidden="false" customHeight="false" outlineLevel="0" collapsed="false">
      <c r="A75" s="0" t="s">
        <v>2215</v>
      </c>
      <c r="B75" s="14" t="n">
        <v>2425.32952419152</v>
      </c>
      <c r="C75" s="14" t="n">
        <v>7324.95218380129</v>
      </c>
      <c r="D75" s="14" t="n">
        <v>19028.3078080523</v>
      </c>
      <c r="E75" s="14" t="n">
        <v>3868.2692895446</v>
      </c>
      <c r="F75" s="14" t="n">
        <v>-1071.56608997986</v>
      </c>
      <c r="G75" s="14" t="n">
        <v>4646.83729217241</v>
      </c>
      <c r="H75" s="14" t="n">
        <v>31884.7774877648</v>
      </c>
      <c r="I75" s="15" t="n">
        <v>70.8737358600681</v>
      </c>
      <c r="J75" s="15" t="n">
        <v>80.0873215218769</v>
      </c>
      <c r="K75" s="14" t="s">
        <v>60</v>
      </c>
      <c r="L75" s="14" t="n">
        <v>-8050.05808914412</v>
      </c>
      <c r="M75" s="14" t="n">
        <v>27433.299043676</v>
      </c>
      <c r="N75" s="14" t="n">
        <v>11762.5340178681</v>
      </c>
      <c r="O75" s="14" t="n">
        <v>-16945.6706331883</v>
      </c>
      <c r="P75" s="14" t="n">
        <v>969.691844413664</v>
      </c>
      <c r="Q75" s="14" t="n">
        <v>1604.46233971616</v>
      </c>
      <c r="R75" s="14" t="n">
        <v>16720.3805904838</v>
      </c>
      <c r="S75" s="14" t="n">
        <v>23663.966156161</v>
      </c>
      <c r="T75" s="14" t="n">
        <v>-935.920513319546</v>
      </c>
      <c r="U75" s="14" t="n">
        <v>22560.9951884492</v>
      </c>
      <c r="V75" s="14" t="n">
        <v>0.953955874711187</v>
      </c>
      <c r="W75" s="14" t="n">
        <v>53328.4441014675</v>
      </c>
      <c r="X75" s="14" t="n">
        <v>21755.0559571894</v>
      </c>
      <c r="Y75" s="14" t="n">
        <v>75.3398146485764</v>
      </c>
      <c r="Z75" s="14" t="n">
        <v>102.263500851285</v>
      </c>
      <c r="AA75" s="14" t="n">
        <v>34.8673009068098</v>
      </c>
      <c r="AB75" s="14" t="n">
        <v>32.6673009068098</v>
      </c>
      <c r="AC75" s="14" t="n">
        <v>34.1173009068098</v>
      </c>
      <c r="AD75" s="14" t="n">
        <v>34.8673009068098</v>
      </c>
      <c r="AE75" s="14" t="n">
        <v>653.269421736173</v>
      </c>
      <c r="AF75" s="14" t="n">
        <v>0.03</v>
      </c>
      <c r="AG75" s="14" t="n">
        <v>0.699339352532185</v>
      </c>
      <c r="AH75" s="14" t="n">
        <v>8830.63704054368</v>
      </c>
      <c r="AI75" s="14" t="n">
        <v>19028.3078080523</v>
      </c>
      <c r="AJ75" s="14" t="n">
        <v>22.221</v>
      </c>
      <c r="AK75" s="14" t="n">
        <v>0</v>
      </c>
      <c r="AL75" s="14" t="n">
        <v>-28185.5560427778</v>
      </c>
      <c r="AM75" s="14" t="n">
        <v>684.5</v>
      </c>
      <c r="AN75" s="14" t="n">
        <v>34565.685</v>
      </c>
    </row>
    <row r="76" customFormat="false" ht="15" hidden="false" customHeight="false" outlineLevel="0" collapsed="false">
      <c r="A76" s="0" t="s">
        <v>2216</v>
      </c>
      <c r="B76" s="14" t="n">
        <v>2423.40833661368</v>
      </c>
      <c r="C76" s="14" t="n">
        <v>7320.29311172376</v>
      </c>
      <c r="D76" s="14" t="n">
        <v>19024.8843100935</v>
      </c>
      <c r="E76" s="14" t="n">
        <v>3864.96134836955</v>
      </c>
      <c r="F76" s="14" t="n">
        <v>-1074.66751623611</v>
      </c>
      <c r="G76" s="14" t="n">
        <v>4646.81714013671</v>
      </c>
      <c r="H76" s="14" t="n">
        <v>31798.1884260569</v>
      </c>
      <c r="I76" s="15" t="n">
        <v>70.6024898159561</v>
      </c>
      <c r="J76" s="15" t="n">
        <v>79.7808134920304</v>
      </c>
      <c r="K76" s="14" t="s">
        <v>60</v>
      </c>
      <c r="L76" s="14" t="n">
        <v>-8054.44067566647</v>
      </c>
      <c r="M76" s="14" t="n">
        <v>27433.2058622345</v>
      </c>
      <c r="N76" s="14" t="n">
        <v>11759.9321594194</v>
      </c>
      <c r="O76" s="14" t="n">
        <v>-16951.9447612643</v>
      </c>
      <c r="P76" s="14" t="n">
        <v>968.519919991184</v>
      </c>
      <c r="Q76" s="14" t="n">
        <v>1602.02635498548</v>
      </c>
      <c r="R76" s="14" t="n">
        <v>16720.3421667323</v>
      </c>
      <c r="S76" s="14" t="n">
        <v>23663.8976862019</v>
      </c>
      <c r="T76" s="14" t="n">
        <v>-937.016004190439</v>
      </c>
      <c r="U76" s="14" t="n">
        <v>22474.6503581417</v>
      </c>
      <c r="V76" s="14" t="n">
        <v>0.82509878873241</v>
      </c>
      <c r="W76" s="14" t="n">
        <v>53259.1234046399</v>
      </c>
      <c r="X76" s="14" t="n">
        <v>21751.8294322891</v>
      </c>
      <c r="Y76" s="14" t="n">
        <v>75.0514761485726</v>
      </c>
      <c r="Z76" s="14" t="n">
        <v>101.872120747974</v>
      </c>
      <c r="AA76" s="14" t="n">
        <v>30.1575455502983</v>
      </c>
      <c r="AB76" s="14" t="n">
        <v>27.9575455502983</v>
      </c>
      <c r="AC76" s="14" t="n">
        <v>29.4075455502983</v>
      </c>
      <c r="AD76" s="14" t="n">
        <v>30.1575455502983</v>
      </c>
      <c r="AE76" s="14" t="n">
        <v>653.683373262198</v>
      </c>
      <c r="AF76" s="14" t="n">
        <v>0.03</v>
      </c>
      <c r="AG76" s="14" t="n">
        <v>0.699294850981936</v>
      </c>
      <c r="AH76" s="14" t="n">
        <v>8829.50567689751</v>
      </c>
      <c r="AI76" s="14" t="n">
        <v>19024.8843100935</v>
      </c>
      <c r="AJ76" s="14" t="n">
        <v>22.221</v>
      </c>
      <c r="AK76" s="14" t="n">
        <v>0</v>
      </c>
      <c r="AL76" s="14" t="n">
        <v>-28196.1435577038</v>
      </c>
      <c r="AM76" s="14" t="n">
        <v>684.5</v>
      </c>
      <c r="AN76" s="14" t="n">
        <v>34565.685</v>
      </c>
    </row>
    <row r="79" customFormat="false" ht="15" hidden="false" customHeight="false" outlineLevel="0" collapsed="false">
      <c r="A79" s="8" t="s">
        <v>2217</v>
      </c>
    </row>
    <row r="80" customFormat="false" ht="15" hidden="false" customHeight="false" outlineLevel="0" collapsed="false">
      <c r="B80" s="8" t="s">
        <v>219</v>
      </c>
      <c r="C80" s="8" t="s">
        <v>220</v>
      </c>
      <c r="D80" s="8" t="s">
        <v>221</v>
      </c>
    </row>
    <row r="81" customFormat="false" ht="15" hidden="false" customHeight="false" outlineLevel="0" collapsed="false">
      <c r="A81" s="0" t="s">
        <v>2218</v>
      </c>
      <c r="B81" s="14" t="n">
        <v>-2137.45976623611</v>
      </c>
      <c r="C81" s="14" t="n">
        <v>-1074.66751623611</v>
      </c>
      <c r="D81" s="14" t="n">
        <v>-366.139349569446</v>
      </c>
    </row>
    <row r="82" customFormat="false" ht="15" hidden="false" customHeight="false" outlineLevel="0" collapsed="false">
      <c r="A82" s="0" t="s">
        <v>2219</v>
      </c>
      <c r="B82" s="32" t="n">
        <f aca="false">SkEBIT4</f>
        <v>820</v>
      </c>
      <c r="C82" s="32" t="n">
        <f aca="false">SkEBIT5</f>
        <v>1980</v>
      </c>
      <c r="D82" s="32" t="n">
        <f aca="false">SkEBIT6</f>
        <v>2750</v>
      </c>
    </row>
    <row r="83" customFormat="false" ht="15" hidden="false" customHeight="false" outlineLevel="0" collapsed="false">
      <c r="A83" s="0" t="s">
        <v>1926</v>
      </c>
      <c r="B83" s="14" t="n">
        <f aca="false">B81-B82</f>
        <v>-2957.45976623611</v>
      </c>
      <c r="C83" s="14" t="n">
        <f aca="false">C81-C82</f>
        <v>-3054.66751623611</v>
      </c>
      <c r="D83" s="14" t="n">
        <f aca="false">D81-D82</f>
        <v>-3116.13934956945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2220</v>
      </c>
    </row>
    <row r="3" customFormat="false" ht="15" hidden="false" customHeight="false" outlineLevel="0" collapsed="false">
      <c r="A3" s="0" t="s">
        <v>354</v>
      </c>
      <c r="B3" s="0" t="s">
        <v>2221</v>
      </c>
      <c r="C3" s="0" t="s">
        <v>2222</v>
      </c>
    </row>
    <row r="4" customFormat="false" ht="15" hidden="false" customHeight="false" outlineLevel="0" collapsed="false">
      <c r="A4" s="0" t="s">
        <v>2223</v>
      </c>
      <c r="B4" s="0" t="s">
        <v>2224</v>
      </c>
      <c r="C4" s="0" t="s">
        <v>385</v>
      </c>
    </row>
    <row r="5" customFormat="false" ht="15" hidden="false" customHeight="false" outlineLevel="0" collapsed="false">
      <c r="A5" s="0" t="s">
        <v>1255</v>
      </c>
      <c r="B5" s="0" t="s">
        <v>2225</v>
      </c>
      <c r="C5" s="0" t="s">
        <v>385</v>
      </c>
    </row>
    <row r="6" customFormat="false" ht="15" hidden="false" customHeight="false" outlineLevel="0" collapsed="false">
      <c r="A6" s="0" t="s">
        <v>2226</v>
      </c>
      <c r="B6" s="0" t="s">
        <v>2227</v>
      </c>
      <c r="C6" s="0" t="s">
        <v>347</v>
      </c>
    </row>
    <row r="7" customFormat="false" ht="15" hidden="false" customHeight="false" outlineLevel="0" collapsed="false">
      <c r="A7" s="0" t="s">
        <v>389</v>
      </c>
      <c r="B7" s="0" t="s">
        <v>2228</v>
      </c>
      <c r="C7" s="0" t="s">
        <v>2229</v>
      </c>
    </row>
    <row r="8" customFormat="false" ht="15" hidden="false" customHeight="false" outlineLevel="0" collapsed="false">
      <c r="A8" s="0" t="s">
        <v>2230</v>
      </c>
      <c r="B8" s="0" t="s">
        <v>2231</v>
      </c>
      <c r="C8" s="0" t="s">
        <v>389</v>
      </c>
    </row>
    <row r="9" customFormat="false" ht="15" hidden="false" customHeight="false" outlineLevel="0" collapsed="false">
      <c r="A9" s="0" t="s">
        <v>668</v>
      </c>
      <c r="B9" s="0" t="s">
        <v>2232</v>
      </c>
      <c r="C9" s="0" t="s">
        <v>389</v>
      </c>
    </row>
    <row r="10" customFormat="false" ht="15" hidden="false" customHeight="false" outlineLevel="0" collapsed="false">
      <c r="A10" s="0" t="s">
        <v>2233</v>
      </c>
      <c r="B10" s="0" t="s">
        <v>2234</v>
      </c>
      <c r="C10" s="0" t="s">
        <v>385</v>
      </c>
    </row>
    <row r="11" customFormat="false" ht="15" hidden="false" customHeight="false" outlineLevel="0" collapsed="false">
      <c r="A11" s="0" t="s">
        <v>2235</v>
      </c>
      <c r="B11" s="0" t="s">
        <v>2236</v>
      </c>
      <c r="C11" s="0" t="s">
        <v>385</v>
      </c>
    </row>
    <row r="12" customFormat="false" ht="15" hidden="false" customHeight="false" outlineLevel="0" collapsed="false">
      <c r="A12" s="0" t="s">
        <v>2237</v>
      </c>
      <c r="B12" s="0" t="s">
        <v>2238</v>
      </c>
      <c r="C12" s="0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2026-10-05T00:58:44Z</dcterms:created>
  <dc:creator>openpyxl</dc:creator>
  <dc:description/>
  <dc:language>en-US</dc:language>
  <cp:lastModifiedBy/>
  <dcterms:modified xsi:type="dcterms:W3CDTF">2026-10-05T01:10:01Z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